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IANNEY\Sitio\Datos\"/>
    </mc:Choice>
  </mc:AlternateContent>
  <xr:revisionPtr revIDLastSave="0" documentId="13_ncr:1_{BCF7DF79-C2D9-48C8-B4EC-79E770A35F1E}" xr6:coauthVersionLast="47" xr6:coauthVersionMax="47" xr10:uidLastSave="{00000000-0000-0000-0000-000000000000}"/>
  <bookViews>
    <workbookView xWindow="-120" yWindow="-120" windowWidth="29040" windowHeight="15720" firstSheet="11" activeTab="14" xr2:uid="{00000000-000D-0000-FFFF-FFFF00000000}"/>
  </bookViews>
  <sheets>
    <sheet name="Maternal" sheetId="1" r:id="rId1"/>
    <sheet name="Kinder 1" sheetId="2" r:id="rId2"/>
    <sheet name="Kinder 2" sheetId="3" r:id="rId3"/>
    <sheet name="Kinder 3" sheetId="4" r:id="rId4"/>
    <sheet name="Primaria 1" sheetId="5" r:id="rId5"/>
    <sheet name="Primaria 2" sheetId="6" r:id="rId6"/>
    <sheet name="Primaria 3" sheetId="7" r:id="rId7"/>
    <sheet name="Primaria 4" sheetId="8" r:id="rId8"/>
    <sheet name="Primaria 5" sheetId="9" r:id="rId9"/>
    <sheet name="Primaria 6" sheetId="10" r:id="rId10"/>
    <sheet name="Secundaria 1" sheetId="11" r:id="rId11"/>
    <sheet name="Secundaria 2" sheetId="12" r:id="rId12"/>
    <sheet name="Secundaria 3" sheetId="13" r:id="rId13"/>
    <sheet name="Preparatoria 1" sheetId="14" r:id="rId14"/>
    <sheet name="Preparatoria 2" sheetId="15" r:id="rId15"/>
    <sheet name="Preparatoria 3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16" l="1"/>
  <c r="Q18" i="16"/>
  <c r="N18" i="16"/>
  <c r="K18" i="16"/>
  <c r="H18" i="16"/>
  <c r="U18" i="16" s="1"/>
  <c r="T17" i="16"/>
  <c r="Q17" i="16"/>
  <c r="N17" i="16"/>
  <c r="K17" i="16"/>
  <c r="H17" i="16"/>
  <c r="T16" i="16"/>
  <c r="Q16" i="16"/>
  <c r="N16" i="16"/>
  <c r="K16" i="16"/>
  <c r="H16" i="16"/>
  <c r="T15" i="16"/>
  <c r="Q15" i="16"/>
  <c r="N15" i="16"/>
  <c r="K15" i="16"/>
  <c r="H15" i="16"/>
  <c r="T14" i="16"/>
  <c r="Q14" i="16"/>
  <c r="N14" i="16"/>
  <c r="K14" i="16"/>
  <c r="H14" i="16"/>
  <c r="T13" i="16"/>
  <c r="Q13" i="16"/>
  <c r="N13" i="16"/>
  <c r="K13" i="16"/>
  <c r="H13" i="16"/>
  <c r="T12" i="16"/>
  <c r="Q12" i="16"/>
  <c r="N12" i="16"/>
  <c r="K12" i="16"/>
  <c r="H12" i="16"/>
  <c r="T11" i="16"/>
  <c r="Q11" i="16"/>
  <c r="N11" i="16"/>
  <c r="K11" i="16"/>
  <c r="H11" i="16"/>
  <c r="U11" i="16" s="1"/>
  <c r="T10" i="16"/>
  <c r="Q10" i="16"/>
  <c r="N10" i="16"/>
  <c r="K10" i="16"/>
  <c r="H10" i="16"/>
  <c r="T9" i="16"/>
  <c r="Q9" i="16"/>
  <c r="N9" i="16"/>
  <c r="K9" i="16"/>
  <c r="H9" i="16"/>
  <c r="U9" i="16" s="1"/>
  <c r="T8" i="16"/>
  <c r="Q8" i="16"/>
  <c r="N8" i="16"/>
  <c r="K8" i="16"/>
  <c r="H8" i="16"/>
  <c r="T7" i="16"/>
  <c r="Q7" i="16"/>
  <c r="N7" i="16"/>
  <c r="K7" i="16"/>
  <c r="H7" i="16"/>
  <c r="U7" i="16" s="1"/>
  <c r="T6" i="16"/>
  <c r="Q6" i="16"/>
  <c r="N6" i="16"/>
  <c r="K6" i="16"/>
  <c r="H6" i="16"/>
  <c r="T5" i="16"/>
  <c r="Q5" i="16"/>
  <c r="N5" i="16"/>
  <c r="K5" i="16"/>
  <c r="H5" i="16"/>
  <c r="T4" i="16"/>
  <c r="Q4" i="16"/>
  <c r="N4" i="16"/>
  <c r="K4" i="16"/>
  <c r="H4" i="16"/>
  <c r="T3" i="16"/>
  <c r="Q3" i="16"/>
  <c r="N3" i="16"/>
  <c r="K3" i="16"/>
  <c r="H3" i="16"/>
  <c r="U3" i="16" s="1"/>
  <c r="T19" i="15"/>
  <c r="Q19" i="15"/>
  <c r="N19" i="15"/>
  <c r="K19" i="15"/>
  <c r="H19" i="15"/>
  <c r="U19" i="15" s="1"/>
  <c r="T18" i="15"/>
  <c r="Q18" i="15"/>
  <c r="N18" i="15"/>
  <c r="K18" i="15"/>
  <c r="H18" i="15"/>
  <c r="T17" i="15"/>
  <c r="Q17" i="15"/>
  <c r="N17" i="15"/>
  <c r="K17" i="15"/>
  <c r="H17" i="15"/>
  <c r="U17" i="15" s="1"/>
  <c r="T16" i="15"/>
  <c r="Q16" i="15"/>
  <c r="N16" i="15"/>
  <c r="K16" i="15"/>
  <c r="H16" i="15"/>
  <c r="T15" i="15"/>
  <c r="Q15" i="15"/>
  <c r="N15" i="15"/>
  <c r="K15" i="15"/>
  <c r="H15" i="15"/>
  <c r="U15" i="15" s="1"/>
  <c r="T14" i="15"/>
  <c r="Q14" i="15"/>
  <c r="N14" i="15"/>
  <c r="K14" i="15"/>
  <c r="H14" i="15"/>
  <c r="U14" i="15" s="1"/>
  <c r="T13" i="15"/>
  <c r="Q13" i="15"/>
  <c r="N13" i="15"/>
  <c r="K13" i="15"/>
  <c r="H13" i="15"/>
  <c r="U13" i="15" s="1"/>
  <c r="T12" i="15"/>
  <c r="Q12" i="15"/>
  <c r="N12" i="15"/>
  <c r="K12" i="15"/>
  <c r="H12" i="15"/>
  <c r="T11" i="15"/>
  <c r="Q11" i="15"/>
  <c r="N11" i="15"/>
  <c r="K11" i="15"/>
  <c r="H11" i="15"/>
  <c r="U11" i="15" s="1"/>
  <c r="T10" i="15"/>
  <c r="Q10" i="15"/>
  <c r="N10" i="15"/>
  <c r="K10" i="15"/>
  <c r="H10" i="15"/>
  <c r="T9" i="15"/>
  <c r="Q9" i="15"/>
  <c r="N9" i="15"/>
  <c r="K9" i="15"/>
  <c r="H9" i="15"/>
  <c r="T8" i="15"/>
  <c r="Q8" i="15"/>
  <c r="N8" i="15"/>
  <c r="K8" i="15"/>
  <c r="H8" i="15"/>
  <c r="U8" i="15" s="1"/>
  <c r="T7" i="15"/>
  <c r="Q7" i="15"/>
  <c r="N7" i="15"/>
  <c r="K7" i="15"/>
  <c r="H7" i="15"/>
  <c r="U7" i="15" s="1"/>
  <c r="T6" i="15"/>
  <c r="Q6" i="15"/>
  <c r="N6" i="15"/>
  <c r="K6" i="15"/>
  <c r="H6" i="15"/>
  <c r="U6" i="15" s="1"/>
  <c r="T5" i="15"/>
  <c r="Q5" i="15"/>
  <c r="N5" i="15"/>
  <c r="K5" i="15"/>
  <c r="H5" i="15"/>
  <c r="T4" i="15"/>
  <c r="Q4" i="15"/>
  <c r="N4" i="15"/>
  <c r="K4" i="15"/>
  <c r="H4" i="15"/>
  <c r="U4" i="15" s="1"/>
  <c r="T3" i="15"/>
  <c r="Q3" i="15"/>
  <c r="N3" i="15"/>
  <c r="K3" i="15"/>
  <c r="H3" i="15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3" i="14"/>
  <c r="T19" i="14"/>
  <c r="Q19" i="14"/>
  <c r="N19" i="14"/>
  <c r="K19" i="14"/>
  <c r="H19" i="14"/>
  <c r="T18" i="14"/>
  <c r="Q18" i="14"/>
  <c r="N18" i="14"/>
  <c r="K18" i="14"/>
  <c r="H18" i="14"/>
  <c r="T17" i="14"/>
  <c r="Q17" i="14"/>
  <c r="N17" i="14"/>
  <c r="K17" i="14"/>
  <c r="H17" i="14"/>
  <c r="T16" i="14"/>
  <c r="Q16" i="14"/>
  <c r="N16" i="14"/>
  <c r="K16" i="14"/>
  <c r="H16" i="14"/>
  <c r="T15" i="14"/>
  <c r="Q15" i="14"/>
  <c r="N15" i="14"/>
  <c r="K15" i="14"/>
  <c r="H15" i="14"/>
  <c r="T14" i="14"/>
  <c r="Q14" i="14"/>
  <c r="N14" i="14"/>
  <c r="K14" i="14"/>
  <c r="H14" i="14"/>
  <c r="T13" i="14"/>
  <c r="Q13" i="14"/>
  <c r="N13" i="14"/>
  <c r="K13" i="14"/>
  <c r="H13" i="14"/>
  <c r="T12" i="14"/>
  <c r="Q12" i="14"/>
  <c r="N12" i="14"/>
  <c r="K12" i="14"/>
  <c r="H12" i="14"/>
  <c r="T11" i="14"/>
  <c r="Q11" i="14"/>
  <c r="N11" i="14"/>
  <c r="K11" i="14"/>
  <c r="H11" i="14"/>
  <c r="T10" i="14"/>
  <c r="Q10" i="14"/>
  <c r="N10" i="14"/>
  <c r="K10" i="14"/>
  <c r="H10" i="14"/>
  <c r="T9" i="14"/>
  <c r="Q9" i="14"/>
  <c r="N9" i="14"/>
  <c r="K9" i="14"/>
  <c r="H9" i="14"/>
  <c r="T8" i="14"/>
  <c r="Q8" i="14"/>
  <c r="N8" i="14"/>
  <c r="K8" i="14"/>
  <c r="H8" i="14"/>
  <c r="T7" i="14"/>
  <c r="Q7" i="14"/>
  <c r="N7" i="14"/>
  <c r="K7" i="14"/>
  <c r="H7" i="14"/>
  <c r="T6" i="14"/>
  <c r="Q6" i="14"/>
  <c r="N6" i="14"/>
  <c r="K6" i="14"/>
  <c r="H6" i="14"/>
  <c r="T5" i="14"/>
  <c r="Q5" i="14"/>
  <c r="N5" i="14"/>
  <c r="K5" i="14"/>
  <c r="H5" i="14"/>
  <c r="T4" i="14"/>
  <c r="Q4" i="14"/>
  <c r="N4" i="14"/>
  <c r="K4" i="14"/>
  <c r="H4" i="14"/>
  <c r="T3" i="14"/>
  <c r="Q3" i="14"/>
  <c r="N3" i="14"/>
  <c r="K3" i="14"/>
  <c r="H3" i="14"/>
  <c r="I45" i="13"/>
  <c r="M45" i="13"/>
  <c r="Q45" i="13"/>
  <c r="U45" i="13"/>
  <c r="Y45" i="13"/>
  <c r="Z45" i="13" s="1"/>
  <c r="I46" i="13"/>
  <c r="M46" i="13"/>
  <c r="Q46" i="13"/>
  <c r="U46" i="13"/>
  <c r="Y46" i="13"/>
  <c r="Z46" i="13"/>
  <c r="Y44" i="13"/>
  <c r="U44" i="13"/>
  <c r="Q44" i="13"/>
  <c r="M44" i="13"/>
  <c r="I44" i="13"/>
  <c r="Z44" i="13" s="1"/>
  <c r="Y43" i="13"/>
  <c r="U43" i="13"/>
  <c r="Q43" i="13"/>
  <c r="M43" i="13"/>
  <c r="I43" i="13"/>
  <c r="Z43" i="13" s="1"/>
  <c r="Y42" i="13"/>
  <c r="U42" i="13"/>
  <c r="Q42" i="13"/>
  <c r="M42" i="13"/>
  <c r="I42" i="13"/>
  <c r="Z42" i="13" s="1"/>
  <c r="Y41" i="13"/>
  <c r="U41" i="13"/>
  <c r="Q41" i="13"/>
  <c r="Z41" i="13" s="1"/>
  <c r="M41" i="13"/>
  <c r="I41" i="13"/>
  <c r="Y40" i="13"/>
  <c r="U40" i="13"/>
  <c r="Q40" i="13"/>
  <c r="M40" i="13"/>
  <c r="I40" i="13"/>
  <c r="Z40" i="13" s="1"/>
  <c r="Y39" i="13"/>
  <c r="U39" i="13"/>
  <c r="Q39" i="13"/>
  <c r="M39" i="13"/>
  <c r="I39" i="13"/>
  <c r="Z39" i="13" s="1"/>
  <c r="Y38" i="13"/>
  <c r="U38" i="13"/>
  <c r="Q38" i="13"/>
  <c r="M38" i="13"/>
  <c r="I38" i="13"/>
  <c r="Z38" i="13" s="1"/>
  <c r="Y37" i="13"/>
  <c r="Z37" i="13" s="1"/>
  <c r="U37" i="13"/>
  <c r="Q37" i="13"/>
  <c r="M37" i="13"/>
  <c r="I37" i="13"/>
  <c r="Y36" i="13"/>
  <c r="U36" i="13"/>
  <c r="Q36" i="13"/>
  <c r="M36" i="13"/>
  <c r="I36" i="13"/>
  <c r="Z36" i="13" s="1"/>
  <c r="Y35" i="13"/>
  <c r="U35" i="13"/>
  <c r="Q35" i="13"/>
  <c r="M35" i="13"/>
  <c r="I35" i="13"/>
  <c r="Z35" i="13" s="1"/>
  <c r="Y34" i="13"/>
  <c r="U34" i="13"/>
  <c r="Q34" i="13"/>
  <c r="M34" i="13"/>
  <c r="I34" i="13"/>
  <c r="Z34" i="13" s="1"/>
  <c r="Y33" i="13"/>
  <c r="U33" i="13"/>
  <c r="Q33" i="13"/>
  <c r="M33" i="13"/>
  <c r="I33" i="13"/>
  <c r="Z33" i="13" s="1"/>
  <c r="Y32" i="13"/>
  <c r="U32" i="13"/>
  <c r="Q32" i="13"/>
  <c r="M32" i="13"/>
  <c r="I32" i="13"/>
  <c r="Z32" i="13" s="1"/>
  <c r="Y31" i="13"/>
  <c r="U31" i="13"/>
  <c r="Q31" i="13"/>
  <c r="M31" i="13"/>
  <c r="I31" i="13"/>
  <c r="Z31" i="13" s="1"/>
  <c r="Y30" i="13"/>
  <c r="U30" i="13"/>
  <c r="Q30" i="13"/>
  <c r="Z30" i="13" s="1"/>
  <c r="M30" i="13"/>
  <c r="I30" i="13"/>
  <c r="Y29" i="13"/>
  <c r="U29" i="13"/>
  <c r="Q29" i="13"/>
  <c r="M29" i="13"/>
  <c r="I29" i="13"/>
  <c r="Z29" i="13" s="1"/>
  <c r="Y28" i="13"/>
  <c r="U28" i="13"/>
  <c r="Q28" i="13"/>
  <c r="M28" i="13"/>
  <c r="I28" i="13"/>
  <c r="Z28" i="13" s="1"/>
  <c r="Y27" i="13"/>
  <c r="U27" i="13"/>
  <c r="Q27" i="13"/>
  <c r="M27" i="13"/>
  <c r="I27" i="13"/>
  <c r="Z27" i="13" s="1"/>
  <c r="Y26" i="13"/>
  <c r="Z26" i="13" s="1"/>
  <c r="U26" i="13"/>
  <c r="Q26" i="13"/>
  <c r="M26" i="13"/>
  <c r="I26" i="13"/>
  <c r="Y25" i="13"/>
  <c r="U25" i="13"/>
  <c r="Q25" i="13"/>
  <c r="M25" i="13"/>
  <c r="I25" i="13"/>
  <c r="Z25" i="13" s="1"/>
  <c r="Y24" i="13"/>
  <c r="U24" i="13"/>
  <c r="Q24" i="13"/>
  <c r="M24" i="13"/>
  <c r="I24" i="13"/>
  <c r="Z24" i="13" s="1"/>
  <c r="Y23" i="13"/>
  <c r="U23" i="13"/>
  <c r="Q23" i="13"/>
  <c r="M23" i="13"/>
  <c r="I23" i="13"/>
  <c r="Z23" i="13" s="1"/>
  <c r="Y22" i="13"/>
  <c r="U22" i="13"/>
  <c r="Q22" i="13"/>
  <c r="M22" i="13"/>
  <c r="I22" i="13"/>
  <c r="Z22" i="13" s="1"/>
  <c r="Y21" i="13"/>
  <c r="U21" i="13"/>
  <c r="Q21" i="13"/>
  <c r="M21" i="13"/>
  <c r="I21" i="13"/>
  <c r="Z21" i="13" s="1"/>
  <c r="Y20" i="13"/>
  <c r="U20" i="13"/>
  <c r="Q20" i="13"/>
  <c r="M20" i="13"/>
  <c r="I20" i="13"/>
  <c r="Z20" i="13" s="1"/>
  <c r="Y19" i="13"/>
  <c r="U19" i="13"/>
  <c r="Q19" i="13"/>
  <c r="Z19" i="13" s="1"/>
  <c r="M19" i="13"/>
  <c r="I19" i="13"/>
  <c r="Y18" i="13"/>
  <c r="U18" i="13"/>
  <c r="Q18" i="13"/>
  <c r="M18" i="13"/>
  <c r="I18" i="13"/>
  <c r="Z18" i="13" s="1"/>
  <c r="Y17" i="13"/>
  <c r="U17" i="13"/>
  <c r="Q17" i="13"/>
  <c r="M17" i="13"/>
  <c r="I17" i="13"/>
  <c r="Z17" i="13" s="1"/>
  <c r="Y16" i="13"/>
  <c r="U16" i="13"/>
  <c r="Q16" i="13"/>
  <c r="M16" i="13"/>
  <c r="I16" i="13"/>
  <c r="Z16" i="13" s="1"/>
  <c r="Y15" i="13"/>
  <c r="Z15" i="13" s="1"/>
  <c r="U15" i="13"/>
  <c r="Q15" i="13"/>
  <c r="M15" i="13"/>
  <c r="I15" i="13"/>
  <c r="Y14" i="13"/>
  <c r="U14" i="13"/>
  <c r="Q14" i="13"/>
  <c r="M14" i="13"/>
  <c r="I14" i="13"/>
  <c r="Z14" i="13" s="1"/>
  <c r="Y13" i="13"/>
  <c r="U13" i="13"/>
  <c r="Q13" i="13"/>
  <c r="M13" i="13"/>
  <c r="I13" i="13"/>
  <c r="Z13" i="13" s="1"/>
  <c r="Y12" i="13"/>
  <c r="U12" i="13"/>
  <c r="Q12" i="13"/>
  <c r="M12" i="13"/>
  <c r="I12" i="13"/>
  <c r="Z12" i="13" s="1"/>
  <c r="Y11" i="13"/>
  <c r="U11" i="13"/>
  <c r="Q11" i="13"/>
  <c r="M11" i="13"/>
  <c r="I11" i="13"/>
  <c r="Z11" i="13" s="1"/>
  <c r="Y10" i="13"/>
  <c r="U10" i="13"/>
  <c r="Q10" i="13"/>
  <c r="M10" i="13"/>
  <c r="I10" i="13"/>
  <c r="Z10" i="13" s="1"/>
  <c r="Y9" i="13"/>
  <c r="U9" i="13"/>
  <c r="Q9" i="13"/>
  <c r="M9" i="13"/>
  <c r="I9" i="13"/>
  <c r="Z9" i="13" s="1"/>
  <c r="Y8" i="13"/>
  <c r="U8" i="13"/>
  <c r="Q8" i="13"/>
  <c r="Z8" i="13" s="1"/>
  <c r="M8" i="13"/>
  <c r="I8" i="13"/>
  <c r="Y7" i="13"/>
  <c r="U7" i="13"/>
  <c r="Q7" i="13"/>
  <c r="M7" i="13"/>
  <c r="I7" i="13"/>
  <c r="Z7" i="13" s="1"/>
  <c r="Y6" i="13"/>
  <c r="U6" i="13"/>
  <c r="Q6" i="13"/>
  <c r="M6" i="13"/>
  <c r="I6" i="13"/>
  <c r="Z6" i="13" s="1"/>
  <c r="Y5" i="13"/>
  <c r="U5" i="13"/>
  <c r="Q5" i="13"/>
  <c r="M5" i="13"/>
  <c r="I5" i="13"/>
  <c r="Z5" i="13" s="1"/>
  <c r="Y4" i="13"/>
  <c r="Z4" i="13" s="1"/>
  <c r="U4" i="13"/>
  <c r="Q4" i="13"/>
  <c r="M4" i="13"/>
  <c r="I4" i="13"/>
  <c r="Y3" i="13"/>
  <c r="U3" i="13"/>
  <c r="Q3" i="13"/>
  <c r="M3" i="13"/>
  <c r="I3" i="13"/>
  <c r="Z3" i="13" s="1"/>
  <c r="I34" i="12"/>
  <c r="M34" i="12"/>
  <c r="Q34" i="12"/>
  <c r="U34" i="12"/>
  <c r="Y34" i="12"/>
  <c r="Z34" i="12"/>
  <c r="I35" i="12"/>
  <c r="M35" i="12"/>
  <c r="Q35" i="12"/>
  <c r="U35" i="12"/>
  <c r="Y35" i="12"/>
  <c r="Z35" i="12"/>
  <c r="I36" i="12"/>
  <c r="M36" i="12"/>
  <c r="Q36" i="12"/>
  <c r="U36" i="12"/>
  <c r="Y36" i="12"/>
  <c r="Z36" i="12"/>
  <c r="I37" i="12"/>
  <c r="Z37" i="12" s="1"/>
  <c r="M37" i="12"/>
  <c r="Q37" i="12"/>
  <c r="U37" i="12"/>
  <c r="Y37" i="12"/>
  <c r="I38" i="12"/>
  <c r="M38" i="12"/>
  <c r="Q38" i="12"/>
  <c r="U38" i="12"/>
  <c r="Y38" i="12"/>
  <c r="Z38" i="12"/>
  <c r="I39" i="12"/>
  <c r="M39" i="12"/>
  <c r="Q39" i="12"/>
  <c r="U39" i="12"/>
  <c r="Y39" i="12"/>
  <c r="Z39" i="12"/>
  <c r="I40" i="12"/>
  <c r="M40" i="12"/>
  <c r="Q40" i="12"/>
  <c r="U40" i="12"/>
  <c r="Y40" i="12"/>
  <c r="Z40" i="12" s="1"/>
  <c r="I41" i="12"/>
  <c r="Z41" i="12" s="1"/>
  <c r="M41" i="12"/>
  <c r="Q41" i="12"/>
  <c r="U41" i="12"/>
  <c r="Y41" i="12"/>
  <c r="I42" i="12"/>
  <c r="M42" i="12"/>
  <c r="Q42" i="12"/>
  <c r="U42" i="12"/>
  <c r="Y42" i="12"/>
  <c r="Z42" i="12"/>
  <c r="I43" i="12"/>
  <c r="M43" i="12"/>
  <c r="Q43" i="12"/>
  <c r="U43" i="12"/>
  <c r="Y43" i="12"/>
  <c r="Z43" i="12"/>
  <c r="I44" i="12"/>
  <c r="M44" i="12"/>
  <c r="Q44" i="12"/>
  <c r="U44" i="12"/>
  <c r="Y44" i="12"/>
  <c r="Z44" i="12"/>
  <c r="Y33" i="12"/>
  <c r="U33" i="12"/>
  <c r="Q33" i="12"/>
  <c r="M33" i="12"/>
  <c r="I33" i="12"/>
  <c r="Z33" i="12" s="1"/>
  <c r="Y32" i="12"/>
  <c r="U32" i="12"/>
  <c r="Q32" i="12"/>
  <c r="M32" i="12"/>
  <c r="I32" i="12"/>
  <c r="Z32" i="12" s="1"/>
  <c r="Y31" i="12"/>
  <c r="U31" i="12"/>
  <c r="Q31" i="12"/>
  <c r="M31" i="12"/>
  <c r="I31" i="12"/>
  <c r="Z31" i="12" s="1"/>
  <c r="Y30" i="12"/>
  <c r="U30" i="12"/>
  <c r="Q30" i="12"/>
  <c r="Z30" i="12" s="1"/>
  <c r="M30" i="12"/>
  <c r="I30" i="12"/>
  <c r="Y29" i="12"/>
  <c r="U29" i="12"/>
  <c r="Q29" i="12"/>
  <c r="M29" i="12"/>
  <c r="I29" i="12"/>
  <c r="Z29" i="12" s="1"/>
  <c r="Y28" i="12"/>
  <c r="U28" i="12"/>
  <c r="Q28" i="12"/>
  <c r="M28" i="12"/>
  <c r="I28" i="12"/>
  <c r="Z28" i="12" s="1"/>
  <c r="Y27" i="12"/>
  <c r="U27" i="12"/>
  <c r="Q27" i="12"/>
  <c r="M27" i="12"/>
  <c r="I27" i="12"/>
  <c r="Z27" i="12" s="1"/>
  <c r="Y26" i="12"/>
  <c r="Z26" i="12" s="1"/>
  <c r="U26" i="12"/>
  <c r="Q26" i="12"/>
  <c r="M26" i="12"/>
  <c r="I26" i="12"/>
  <c r="Y25" i="12"/>
  <c r="U25" i="12"/>
  <c r="Q25" i="12"/>
  <c r="M25" i="12"/>
  <c r="I25" i="12"/>
  <c r="Z25" i="12" s="1"/>
  <c r="Y24" i="12"/>
  <c r="U24" i="12"/>
  <c r="Q24" i="12"/>
  <c r="M24" i="12"/>
  <c r="I24" i="12"/>
  <c r="Z24" i="12" s="1"/>
  <c r="Y23" i="12"/>
  <c r="U23" i="12"/>
  <c r="Q23" i="12"/>
  <c r="M23" i="12"/>
  <c r="I23" i="12"/>
  <c r="Z23" i="12" s="1"/>
  <c r="Y22" i="12"/>
  <c r="U22" i="12"/>
  <c r="Q22" i="12"/>
  <c r="M22" i="12"/>
  <c r="I22" i="12"/>
  <c r="Z22" i="12" s="1"/>
  <c r="Y21" i="12"/>
  <c r="U21" i="12"/>
  <c r="Q21" i="12"/>
  <c r="M21" i="12"/>
  <c r="I21" i="12"/>
  <c r="Z21" i="12" s="1"/>
  <c r="Y20" i="12"/>
  <c r="U20" i="12"/>
  <c r="Q20" i="12"/>
  <c r="M20" i="12"/>
  <c r="I20" i="12"/>
  <c r="Z20" i="12" s="1"/>
  <c r="Y19" i="12"/>
  <c r="U19" i="12"/>
  <c r="Q19" i="12"/>
  <c r="Z19" i="12" s="1"/>
  <c r="M19" i="12"/>
  <c r="I19" i="12"/>
  <c r="Y18" i="12"/>
  <c r="U18" i="12"/>
  <c r="Q18" i="12"/>
  <c r="M18" i="12"/>
  <c r="I18" i="12"/>
  <c r="Z18" i="12" s="1"/>
  <c r="Y17" i="12"/>
  <c r="U17" i="12"/>
  <c r="Q17" i="12"/>
  <c r="M17" i="12"/>
  <c r="I17" i="12"/>
  <c r="Z17" i="12" s="1"/>
  <c r="Y16" i="12"/>
  <c r="U16" i="12"/>
  <c r="Q16" i="12"/>
  <c r="M16" i="12"/>
  <c r="I16" i="12"/>
  <c r="Z16" i="12" s="1"/>
  <c r="Y15" i="12"/>
  <c r="Z15" i="12" s="1"/>
  <c r="U15" i="12"/>
  <c r="Q15" i="12"/>
  <c r="M15" i="12"/>
  <c r="I15" i="12"/>
  <c r="Y14" i="12"/>
  <c r="U14" i="12"/>
  <c r="Q14" i="12"/>
  <c r="M14" i="12"/>
  <c r="I14" i="12"/>
  <c r="Z14" i="12" s="1"/>
  <c r="Y13" i="12"/>
  <c r="U13" i="12"/>
  <c r="Q13" i="12"/>
  <c r="M13" i="12"/>
  <c r="I13" i="12"/>
  <c r="Z13" i="12" s="1"/>
  <c r="Y12" i="12"/>
  <c r="U12" i="12"/>
  <c r="Q12" i="12"/>
  <c r="M12" i="12"/>
  <c r="I12" i="12"/>
  <c r="Z12" i="12" s="1"/>
  <c r="Y11" i="12"/>
  <c r="U11" i="12"/>
  <c r="Q11" i="12"/>
  <c r="M11" i="12"/>
  <c r="I11" i="12"/>
  <c r="Z11" i="12" s="1"/>
  <c r="Y10" i="12"/>
  <c r="U10" i="12"/>
  <c r="Q10" i="12"/>
  <c r="M10" i="12"/>
  <c r="I10" i="12"/>
  <c r="Z10" i="12" s="1"/>
  <c r="Y9" i="12"/>
  <c r="U9" i="12"/>
  <c r="Q9" i="12"/>
  <c r="M9" i="12"/>
  <c r="I9" i="12"/>
  <c r="Z9" i="12" s="1"/>
  <c r="Y8" i="12"/>
  <c r="U8" i="12"/>
  <c r="Q8" i="12"/>
  <c r="Z8" i="12" s="1"/>
  <c r="M8" i="12"/>
  <c r="I8" i="12"/>
  <c r="Y7" i="12"/>
  <c r="U7" i="12"/>
  <c r="Q7" i="12"/>
  <c r="M7" i="12"/>
  <c r="I7" i="12"/>
  <c r="Z7" i="12" s="1"/>
  <c r="Y6" i="12"/>
  <c r="U6" i="12"/>
  <c r="Q6" i="12"/>
  <c r="M6" i="12"/>
  <c r="I6" i="12"/>
  <c r="Z6" i="12" s="1"/>
  <c r="Y5" i="12"/>
  <c r="U5" i="12"/>
  <c r="Q5" i="12"/>
  <c r="M5" i="12"/>
  <c r="I5" i="12"/>
  <c r="Z5" i="12" s="1"/>
  <c r="Y4" i="12"/>
  <c r="Z4" i="12" s="1"/>
  <c r="U4" i="12"/>
  <c r="Q4" i="12"/>
  <c r="M4" i="12"/>
  <c r="I4" i="12"/>
  <c r="Y3" i="12"/>
  <c r="U3" i="12"/>
  <c r="Q3" i="12"/>
  <c r="M3" i="12"/>
  <c r="I3" i="12"/>
  <c r="Z3" i="12" s="1"/>
  <c r="I31" i="11"/>
  <c r="M31" i="11"/>
  <c r="Q31" i="11"/>
  <c r="U31" i="11"/>
  <c r="Y31" i="11"/>
  <c r="Z31" i="11"/>
  <c r="I32" i="11"/>
  <c r="M32" i="11"/>
  <c r="Q32" i="11"/>
  <c r="U32" i="11"/>
  <c r="Y32" i="11"/>
  <c r="Z32" i="11"/>
  <c r="I33" i="11"/>
  <c r="M33" i="11"/>
  <c r="Q33" i="11"/>
  <c r="U33" i="11"/>
  <c r="Y33" i="11"/>
  <c r="Z33" i="11"/>
  <c r="Y30" i="11"/>
  <c r="Z30" i="11" s="1"/>
  <c r="U30" i="11"/>
  <c r="Q30" i="11"/>
  <c r="M30" i="11"/>
  <c r="I30" i="11"/>
  <c r="Y29" i="11"/>
  <c r="U29" i="11"/>
  <c r="Q29" i="11"/>
  <c r="M29" i="11"/>
  <c r="I29" i="11"/>
  <c r="Z29" i="11" s="1"/>
  <c r="Y28" i="11"/>
  <c r="U28" i="11"/>
  <c r="Q28" i="11"/>
  <c r="M28" i="11"/>
  <c r="I28" i="11"/>
  <c r="Z28" i="11" s="1"/>
  <c r="Y27" i="11"/>
  <c r="U27" i="11"/>
  <c r="Q27" i="11"/>
  <c r="Z27" i="11" s="1"/>
  <c r="M27" i="11"/>
  <c r="I27" i="11"/>
  <c r="Y26" i="11"/>
  <c r="U26" i="11"/>
  <c r="Q26" i="11"/>
  <c r="M26" i="11"/>
  <c r="I26" i="11"/>
  <c r="Z26" i="11" s="1"/>
  <c r="Y25" i="11"/>
  <c r="U25" i="11"/>
  <c r="Q25" i="11"/>
  <c r="M25" i="11"/>
  <c r="I25" i="11"/>
  <c r="Z25" i="11" s="1"/>
  <c r="Y24" i="11"/>
  <c r="U24" i="11"/>
  <c r="Q24" i="11"/>
  <c r="M24" i="11"/>
  <c r="I24" i="11"/>
  <c r="Z24" i="11" s="1"/>
  <c r="Y23" i="11"/>
  <c r="Z23" i="11" s="1"/>
  <c r="U23" i="11"/>
  <c r="Q23" i="11"/>
  <c r="M23" i="11"/>
  <c r="I23" i="11"/>
  <c r="Y22" i="11"/>
  <c r="U22" i="11"/>
  <c r="Q22" i="11"/>
  <c r="M22" i="11"/>
  <c r="I22" i="11"/>
  <c r="Z22" i="11" s="1"/>
  <c r="Y21" i="11"/>
  <c r="U21" i="11"/>
  <c r="Q21" i="11"/>
  <c r="M21" i="11"/>
  <c r="I21" i="11"/>
  <c r="Z21" i="11" s="1"/>
  <c r="Y20" i="11"/>
  <c r="U20" i="11"/>
  <c r="Q20" i="11"/>
  <c r="M20" i="11"/>
  <c r="I20" i="11"/>
  <c r="Z20" i="11" s="1"/>
  <c r="Y19" i="11"/>
  <c r="Z19" i="11" s="1"/>
  <c r="U19" i="11"/>
  <c r="Q19" i="11"/>
  <c r="M19" i="11"/>
  <c r="I19" i="11"/>
  <c r="Y18" i="11"/>
  <c r="U18" i="11"/>
  <c r="Q18" i="11"/>
  <c r="M18" i="11"/>
  <c r="I18" i="11"/>
  <c r="Z18" i="11" s="1"/>
  <c r="Y17" i="11"/>
  <c r="U17" i="11"/>
  <c r="Q17" i="11"/>
  <c r="M17" i="11"/>
  <c r="I17" i="11"/>
  <c r="Z17" i="11" s="1"/>
  <c r="Y16" i="11"/>
  <c r="U16" i="11"/>
  <c r="Q16" i="11"/>
  <c r="Z16" i="11" s="1"/>
  <c r="M16" i="11"/>
  <c r="I16" i="11"/>
  <c r="Y15" i="11"/>
  <c r="U15" i="11"/>
  <c r="Q15" i="11"/>
  <c r="M15" i="11"/>
  <c r="I15" i="11"/>
  <c r="Z15" i="11" s="1"/>
  <c r="Y14" i="11"/>
  <c r="U14" i="11"/>
  <c r="Q14" i="11"/>
  <c r="M14" i="11"/>
  <c r="I14" i="11"/>
  <c r="Z14" i="11" s="1"/>
  <c r="Y13" i="11"/>
  <c r="U13" i="11"/>
  <c r="Q13" i="11"/>
  <c r="M13" i="11"/>
  <c r="I13" i="11"/>
  <c r="Z13" i="11" s="1"/>
  <c r="Y12" i="11"/>
  <c r="Z12" i="11" s="1"/>
  <c r="U12" i="11"/>
  <c r="Q12" i="11"/>
  <c r="M12" i="11"/>
  <c r="I12" i="11"/>
  <c r="Y11" i="11"/>
  <c r="U11" i="11"/>
  <c r="Q11" i="11"/>
  <c r="M11" i="11"/>
  <c r="I11" i="11"/>
  <c r="Z11" i="11" s="1"/>
  <c r="Y10" i="11"/>
  <c r="U10" i="11"/>
  <c r="Q10" i="11"/>
  <c r="M10" i="11"/>
  <c r="I10" i="11"/>
  <c r="Z10" i="11" s="1"/>
  <c r="Y9" i="11"/>
  <c r="U9" i="11"/>
  <c r="Q9" i="11"/>
  <c r="M9" i="11"/>
  <c r="I9" i="11"/>
  <c r="Z9" i="11" s="1"/>
  <c r="Y8" i="11"/>
  <c r="Z8" i="11" s="1"/>
  <c r="U8" i="11"/>
  <c r="Q8" i="11"/>
  <c r="M8" i="11"/>
  <c r="I8" i="11"/>
  <c r="Y7" i="11"/>
  <c r="U7" i="11"/>
  <c r="Q7" i="11"/>
  <c r="M7" i="11"/>
  <c r="I7" i="11"/>
  <c r="Z7" i="11" s="1"/>
  <c r="Y6" i="11"/>
  <c r="U6" i="11"/>
  <c r="Q6" i="11"/>
  <c r="M6" i="11"/>
  <c r="I6" i="11"/>
  <c r="Z6" i="11" s="1"/>
  <c r="Y5" i="11"/>
  <c r="U5" i="11"/>
  <c r="Q5" i="11"/>
  <c r="Z5" i="11" s="1"/>
  <c r="M5" i="11"/>
  <c r="I5" i="11"/>
  <c r="Y4" i="11"/>
  <c r="U4" i="11"/>
  <c r="Q4" i="11"/>
  <c r="M4" i="11"/>
  <c r="I4" i="11"/>
  <c r="Z4" i="11" s="1"/>
  <c r="Y3" i="11"/>
  <c r="U3" i="11"/>
  <c r="Q3" i="11"/>
  <c r="M3" i="11"/>
  <c r="I3" i="11"/>
  <c r="Z3" i="11" s="1"/>
  <c r="Y30" i="10"/>
  <c r="U30" i="10"/>
  <c r="Q30" i="10"/>
  <c r="M30" i="10"/>
  <c r="I30" i="10"/>
  <c r="Y29" i="10"/>
  <c r="U29" i="10"/>
  <c r="Q29" i="10"/>
  <c r="M29" i="10"/>
  <c r="I29" i="10"/>
  <c r="Z29" i="10" s="1"/>
  <c r="Y28" i="10"/>
  <c r="U28" i="10"/>
  <c r="Q28" i="10"/>
  <c r="M28" i="10"/>
  <c r="I28" i="10"/>
  <c r="Z28" i="10" s="1"/>
  <c r="Y27" i="10"/>
  <c r="U27" i="10"/>
  <c r="Q27" i="10"/>
  <c r="M27" i="10"/>
  <c r="I27" i="10"/>
  <c r="Z27" i="10" s="1"/>
  <c r="Y26" i="10"/>
  <c r="U26" i="10"/>
  <c r="Q26" i="10"/>
  <c r="M26" i="10"/>
  <c r="I26" i="10"/>
  <c r="Y25" i="10"/>
  <c r="U25" i="10"/>
  <c r="Q25" i="10"/>
  <c r="M25" i="10"/>
  <c r="I25" i="10"/>
  <c r="Z25" i="10" s="1"/>
  <c r="Y24" i="10"/>
  <c r="U24" i="10"/>
  <c r="Q24" i="10"/>
  <c r="M24" i="10"/>
  <c r="I24" i="10"/>
  <c r="Z24" i="10" s="1"/>
  <c r="Y23" i="10"/>
  <c r="U23" i="10"/>
  <c r="Q23" i="10"/>
  <c r="M23" i="10"/>
  <c r="I23" i="10"/>
  <c r="Y22" i="10"/>
  <c r="U22" i="10"/>
  <c r="Q22" i="10"/>
  <c r="M22" i="10"/>
  <c r="I22" i="10"/>
  <c r="Y21" i="10"/>
  <c r="U21" i="10"/>
  <c r="Q21" i="10"/>
  <c r="M21" i="10"/>
  <c r="I21" i="10"/>
  <c r="Z21" i="10" s="1"/>
  <c r="Y20" i="10"/>
  <c r="U20" i="10"/>
  <c r="Q20" i="10"/>
  <c r="M20" i="10"/>
  <c r="I20" i="10"/>
  <c r="Z20" i="10" s="1"/>
  <c r="Y19" i="10"/>
  <c r="U19" i="10"/>
  <c r="Q19" i="10"/>
  <c r="M19" i="10"/>
  <c r="I19" i="10"/>
  <c r="Y18" i="10"/>
  <c r="U18" i="10"/>
  <c r="Q18" i="10"/>
  <c r="M18" i="10"/>
  <c r="I18" i="10"/>
  <c r="Z18" i="10" s="1"/>
  <c r="Y17" i="10"/>
  <c r="U17" i="10"/>
  <c r="Q17" i="10"/>
  <c r="M17" i="10"/>
  <c r="I17" i="10"/>
  <c r="Y16" i="10"/>
  <c r="U16" i="10"/>
  <c r="Q16" i="10"/>
  <c r="M16" i="10"/>
  <c r="I16" i="10"/>
  <c r="Z16" i="10" s="1"/>
  <c r="Y15" i="10"/>
  <c r="U15" i="10"/>
  <c r="Q15" i="10"/>
  <c r="M15" i="10"/>
  <c r="I15" i="10"/>
  <c r="Z15" i="10" s="1"/>
  <c r="Y14" i="10"/>
  <c r="U14" i="10"/>
  <c r="Q14" i="10"/>
  <c r="M14" i="10"/>
  <c r="I14" i="10"/>
  <c r="Z14" i="10" s="1"/>
  <c r="Y13" i="10"/>
  <c r="U13" i="10"/>
  <c r="Q13" i="10"/>
  <c r="M13" i="10"/>
  <c r="I13" i="10"/>
  <c r="Y12" i="10"/>
  <c r="U12" i="10"/>
  <c r="Q12" i="10"/>
  <c r="M12" i="10"/>
  <c r="I12" i="10"/>
  <c r="Y11" i="10"/>
  <c r="U11" i="10"/>
  <c r="Q11" i="10"/>
  <c r="M11" i="10"/>
  <c r="I11" i="10"/>
  <c r="Z11" i="10" s="1"/>
  <c r="Y10" i="10"/>
  <c r="U10" i="10"/>
  <c r="Q10" i="10"/>
  <c r="M10" i="10"/>
  <c r="I10" i="10"/>
  <c r="Z10" i="10" s="1"/>
  <c r="Y9" i="10"/>
  <c r="U9" i="10"/>
  <c r="Q9" i="10"/>
  <c r="M9" i="10"/>
  <c r="I9" i="10"/>
  <c r="Z9" i="10" s="1"/>
  <c r="Y8" i="10"/>
  <c r="U8" i="10"/>
  <c r="Q8" i="10"/>
  <c r="M8" i="10"/>
  <c r="I8" i="10"/>
  <c r="Y7" i="10"/>
  <c r="U7" i="10"/>
  <c r="Q7" i="10"/>
  <c r="M7" i="10"/>
  <c r="I7" i="10"/>
  <c r="Z7" i="10" s="1"/>
  <c r="Y6" i="10"/>
  <c r="U6" i="10"/>
  <c r="Q6" i="10"/>
  <c r="M6" i="10"/>
  <c r="I6" i="10"/>
  <c r="Z6" i="10" s="1"/>
  <c r="Y5" i="10"/>
  <c r="U5" i="10"/>
  <c r="Q5" i="10"/>
  <c r="M5" i="10"/>
  <c r="I5" i="10"/>
  <c r="Z5" i="10" s="1"/>
  <c r="Y4" i="10"/>
  <c r="U4" i="10"/>
  <c r="Q4" i="10"/>
  <c r="M4" i="10"/>
  <c r="I4" i="10"/>
  <c r="Y3" i="10"/>
  <c r="U3" i="10"/>
  <c r="Q3" i="10"/>
  <c r="M3" i="10"/>
  <c r="I3" i="10"/>
  <c r="Z3" i="10" s="1"/>
  <c r="I32" i="9"/>
  <c r="M32" i="9"/>
  <c r="Q32" i="9"/>
  <c r="U32" i="9"/>
  <c r="Y32" i="9"/>
  <c r="Z32" i="9"/>
  <c r="I33" i="9"/>
  <c r="M33" i="9"/>
  <c r="Q33" i="9"/>
  <c r="U33" i="9"/>
  <c r="Y33" i="9"/>
  <c r="Z33" i="9"/>
  <c r="I34" i="9"/>
  <c r="M34" i="9"/>
  <c r="Q34" i="9"/>
  <c r="U34" i="9"/>
  <c r="Y34" i="9"/>
  <c r="Z34" i="9"/>
  <c r="I35" i="9"/>
  <c r="Z35" i="9" s="1"/>
  <c r="M35" i="9"/>
  <c r="Q35" i="9"/>
  <c r="U35" i="9"/>
  <c r="Y35" i="9"/>
  <c r="I36" i="9"/>
  <c r="M36" i="9"/>
  <c r="Q36" i="9"/>
  <c r="U36" i="9"/>
  <c r="Y36" i="9"/>
  <c r="Z36" i="9"/>
  <c r="I37" i="9"/>
  <c r="M37" i="9"/>
  <c r="Q37" i="9"/>
  <c r="U37" i="9"/>
  <c r="Y37" i="9"/>
  <c r="Z37" i="9"/>
  <c r="Y31" i="9"/>
  <c r="U31" i="9"/>
  <c r="Q31" i="9"/>
  <c r="M31" i="9"/>
  <c r="I31" i="9"/>
  <c r="Z31" i="9" s="1"/>
  <c r="Y30" i="9"/>
  <c r="U30" i="9"/>
  <c r="Q30" i="9"/>
  <c r="M30" i="9"/>
  <c r="I30" i="9"/>
  <c r="Z30" i="9" s="1"/>
  <c r="Y29" i="9"/>
  <c r="U29" i="9"/>
  <c r="Q29" i="9"/>
  <c r="M29" i="9"/>
  <c r="I29" i="9"/>
  <c r="Z29" i="9" s="1"/>
  <c r="Y28" i="9"/>
  <c r="U28" i="9"/>
  <c r="Q28" i="9"/>
  <c r="Z28" i="9" s="1"/>
  <c r="M28" i="9"/>
  <c r="I28" i="9"/>
  <c r="Y27" i="9"/>
  <c r="U27" i="9"/>
  <c r="Q27" i="9"/>
  <c r="M27" i="9"/>
  <c r="I27" i="9"/>
  <c r="Z27" i="9" s="1"/>
  <c r="Y26" i="9"/>
  <c r="U26" i="9"/>
  <c r="Q26" i="9"/>
  <c r="Z26" i="9" s="1"/>
  <c r="M26" i="9"/>
  <c r="I26" i="9"/>
  <c r="Y25" i="9"/>
  <c r="U25" i="9"/>
  <c r="Q25" i="9"/>
  <c r="M25" i="9"/>
  <c r="I25" i="9"/>
  <c r="Z25" i="9" s="1"/>
  <c r="Y24" i="9"/>
  <c r="Z24" i="9" s="1"/>
  <c r="U24" i="9"/>
  <c r="Q24" i="9"/>
  <c r="M24" i="9"/>
  <c r="I24" i="9"/>
  <c r="Y23" i="9"/>
  <c r="U23" i="9"/>
  <c r="Q23" i="9"/>
  <c r="M23" i="9"/>
  <c r="I23" i="9"/>
  <c r="Z23" i="9" s="1"/>
  <c r="Y22" i="9"/>
  <c r="Z22" i="9" s="1"/>
  <c r="U22" i="9"/>
  <c r="Q22" i="9"/>
  <c r="M22" i="9"/>
  <c r="I22" i="9"/>
  <c r="Y21" i="9"/>
  <c r="U21" i="9"/>
  <c r="Q21" i="9"/>
  <c r="M21" i="9"/>
  <c r="I21" i="9"/>
  <c r="Z21" i="9" s="1"/>
  <c r="Y20" i="9"/>
  <c r="U20" i="9"/>
  <c r="Q20" i="9"/>
  <c r="M20" i="9"/>
  <c r="I20" i="9"/>
  <c r="Z20" i="9" s="1"/>
  <c r="Y19" i="9"/>
  <c r="U19" i="9"/>
  <c r="Q19" i="9"/>
  <c r="M19" i="9"/>
  <c r="I19" i="9"/>
  <c r="Z19" i="9" s="1"/>
  <c r="Y18" i="9"/>
  <c r="U18" i="9"/>
  <c r="Q18" i="9"/>
  <c r="M18" i="9"/>
  <c r="I18" i="9"/>
  <c r="Z18" i="9" s="1"/>
  <c r="Y17" i="9"/>
  <c r="U17" i="9"/>
  <c r="Q17" i="9"/>
  <c r="Z17" i="9" s="1"/>
  <c r="M17" i="9"/>
  <c r="I17" i="9"/>
  <c r="Y16" i="9"/>
  <c r="U16" i="9"/>
  <c r="Q16" i="9"/>
  <c r="M16" i="9"/>
  <c r="I16" i="9"/>
  <c r="Z16" i="9" s="1"/>
  <c r="Y15" i="9"/>
  <c r="U15" i="9"/>
  <c r="Q15" i="9"/>
  <c r="Z15" i="9" s="1"/>
  <c r="M15" i="9"/>
  <c r="I15" i="9"/>
  <c r="Y14" i="9"/>
  <c r="U14" i="9"/>
  <c r="Q14" i="9"/>
  <c r="M14" i="9"/>
  <c r="I14" i="9"/>
  <c r="Z14" i="9" s="1"/>
  <c r="Y13" i="9"/>
  <c r="Z13" i="9" s="1"/>
  <c r="U13" i="9"/>
  <c r="Q13" i="9"/>
  <c r="M13" i="9"/>
  <c r="I13" i="9"/>
  <c r="Y12" i="9"/>
  <c r="U12" i="9"/>
  <c r="Q12" i="9"/>
  <c r="M12" i="9"/>
  <c r="I12" i="9"/>
  <c r="Z12" i="9" s="1"/>
  <c r="Y11" i="9"/>
  <c r="Z11" i="9" s="1"/>
  <c r="U11" i="9"/>
  <c r="Q11" i="9"/>
  <c r="M11" i="9"/>
  <c r="I11" i="9"/>
  <c r="Y10" i="9"/>
  <c r="U10" i="9"/>
  <c r="Q10" i="9"/>
  <c r="M10" i="9"/>
  <c r="I10" i="9"/>
  <c r="Z10" i="9" s="1"/>
  <c r="Y9" i="9"/>
  <c r="U9" i="9"/>
  <c r="Q9" i="9"/>
  <c r="M9" i="9"/>
  <c r="I9" i="9"/>
  <c r="Z9" i="9" s="1"/>
  <c r="Y8" i="9"/>
  <c r="U8" i="9"/>
  <c r="Q8" i="9"/>
  <c r="M8" i="9"/>
  <c r="I8" i="9"/>
  <c r="Z8" i="9" s="1"/>
  <c r="Y7" i="9"/>
  <c r="U7" i="9"/>
  <c r="Q7" i="9"/>
  <c r="M7" i="9"/>
  <c r="I7" i="9"/>
  <c r="Z7" i="9" s="1"/>
  <c r="Y6" i="9"/>
  <c r="U6" i="9"/>
  <c r="Q6" i="9"/>
  <c r="Z6" i="9" s="1"/>
  <c r="M6" i="9"/>
  <c r="I6" i="9"/>
  <c r="Y5" i="9"/>
  <c r="U5" i="9"/>
  <c r="Q5" i="9"/>
  <c r="M5" i="9"/>
  <c r="I5" i="9"/>
  <c r="Z5" i="9" s="1"/>
  <c r="Y4" i="9"/>
  <c r="U4" i="9"/>
  <c r="Q4" i="9"/>
  <c r="Z4" i="9" s="1"/>
  <c r="M4" i="9"/>
  <c r="I4" i="9"/>
  <c r="Y3" i="9"/>
  <c r="U3" i="9"/>
  <c r="Q3" i="9"/>
  <c r="M3" i="9"/>
  <c r="I3" i="9"/>
  <c r="Z3" i="9" s="1"/>
  <c r="Y31" i="8"/>
  <c r="U31" i="8"/>
  <c r="Q31" i="8"/>
  <c r="M31" i="8"/>
  <c r="I31" i="8"/>
  <c r="Z31" i="8" s="1"/>
  <c r="Y30" i="8"/>
  <c r="U30" i="8"/>
  <c r="Q30" i="8"/>
  <c r="M30" i="8"/>
  <c r="I30" i="8"/>
  <c r="Z30" i="8" s="1"/>
  <c r="Y29" i="8"/>
  <c r="U29" i="8"/>
  <c r="Q29" i="8"/>
  <c r="M29" i="8"/>
  <c r="I29" i="8"/>
  <c r="Z29" i="8" s="1"/>
  <c r="Y28" i="8"/>
  <c r="Z28" i="8" s="1"/>
  <c r="U28" i="8"/>
  <c r="Q28" i="8"/>
  <c r="M28" i="8"/>
  <c r="I28" i="8"/>
  <c r="Y27" i="8"/>
  <c r="U27" i="8"/>
  <c r="Q27" i="8"/>
  <c r="M27" i="8"/>
  <c r="I27" i="8"/>
  <c r="Z27" i="8" s="1"/>
  <c r="Y26" i="8"/>
  <c r="U26" i="8"/>
  <c r="Q26" i="8"/>
  <c r="M26" i="8"/>
  <c r="I26" i="8"/>
  <c r="Z26" i="8" s="1"/>
  <c r="Y25" i="8"/>
  <c r="U25" i="8"/>
  <c r="Q25" i="8"/>
  <c r="M25" i="8"/>
  <c r="I25" i="8"/>
  <c r="Z25" i="8" s="1"/>
  <c r="Y24" i="8"/>
  <c r="U24" i="8"/>
  <c r="Q24" i="8"/>
  <c r="M24" i="8"/>
  <c r="I24" i="8"/>
  <c r="Z24" i="8" s="1"/>
  <c r="Y23" i="8"/>
  <c r="U23" i="8"/>
  <c r="Q23" i="8"/>
  <c r="M23" i="8"/>
  <c r="I23" i="8"/>
  <c r="Z23" i="8" s="1"/>
  <c r="Y22" i="8"/>
  <c r="U22" i="8"/>
  <c r="Q22" i="8"/>
  <c r="M22" i="8"/>
  <c r="I22" i="8"/>
  <c r="Z22" i="8" s="1"/>
  <c r="Y21" i="8"/>
  <c r="U21" i="8"/>
  <c r="Q21" i="8"/>
  <c r="Z21" i="8" s="1"/>
  <c r="M21" i="8"/>
  <c r="I21" i="8"/>
  <c r="Y20" i="8"/>
  <c r="U20" i="8"/>
  <c r="Q20" i="8"/>
  <c r="M20" i="8"/>
  <c r="I20" i="8"/>
  <c r="Z20" i="8" s="1"/>
  <c r="Y19" i="8"/>
  <c r="U19" i="8"/>
  <c r="Q19" i="8"/>
  <c r="M19" i="8"/>
  <c r="I19" i="8"/>
  <c r="Z19" i="8" s="1"/>
  <c r="Y18" i="8"/>
  <c r="U18" i="8"/>
  <c r="Q18" i="8"/>
  <c r="M18" i="8"/>
  <c r="I18" i="8"/>
  <c r="Z18" i="8" s="1"/>
  <c r="Y17" i="8"/>
  <c r="Z17" i="8" s="1"/>
  <c r="U17" i="8"/>
  <c r="Q17" i="8"/>
  <c r="M17" i="8"/>
  <c r="I17" i="8"/>
  <c r="Y16" i="8"/>
  <c r="U16" i="8"/>
  <c r="Q16" i="8"/>
  <c r="M16" i="8"/>
  <c r="I16" i="8"/>
  <c r="Z16" i="8" s="1"/>
  <c r="Y15" i="8"/>
  <c r="U15" i="8"/>
  <c r="Q15" i="8"/>
  <c r="M15" i="8"/>
  <c r="I15" i="8"/>
  <c r="Z15" i="8" s="1"/>
  <c r="Y14" i="8"/>
  <c r="U14" i="8"/>
  <c r="Q14" i="8"/>
  <c r="M14" i="8"/>
  <c r="I14" i="8"/>
  <c r="Z14" i="8" s="1"/>
  <c r="Y13" i="8"/>
  <c r="U13" i="8"/>
  <c r="Q13" i="8"/>
  <c r="M13" i="8"/>
  <c r="I13" i="8"/>
  <c r="Z13" i="8" s="1"/>
  <c r="Y12" i="8"/>
  <c r="U12" i="8"/>
  <c r="Q12" i="8"/>
  <c r="M12" i="8"/>
  <c r="I12" i="8"/>
  <c r="Z12" i="8" s="1"/>
  <c r="Y11" i="8"/>
  <c r="U11" i="8"/>
  <c r="Q11" i="8"/>
  <c r="M11" i="8"/>
  <c r="I11" i="8"/>
  <c r="Z11" i="8" s="1"/>
  <c r="Y10" i="8"/>
  <c r="U10" i="8"/>
  <c r="Q10" i="8"/>
  <c r="Z10" i="8" s="1"/>
  <c r="M10" i="8"/>
  <c r="I10" i="8"/>
  <c r="Y9" i="8"/>
  <c r="U9" i="8"/>
  <c r="Q9" i="8"/>
  <c r="M9" i="8"/>
  <c r="I9" i="8"/>
  <c r="Z9" i="8" s="1"/>
  <c r="Y8" i="8"/>
  <c r="U8" i="8"/>
  <c r="Q8" i="8"/>
  <c r="M8" i="8"/>
  <c r="I8" i="8"/>
  <c r="Z8" i="8" s="1"/>
  <c r="Y7" i="8"/>
  <c r="U7" i="8"/>
  <c r="Q7" i="8"/>
  <c r="M7" i="8"/>
  <c r="I7" i="8"/>
  <c r="Z7" i="8" s="1"/>
  <c r="Y6" i="8"/>
  <c r="Z6" i="8" s="1"/>
  <c r="U6" i="8"/>
  <c r="Q6" i="8"/>
  <c r="M6" i="8"/>
  <c r="I6" i="8"/>
  <c r="Y5" i="8"/>
  <c r="U5" i="8"/>
  <c r="Q5" i="8"/>
  <c r="M5" i="8"/>
  <c r="I5" i="8"/>
  <c r="Z5" i="8" s="1"/>
  <c r="Y4" i="8"/>
  <c r="U4" i="8"/>
  <c r="Q4" i="8"/>
  <c r="M4" i="8"/>
  <c r="I4" i="8"/>
  <c r="Z4" i="8" s="1"/>
  <c r="Y3" i="8"/>
  <c r="U3" i="8"/>
  <c r="Q3" i="8"/>
  <c r="M3" i="8"/>
  <c r="I3" i="8"/>
  <c r="Z3" i="8" s="1"/>
  <c r="I31" i="7"/>
  <c r="M31" i="7"/>
  <c r="Q31" i="7"/>
  <c r="U31" i="7"/>
  <c r="Y31" i="7"/>
  <c r="Z31" i="7"/>
  <c r="I32" i="7"/>
  <c r="Z32" i="7" s="1"/>
  <c r="M32" i="7"/>
  <c r="Q32" i="7"/>
  <c r="U32" i="7"/>
  <c r="Y32" i="7"/>
  <c r="I33" i="7"/>
  <c r="M33" i="7"/>
  <c r="Q33" i="7"/>
  <c r="U33" i="7"/>
  <c r="Y33" i="7"/>
  <c r="Z33" i="7"/>
  <c r="I34" i="7"/>
  <c r="Z34" i="7" s="1"/>
  <c r="M34" i="7"/>
  <c r="Q34" i="7"/>
  <c r="U34" i="7"/>
  <c r="Y34" i="7"/>
  <c r="I35" i="7"/>
  <c r="M35" i="7"/>
  <c r="Q35" i="7"/>
  <c r="U35" i="7"/>
  <c r="Y35" i="7"/>
  <c r="Z35" i="7"/>
  <c r="I36" i="7"/>
  <c r="M36" i="7"/>
  <c r="Q36" i="7"/>
  <c r="U36" i="7"/>
  <c r="Y36" i="7"/>
  <c r="Z36" i="7"/>
  <c r="I37" i="7"/>
  <c r="M37" i="7"/>
  <c r="Q37" i="7"/>
  <c r="U37" i="7"/>
  <c r="Y37" i="7"/>
  <c r="Z37" i="7"/>
  <c r="I38" i="7"/>
  <c r="Z38" i="7" s="1"/>
  <c r="M38" i="7"/>
  <c r="Q38" i="7"/>
  <c r="U38" i="7"/>
  <c r="Y38" i="7"/>
  <c r="I39" i="7"/>
  <c r="Z39" i="7" s="1"/>
  <c r="M39" i="7"/>
  <c r="Q39" i="7"/>
  <c r="U39" i="7"/>
  <c r="Y39" i="7"/>
  <c r="I40" i="7"/>
  <c r="M40" i="7"/>
  <c r="Q40" i="7"/>
  <c r="U40" i="7"/>
  <c r="Y40" i="7"/>
  <c r="Z40" i="7"/>
  <c r="I41" i="7"/>
  <c r="M41" i="7"/>
  <c r="Q41" i="7"/>
  <c r="U41" i="7"/>
  <c r="Y41" i="7"/>
  <c r="Z41" i="7"/>
  <c r="I42" i="7"/>
  <c r="M42" i="7"/>
  <c r="Q42" i="7"/>
  <c r="U42" i="7"/>
  <c r="Y42" i="7"/>
  <c r="Z42" i="7"/>
  <c r="I43" i="7"/>
  <c r="Z43" i="7" s="1"/>
  <c r="M43" i="7"/>
  <c r="Q43" i="7"/>
  <c r="U43" i="7"/>
  <c r="Y43" i="7"/>
  <c r="I44" i="7"/>
  <c r="M44" i="7"/>
  <c r="Q44" i="7"/>
  <c r="U44" i="7"/>
  <c r="Y44" i="7"/>
  <c r="Z44" i="7"/>
  <c r="I45" i="7"/>
  <c r="Z45" i="7" s="1"/>
  <c r="M45" i="7"/>
  <c r="Q45" i="7"/>
  <c r="U45" i="7"/>
  <c r="Y45" i="7"/>
  <c r="I46" i="7"/>
  <c r="M46" i="7"/>
  <c r="Q46" i="7"/>
  <c r="U46" i="7"/>
  <c r="Y46" i="7"/>
  <c r="Z46" i="7"/>
  <c r="Y30" i="7"/>
  <c r="U30" i="7"/>
  <c r="Q30" i="7"/>
  <c r="M30" i="7"/>
  <c r="I30" i="7"/>
  <c r="Z30" i="7" s="1"/>
  <c r="Y29" i="7"/>
  <c r="U29" i="7"/>
  <c r="Q29" i="7"/>
  <c r="M29" i="7"/>
  <c r="I29" i="7"/>
  <c r="Z29" i="7" s="1"/>
  <c r="Y28" i="7"/>
  <c r="U28" i="7"/>
  <c r="Q28" i="7"/>
  <c r="M28" i="7"/>
  <c r="I28" i="7"/>
  <c r="Z28" i="7" s="1"/>
  <c r="Y27" i="7"/>
  <c r="U27" i="7"/>
  <c r="Q27" i="7"/>
  <c r="Z27" i="7" s="1"/>
  <c r="M27" i="7"/>
  <c r="I27" i="7"/>
  <c r="Y26" i="7"/>
  <c r="U26" i="7"/>
  <c r="Q26" i="7"/>
  <c r="M26" i="7"/>
  <c r="I26" i="7"/>
  <c r="Z26" i="7" s="1"/>
  <c r="Y25" i="7"/>
  <c r="U25" i="7"/>
  <c r="Q25" i="7"/>
  <c r="M25" i="7"/>
  <c r="I25" i="7"/>
  <c r="Z25" i="7" s="1"/>
  <c r="Y24" i="7"/>
  <c r="U24" i="7"/>
  <c r="Q24" i="7"/>
  <c r="M24" i="7"/>
  <c r="I24" i="7"/>
  <c r="Z24" i="7" s="1"/>
  <c r="Y23" i="7"/>
  <c r="Z23" i="7" s="1"/>
  <c r="U23" i="7"/>
  <c r="Q23" i="7"/>
  <c r="M23" i="7"/>
  <c r="I23" i="7"/>
  <c r="Y22" i="7"/>
  <c r="U22" i="7"/>
  <c r="Q22" i="7"/>
  <c r="M22" i="7"/>
  <c r="I22" i="7"/>
  <c r="Z22" i="7" s="1"/>
  <c r="Y21" i="7"/>
  <c r="U21" i="7"/>
  <c r="Q21" i="7"/>
  <c r="M21" i="7"/>
  <c r="I21" i="7"/>
  <c r="Z21" i="7" s="1"/>
  <c r="Y20" i="7"/>
  <c r="U20" i="7"/>
  <c r="Q20" i="7"/>
  <c r="M20" i="7"/>
  <c r="I20" i="7"/>
  <c r="Z20" i="7" s="1"/>
  <c r="Y19" i="7"/>
  <c r="U19" i="7"/>
  <c r="Q19" i="7"/>
  <c r="M19" i="7"/>
  <c r="I19" i="7"/>
  <c r="Z19" i="7" s="1"/>
  <c r="Y18" i="7"/>
  <c r="U18" i="7"/>
  <c r="Q18" i="7"/>
  <c r="M18" i="7"/>
  <c r="I18" i="7"/>
  <c r="Z18" i="7" s="1"/>
  <c r="Y17" i="7"/>
  <c r="U17" i="7"/>
  <c r="Q17" i="7"/>
  <c r="M17" i="7"/>
  <c r="I17" i="7"/>
  <c r="Z17" i="7" s="1"/>
  <c r="Y16" i="7"/>
  <c r="U16" i="7"/>
  <c r="Q16" i="7"/>
  <c r="Z16" i="7" s="1"/>
  <c r="M16" i="7"/>
  <c r="I16" i="7"/>
  <c r="Y15" i="7"/>
  <c r="U15" i="7"/>
  <c r="Q15" i="7"/>
  <c r="M15" i="7"/>
  <c r="I15" i="7"/>
  <c r="Z15" i="7" s="1"/>
  <c r="Y14" i="7"/>
  <c r="U14" i="7"/>
  <c r="Q14" i="7"/>
  <c r="M14" i="7"/>
  <c r="I14" i="7"/>
  <c r="Z14" i="7" s="1"/>
  <c r="Y13" i="7"/>
  <c r="U13" i="7"/>
  <c r="Q13" i="7"/>
  <c r="M13" i="7"/>
  <c r="I13" i="7"/>
  <c r="Z13" i="7" s="1"/>
  <c r="Y12" i="7"/>
  <c r="Z12" i="7" s="1"/>
  <c r="U12" i="7"/>
  <c r="Q12" i="7"/>
  <c r="M12" i="7"/>
  <c r="I12" i="7"/>
  <c r="Y11" i="7"/>
  <c r="U11" i="7"/>
  <c r="Q11" i="7"/>
  <c r="M11" i="7"/>
  <c r="I11" i="7"/>
  <c r="Z11" i="7" s="1"/>
  <c r="Y10" i="7"/>
  <c r="U10" i="7"/>
  <c r="Q10" i="7"/>
  <c r="M10" i="7"/>
  <c r="I10" i="7"/>
  <c r="Z10" i="7" s="1"/>
  <c r="Y9" i="7"/>
  <c r="U9" i="7"/>
  <c r="Q9" i="7"/>
  <c r="M9" i="7"/>
  <c r="I9" i="7"/>
  <c r="Z9" i="7" s="1"/>
  <c r="Y8" i="7"/>
  <c r="U8" i="7"/>
  <c r="Q8" i="7"/>
  <c r="M8" i="7"/>
  <c r="I8" i="7"/>
  <c r="Z8" i="7" s="1"/>
  <c r="Y7" i="7"/>
  <c r="U7" i="7"/>
  <c r="Q7" i="7"/>
  <c r="M7" i="7"/>
  <c r="I7" i="7"/>
  <c r="Z7" i="7" s="1"/>
  <c r="Y6" i="7"/>
  <c r="U6" i="7"/>
  <c r="Q6" i="7"/>
  <c r="M6" i="7"/>
  <c r="I6" i="7"/>
  <c r="Z6" i="7" s="1"/>
  <c r="Y5" i="7"/>
  <c r="U5" i="7"/>
  <c r="Q5" i="7"/>
  <c r="Z5" i="7" s="1"/>
  <c r="M5" i="7"/>
  <c r="I5" i="7"/>
  <c r="Y4" i="7"/>
  <c r="U4" i="7"/>
  <c r="Q4" i="7"/>
  <c r="M4" i="7"/>
  <c r="I4" i="7"/>
  <c r="Z4" i="7" s="1"/>
  <c r="Y3" i="7"/>
  <c r="U3" i="7"/>
  <c r="Q3" i="7"/>
  <c r="M3" i="7"/>
  <c r="I3" i="7"/>
  <c r="Z3" i="7" s="1"/>
  <c r="Y30" i="6"/>
  <c r="U30" i="6"/>
  <c r="Q30" i="6"/>
  <c r="M30" i="6"/>
  <c r="I30" i="6"/>
  <c r="Z30" i="6" s="1"/>
  <c r="Y29" i="6"/>
  <c r="U29" i="6"/>
  <c r="Q29" i="6"/>
  <c r="M29" i="6"/>
  <c r="I29" i="6"/>
  <c r="Z29" i="6" s="1"/>
  <c r="Y28" i="6"/>
  <c r="U28" i="6"/>
  <c r="Q28" i="6"/>
  <c r="M28" i="6"/>
  <c r="I28" i="6"/>
  <c r="Z28" i="6" s="1"/>
  <c r="Y27" i="6"/>
  <c r="U27" i="6"/>
  <c r="Q27" i="6"/>
  <c r="M27" i="6"/>
  <c r="I27" i="6"/>
  <c r="Z27" i="6" s="1"/>
  <c r="Y26" i="6"/>
  <c r="U26" i="6"/>
  <c r="Q26" i="6"/>
  <c r="M26" i="6"/>
  <c r="I26" i="6"/>
  <c r="Y25" i="6"/>
  <c r="U25" i="6"/>
  <c r="Q25" i="6"/>
  <c r="M25" i="6"/>
  <c r="I25" i="6"/>
  <c r="Z25" i="6" s="1"/>
  <c r="Y24" i="6"/>
  <c r="U24" i="6"/>
  <c r="Q24" i="6"/>
  <c r="M24" i="6"/>
  <c r="I24" i="6"/>
  <c r="Z24" i="6" s="1"/>
  <c r="Y23" i="6"/>
  <c r="U23" i="6"/>
  <c r="Q23" i="6"/>
  <c r="M23" i="6"/>
  <c r="I23" i="6"/>
  <c r="Z23" i="6" s="1"/>
  <c r="Y22" i="6"/>
  <c r="U22" i="6"/>
  <c r="Q22" i="6"/>
  <c r="M22" i="6"/>
  <c r="I22" i="6"/>
  <c r="Y21" i="6"/>
  <c r="U21" i="6"/>
  <c r="Q21" i="6"/>
  <c r="M21" i="6"/>
  <c r="I21" i="6"/>
  <c r="Z21" i="6" s="1"/>
  <c r="Y20" i="6"/>
  <c r="U20" i="6"/>
  <c r="Q20" i="6"/>
  <c r="M20" i="6"/>
  <c r="I20" i="6"/>
  <c r="Z20" i="6" s="1"/>
  <c r="Y19" i="6"/>
  <c r="U19" i="6"/>
  <c r="Q19" i="6"/>
  <c r="M19" i="6"/>
  <c r="I19" i="6"/>
  <c r="Z19" i="6" s="1"/>
  <c r="Y18" i="6"/>
  <c r="U18" i="6"/>
  <c r="Q18" i="6"/>
  <c r="M18" i="6"/>
  <c r="I18" i="6"/>
  <c r="Z18" i="6" s="1"/>
  <c r="Y17" i="6"/>
  <c r="U17" i="6"/>
  <c r="Q17" i="6"/>
  <c r="M17" i="6"/>
  <c r="I17" i="6"/>
  <c r="Y16" i="6"/>
  <c r="U16" i="6"/>
  <c r="Q16" i="6"/>
  <c r="M16" i="6"/>
  <c r="I16" i="6"/>
  <c r="Z16" i="6" s="1"/>
  <c r="Y15" i="6"/>
  <c r="U15" i="6"/>
  <c r="Q15" i="6"/>
  <c r="M15" i="6"/>
  <c r="I15" i="6"/>
  <c r="Y14" i="6"/>
  <c r="U14" i="6"/>
  <c r="Q14" i="6"/>
  <c r="M14" i="6"/>
  <c r="I14" i="6"/>
  <c r="Z14" i="6" s="1"/>
  <c r="Y13" i="6"/>
  <c r="U13" i="6"/>
  <c r="Q13" i="6"/>
  <c r="M13" i="6"/>
  <c r="I13" i="6"/>
  <c r="Y12" i="6"/>
  <c r="U12" i="6"/>
  <c r="Q12" i="6"/>
  <c r="M12" i="6"/>
  <c r="I12" i="6"/>
  <c r="Z12" i="6" s="1"/>
  <c r="Y11" i="6"/>
  <c r="U11" i="6"/>
  <c r="Q11" i="6"/>
  <c r="M11" i="6"/>
  <c r="I11" i="6"/>
  <c r="Y10" i="6"/>
  <c r="U10" i="6"/>
  <c r="Q10" i="6"/>
  <c r="M10" i="6"/>
  <c r="I10" i="6"/>
  <c r="Z10" i="6" s="1"/>
  <c r="Y9" i="6"/>
  <c r="U9" i="6"/>
  <c r="Q9" i="6"/>
  <c r="M9" i="6"/>
  <c r="I9" i="6"/>
  <c r="Z9" i="6" s="1"/>
  <c r="Y8" i="6"/>
  <c r="U8" i="6"/>
  <c r="Q8" i="6"/>
  <c r="M8" i="6"/>
  <c r="I8" i="6"/>
  <c r="Z8" i="6" s="1"/>
  <c r="Y7" i="6"/>
  <c r="U7" i="6"/>
  <c r="Q7" i="6"/>
  <c r="M7" i="6"/>
  <c r="I7" i="6"/>
  <c r="Z7" i="6" s="1"/>
  <c r="Y6" i="6"/>
  <c r="U6" i="6"/>
  <c r="Q6" i="6"/>
  <c r="M6" i="6"/>
  <c r="I6" i="6"/>
  <c r="Z6" i="6" s="1"/>
  <c r="Y5" i="6"/>
  <c r="U5" i="6"/>
  <c r="Q5" i="6"/>
  <c r="M5" i="6"/>
  <c r="I5" i="6"/>
  <c r="Z5" i="6" s="1"/>
  <c r="Y4" i="6"/>
  <c r="U4" i="6"/>
  <c r="Q4" i="6"/>
  <c r="M4" i="6"/>
  <c r="I4" i="6"/>
  <c r="Y3" i="6"/>
  <c r="U3" i="6"/>
  <c r="Q3" i="6"/>
  <c r="M3" i="6"/>
  <c r="I3" i="6"/>
  <c r="Z3" i="6" s="1"/>
  <c r="I23" i="5"/>
  <c r="M23" i="5"/>
  <c r="Q23" i="5"/>
  <c r="U23" i="5"/>
  <c r="Y23" i="5"/>
  <c r="Z23" i="5"/>
  <c r="I24" i="5"/>
  <c r="M24" i="5"/>
  <c r="Q24" i="5"/>
  <c r="U24" i="5"/>
  <c r="Y24" i="5"/>
  <c r="Z24" i="5"/>
  <c r="I25" i="5"/>
  <c r="M25" i="5"/>
  <c r="Q25" i="5"/>
  <c r="U25" i="5"/>
  <c r="Y25" i="5"/>
  <c r="Z25" i="5"/>
  <c r="I26" i="5"/>
  <c r="Z26" i="5" s="1"/>
  <c r="M26" i="5"/>
  <c r="Q26" i="5"/>
  <c r="U26" i="5"/>
  <c r="Y26" i="5"/>
  <c r="I27" i="5"/>
  <c r="M27" i="5"/>
  <c r="Q27" i="5"/>
  <c r="U27" i="5"/>
  <c r="Y27" i="5"/>
  <c r="Z27" i="5"/>
  <c r="I28" i="5"/>
  <c r="M28" i="5"/>
  <c r="Q28" i="5"/>
  <c r="U28" i="5"/>
  <c r="Y28" i="5"/>
  <c r="Z28" i="5"/>
  <c r="I29" i="5"/>
  <c r="M29" i="5"/>
  <c r="Q29" i="5"/>
  <c r="U29" i="5"/>
  <c r="Y29" i="5"/>
  <c r="Z29" i="5" s="1"/>
  <c r="I30" i="5"/>
  <c r="Z30" i="5" s="1"/>
  <c r="M30" i="5"/>
  <c r="Q30" i="5"/>
  <c r="U30" i="5"/>
  <c r="Y30" i="5"/>
  <c r="I31" i="5"/>
  <c r="M31" i="5"/>
  <c r="Q31" i="5"/>
  <c r="U31" i="5"/>
  <c r="Y31" i="5"/>
  <c r="Z31" i="5"/>
  <c r="I32" i="5"/>
  <c r="M32" i="5"/>
  <c r="Q32" i="5"/>
  <c r="U32" i="5"/>
  <c r="Y32" i="5"/>
  <c r="Z32" i="5"/>
  <c r="I33" i="5"/>
  <c r="M33" i="5"/>
  <c r="Q33" i="5"/>
  <c r="U33" i="5"/>
  <c r="Y33" i="5"/>
  <c r="Z33" i="5"/>
  <c r="I34" i="5"/>
  <c r="M34" i="5"/>
  <c r="Q34" i="5"/>
  <c r="U34" i="5"/>
  <c r="Y34" i="5"/>
  <c r="Z34" i="5"/>
  <c r="I35" i="5"/>
  <c r="M35" i="5"/>
  <c r="Q35" i="5"/>
  <c r="U35" i="5"/>
  <c r="Y35" i="5"/>
  <c r="Z35" i="5"/>
  <c r="I36" i="5"/>
  <c r="M36" i="5"/>
  <c r="Q36" i="5"/>
  <c r="U36" i="5"/>
  <c r="Y36" i="5"/>
  <c r="Z36" i="5"/>
  <c r="I37" i="5"/>
  <c r="Z37" i="5" s="1"/>
  <c r="M37" i="5"/>
  <c r="Q37" i="5"/>
  <c r="U37" i="5"/>
  <c r="Y37" i="5"/>
  <c r="I38" i="5"/>
  <c r="M38" i="5"/>
  <c r="Q38" i="5"/>
  <c r="U38" i="5"/>
  <c r="Y38" i="5"/>
  <c r="Z38" i="5"/>
  <c r="I39" i="5"/>
  <c r="M39" i="5"/>
  <c r="Q39" i="5"/>
  <c r="U39" i="5"/>
  <c r="Y39" i="5"/>
  <c r="Z39" i="5"/>
  <c r="I40" i="5"/>
  <c r="M40" i="5"/>
  <c r="Q40" i="5"/>
  <c r="U40" i="5"/>
  <c r="Y40" i="5"/>
  <c r="Z40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U22" i="5"/>
  <c r="Q22" i="5"/>
  <c r="U21" i="5"/>
  <c r="Q21" i="5"/>
  <c r="U20" i="5"/>
  <c r="Q20" i="5"/>
  <c r="U19" i="5"/>
  <c r="Q19" i="5"/>
  <c r="U18" i="5"/>
  <c r="Q18" i="5"/>
  <c r="U17" i="5"/>
  <c r="Q17" i="5"/>
  <c r="U16" i="5"/>
  <c r="Q16" i="5"/>
  <c r="U15" i="5"/>
  <c r="Q15" i="5"/>
  <c r="U14" i="5"/>
  <c r="Q14" i="5"/>
  <c r="U13" i="5"/>
  <c r="Q13" i="5"/>
  <c r="U12" i="5"/>
  <c r="Q12" i="5"/>
  <c r="U11" i="5"/>
  <c r="Q11" i="5"/>
  <c r="U10" i="5"/>
  <c r="Q10" i="5"/>
  <c r="U9" i="5"/>
  <c r="Q9" i="5"/>
  <c r="U8" i="5"/>
  <c r="Q8" i="5"/>
  <c r="U7" i="5"/>
  <c r="Q7" i="5"/>
  <c r="U6" i="5"/>
  <c r="Q6" i="5"/>
  <c r="U5" i="5"/>
  <c r="Q5" i="5"/>
  <c r="U4" i="5"/>
  <c r="Q4" i="5"/>
  <c r="U3" i="5"/>
  <c r="Q3" i="5"/>
  <c r="M22" i="5"/>
  <c r="I22" i="5"/>
  <c r="M21" i="5"/>
  <c r="I21" i="5"/>
  <c r="M20" i="5"/>
  <c r="I20" i="5"/>
  <c r="M19" i="5"/>
  <c r="I19" i="5"/>
  <c r="M18" i="5"/>
  <c r="I18" i="5"/>
  <c r="M17" i="5"/>
  <c r="I17" i="5"/>
  <c r="M16" i="5"/>
  <c r="I16" i="5"/>
  <c r="M15" i="5"/>
  <c r="I15" i="5"/>
  <c r="M14" i="5"/>
  <c r="I14" i="5"/>
  <c r="M13" i="5"/>
  <c r="I13" i="5"/>
  <c r="M12" i="5"/>
  <c r="I12" i="5"/>
  <c r="M11" i="5"/>
  <c r="I11" i="5"/>
  <c r="M10" i="5"/>
  <c r="I10" i="5"/>
  <c r="M9" i="5"/>
  <c r="I9" i="5"/>
  <c r="M8" i="5"/>
  <c r="I8" i="5"/>
  <c r="M7" i="5"/>
  <c r="I7" i="5"/>
  <c r="M6" i="5"/>
  <c r="I6" i="5"/>
  <c r="M5" i="5"/>
  <c r="I5" i="5"/>
  <c r="M4" i="5"/>
  <c r="I4" i="5"/>
  <c r="M3" i="5"/>
  <c r="I3" i="5"/>
  <c r="M22" i="4"/>
  <c r="I22" i="4"/>
  <c r="N22" i="4" s="1"/>
  <c r="M21" i="4"/>
  <c r="I21" i="4"/>
  <c r="M20" i="4"/>
  <c r="I20" i="4"/>
  <c r="N20" i="4" s="1"/>
  <c r="M19" i="4"/>
  <c r="N19" i="4" s="1"/>
  <c r="I19" i="4"/>
  <c r="M18" i="4"/>
  <c r="I18" i="4"/>
  <c r="N18" i="4" s="1"/>
  <c r="M17" i="4"/>
  <c r="I17" i="4"/>
  <c r="M16" i="4"/>
  <c r="I16" i="4"/>
  <c r="N16" i="4" s="1"/>
  <c r="M15" i="4"/>
  <c r="I15" i="4"/>
  <c r="N15" i="4" s="1"/>
  <c r="M14" i="4"/>
  <c r="I14" i="4"/>
  <c r="N14" i="4" s="1"/>
  <c r="M13" i="4"/>
  <c r="I13" i="4"/>
  <c r="N13" i="4" s="1"/>
  <c r="M12" i="4"/>
  <c r="N12" i="4" s="1"/>
  <c r="I12" i="4"/>
  <c r="M11" i="4"/>
  <c r="I11" i="4"/>
  <c r="N11" i="4" s="1"/>
  <c r="M10" i="4"/>
  <c r="I10" i="4"/>
  <c r="N10" i="4" s="1"/>
  <c r="M9" i="4"/>
  <c r="I9" i="4"/>
  <c r="N9" i="4" s="1"/>
  <c r="M8" i="4"/>
  <c r="I8" i="4"/>
  <c r="M7" i="4"/>
  <c r="I7" i="4"/>
  <c r="N7" i="4" s="1"/>
  <c r="M6" i="4"/>
  <c r="I6" i="4"/>
  <c r="M5" i="4"/>
  <c r="I5" i="4"/>
  <c r="N5" i="4" s="1"/>
  <c r="M4" i="4"/>
  <c r="I4" i="4"/>
  <c r="N4" i="4" s="1"/>
  <c r="M3" i="4"/>
  <c r="I3" i="4"/>
  <c r="N3" i="4" s="1"/>
  <c r="I12" i="3"/>
  <c r="M12" i="3"/>
  <c r="I13" i="3"/>
  <c r="M13" i="3"/>
  <c r="N13" i="3"/>
  <c r="I14" i="3"/>
  <c r="M14" i="3"/>
  <c r="N14" i="3" s="1"/>
  <c r="I15" i="3"/>
  <c r="M15" i="3"/>
  <c r="N15" i="3"/>
  <c r="I16" i="3"/>
  <c r="M16" i="3"/>
  <c r="N16" i="3"/>
  <c r="I17" i="3"/>
  <c r="N17" i="3" s="1"/>
  <c r="M17" i="3"/>
  <c r="I18" i="3"/>
  <c r="M18" i="3"/>
  <c r="N18" i="3"/>
  <c r="I19" i="3"/>
  <c r="M19" i="3"/>
  <c r="I20" i="3"/>
  <c r="M20" i="3"/>
  <c r="I21" i="3"/>
  <c r="M21" i="3"/>
  <c r="N21" i="3"/>
  <c r="I22" i="3"/>
  <c r="M22" i="3"/>
  <c r="I23" i="3"/>
  <c r="M23" i="3"/>
  <c r="N23" i="3"/>
  <c r="I24" i="3"/>
  <c r="N24" i="3" s="1"/>
  <c r="M24" i="3"/>
  <c r="I25" i="3"/>
  <c r="M25" i="3"/>
  <c r="N25" i="3"/>
  <c r="I26" i="3"/>
  <c r="M26" i="3"/>
  <c r="M11" i="3"/>
  <c r="I11" i="3"/>
  <c r="N11" i="3" s="1"/>
  <c r="M10" i="3"/>
  <c r="I10" i="3"/>
  <c r="N10" i="3" s="1"/>
  <c r="M9" i="3"/>
  <c r="I9" i="3"/>
  <c r="N9" i="3" s="1"/>
  <c r="M8" i="3"/>
  <c r="I8" i="3"/>
  <c r="N8" i="3" s="1"/>
  <c r="M7" i="3"/>
  <c r="I7" i="3"/>
  <c r="N7" i="3" s="1"/>
  <c r="M6" i="3"/>
  <c r="I6" i="3"/>
  <c r="N6" i="3" s="1"/>
  <c r="M5" i="3"/>
  <c r="I5" i="3"/>
  <c r="N5" i="3" s="1"/>
  <c r="M4" i="3"/>
  <c r="I4" i="3"/>
  <c r="N4" i="3" s="1"/>
  <c r="M3" i="3"/>
  <c r="I3" i="3"/>
  <c r="N3" i="3" s="1"/>
  <c r="M11" i="2"/>
  <c r="I11" i="2"/>
  <c r="N11" i="2" s="1"/>
  <c r="M10" i="2"/>
  <c r="I10" i="2"/>
  <c r="N10" i="2" s="1"/>
  <c r="M9" i="2"/>
  <c r="I9" i="2"/>
  <c r="N9" i="2" s="1"/>
  <c r="M8" i="2"/>
  <c r="I8" i="2"/>
  <c r="N8" i="2" s="1"/>
  <c r="M7" i="2"/>
  <c r="I7" i="2"/>
  <c r="N7" i="2" s="1"/>
  <c r="M6" i="2"/>
  <c r="I6" i="2"/>
  <c r="N6" i="2" s="1"/>
  <c r="M5" i="2"/>
  <c r="I5" i="2"/>
  <c r="N5" i="2" s="1"/>
  <c r="M4" i="2"/>
  <c r="I4" i="2"/>
  <c r="N4" i="2" s="1"/>
  <c r="M3" i="2"/>
  <c r="I3" i="2"/>
  <c r="N3" i="2" s="1"/>
  <c r="N4" i="1"/>
  <c r="N5" i="1"/>
  <c r="N6" i="1"/>
  <c r="N7" i="1"/>
  <c r="N8" i="1"/>
  <c r="N9" i="1"/>
  <c r="N10" i="1"/>
  <c r="N11" i="1"/>
  <c r="N3" i="1"/>
  <c r="M3" i="1"/>
  <c r="M4" i="1"/>
  <c r="M5" i="1"/>
  <c r="M6" i="1"/>
  <c r="M7" i="1"/>
  <c r="M8" i="1"/>
  <c r="M9" i="1"/>
  <c r="M10" i="1"/>
  <c r="M11" i="1"/>
  <c r="I11" i="1"/>
  <c r="I10" i="1"/>
  <c r="I9" i="1"/>
  <c r="I8" i="1"/>
  <c r="I7" i="1"/>
  <c r="I6" i="1"/>
  <c r="I5" i="1"/>
  <c r="I4" i="1"/>
  <c r="I3" i="1"/>
  <c r="U16" i="15" l="1"/>
  <c r="U10" i="15"/>
  <c r="U3" i="15"/>
  <c r="U12" i="15"/>
  <c r="U9" i="15"/>
  <c r="U18" i="15"/>
  <c r="U5" i="15"/>
  <c r="U16" i="16"/>
  <c r="U8" i="16"/>
  <c r="U17" i="16"/>
  <c r="U4" i="16"/>
  <c r="U12" i="16"/>
  <c r="U13" i="16"/>
  <c r="U5" i="16"/>
  <c r="U14" i="16"/>
  <c r="U15" i="16"/>
  <c r="U10" i="16"/>
  <c r="U6" i="16"/>
  <c r="Z19" i="10"/>
  <c r="Z26" i="10"/>
  <c r="Z13" i="10"/>
  <c r="Z23" i="10"/>
  <c r="Z12" i="10"/>
  <c r="Z17" i="10"/>
  <c r="Z4" i="10"/>
  <c r="Z8" i="10"/>
  <c r="Z22" i="10"/>
  <c r="Z30" i="10"/>
  <c r="Z15" i="6"/>
  <c r="Z11" i="6"/>
  <c r="Z17" i="6"/>
  <c r="Z22" i="6"/>
  <c r="Z13" i="6"/>
  <c r="Z4" i="6"/>
  <c r="Z26" i="6"/>
  <c r="N6" i="4"/>
  <c r="N17" i="4"/>
  <c r="N8" i="4"/>
  <c r="N21" i="4"/>
  <c r="N26" i="3"/>
  <c r="N19" i="3"/>
  <c r="N22" i="3"/>
  <c r="N20" i="3"/>
  <c r="N12" i="3"/>
</calcChain>
</file>

<file path=xl/sharedStrings.xml><?xml version="1.0" encoding="utf-8"?>
<sst xmlns="http://schemas.openxmlformats.org/spreadsheetml/2006/main" count="2106" uniqueCount="864">
  <si>
    <t>LISTENING</t>
  </si>
  <si>
    <t>READING</t>
  </si>
  <si>
    <t>CICLO ESCOLAR</t>
  </si>
  <si>
    <t>Matricula</t>
  </si>
  <si>
    <t xml:space="preserve">Nombre </t>
  </si>
  <si>
    <t>Ciclo</t>
  </si>
  <si>
    <t xml:space="preserve">Grado </t>
  </si>
  <si>
    <t>Grupo</t>
  </si>
  <si>
    <t>T1</t>
  </si>
  <si>
    <t>T2</t>
  </si>
  <si>
    <t>T3</t>
  </si>
  <si>
    <t>PF</t>
  </si>
  <si>
    <t>PROMEDIO FINAL</t>
  </si>
  <si>
    <t>MNURE55</t>
  </si>
  <si>
    <t>NUÑEZ ROSAS ERANDI AYANA</t>
  </si>
  <si>
    <t>2025-2026</t>
  </si>
  <si>
    <t>A</t>
  </si>
  <si>
    <t>MCOSE300</t>
  </si>
  <si>
    <t>CONTRERAS SANCHEZ ELIAN CALEB</t>
  </si>
  <si>
    <t>MZUME317</t>
  </si>
  <si>
    <t>ZURITA MOREL ELIAN MICHEL</t>
  </si>
  <si>
    <t>MHEHN314</t>
  </si>
  <si>
    <t>HERNANDEZ HERNANDEZ NATALIA</t>
  </si>
  <si>
    <t>MREDA295</t>
  </si>
  <si>
    <t>REYES DIAZ ANDRE</t>
  </si>
  <si>
    <t>MMAGL204</t>
  </si>
  <si>
    <t>MARIN GUZMAN LUCCA DAMIAN</t>
  </si>
  <si>
    <t>MVEXD308</t>
  </si>
  <si>
    <t>VELAZQUEZ XICOTENCATL DARYANNA</t>
  </si>
  <si>
    <t>MBAEL313</t>
  </si>
  <si>
    <t>BARRON ENRIQUEZ LUA</t>
  </si>
  <si>
    <t>MEOVP316</t>
  </si>
  <si>
    <t>ESCOBAR VAZQUEZ PAULINA ANNELISE</t>
  </si>
  <si>
    <t>B</t>
  </si>
  <si>
    <t>KRASJ306</t>
  </si>
  <si>
    <t>RAMIREZ SORIANO JULIETA</t>
  </si>
  <si>
    <t>KMORS315</t>
  </si>
  <si>
    <t>MORALES ROJAS SOFIA</t>
  </si>
  <si>
    <t>KFEAE298</t>
  </si>
  <si>
    <t>FEREGRINO AVILA EILEEN</t>
  </si>
  <si>
    <t>KFUAL311</t>
  </si>
  <si>
    <t>FRUTOS ALCALA LEONARDO PATRICIO</t>
  </si>
  <si>
    <t>KSIAD291</t>
  </si>
  <si>
    <t>SILVA ALCANTARA DANTE</t>
  </si>
  <si>
    <t>KLOBV299</t>
  </si>
  <si>
    <t>LOPEZ BARBOSA VALERY ZOE</t>
  </si>
  <si>
    <t>MRIVA259</t>
  </si>
  <si>
    <t>RIVERA VELAZQUEZ ANYA ROMINA</t>
  </si>
  <si>
    <t>KAARH292</t>
  </si>
  <si>
    <t>ALVAREZ ROBLES HELENA ABIGAIL</t>
  </si>
  <si>
    <t>KSAZD319</t>
  </si>
  <si>
    <t>SAMPERIO ZACARIAS DANTE ZADQUIEL</t>
  </si>
  <si>
    <t>MIAHA243</t>
  </si>
  <si>
    <t>IBARRA HOCHSTRASSER ARANZA VALENTINA</t>
  </si>
  <si>
    <t>MCAMK18</t>
  </si>
  <si>
    <t>CARDONA MELCHOR KATHERINE SOFIA</t>
  </si>
  <si>
    <t>MDICC47</t>
  </si>
  <si>
    <t>DIAZ CASTILLO CARLOS ROGELIO</t>
  </si>
  <si>
    <t>KRAHM284</t>
  </si>
  <si>
    <t>RAMIREZ HERNANDEZ MATIAS ANDRE</t>
  </si>
  <si>
    <t>MROCC267</t>
  </si>
  <si>
    <t>RODRIGUEZ CASTAÑEDA CHRISTOPHER</t>
  </si>
  <si>
    <t>KCEVJ272</t>
  </si>
  <si>
    <t>CECEÑAS VILLAFUERTE JONATAN AARON</t>
  </si>
  <si>
    <t>MTOMH269</t>
  </si>
  <si>
    <t>TORRES MORA HELENA</t>
  </si>
  <si>
    <t>KSAPD276</t>
  </si>
  <si>
    <t>SANTIAGO PEÑA DONOVAN</t>
  </si>
  <si>
    <t>KMEPT281</t>
  </si>
  <si>
    <t>MEDINA PEDRAZA THOMAS SANTIAGO</t>
  </si>
  <si>
    <t>KPEBR297</t>
  </si>
  <si>
    <t>PEREZ BERNARDINO RENATA</t>
  </si>
  <si>
    <t>KUIJM301</t>
  </si>
  <si>
    <t>URTIS JIMENEZ MELANY XIMENA</t>
  </si>
  <si>
    <t>KMARA303</t>
  </si>
  <si>
    <t>MARTINEZ REYES ALICE SOFIA</t>
  </si>
  <si>
    <t>KZAZX307</t>
  </si>
  <si>
    <t>ZAMUDIO ZARCO XIMENA MAGALY</t>
  </si>
  <si>
    <t>KSARM310</t>
  </si>
  <si>
    <t>SANCHEZ RODRIGUEZ MARIA JOSE</t>
  </si>
  <si>
    <t>KBORN318</t>
  </si>
  <si>
    <t>BOLAÑOS ROSALES NATHALY ZOE</t>
  </si>
  <si>
    <t>KCOVE286</t>
  </si>
  <si>
    <t>CORDERO VELAZQUEZ EMMA AINA</t>
  </si>
  <si>
    <t>KGUMM288</t>
  </si>
  <si>
    <t>GUEVARA MARTINEZ MORGAN JULIETA</t>
  </si>
  <si>
    <t>KRAVA302</t>
  </si>
  <si>
    <t>RAMIREZ VALDEZ ASHLYE KYARA</t>
  </si>
  <si>
    <t>KMACG249</t>
  </si>
  <si>
    <t>MATEOS CUEVAS GRETTEL ALESSA</t>
  </si>
  <si>
    <t>KTOGK252</t>
  </si>
  <si>
    <t>TORRES GUEVARA KARLA DANIELA</t>
  </si>
  <si>
    <t>KHERA253</t>
  </si>
  <si>
    <t>HERNANDEZ ROLDAN ALEJANDRO LEONEL</t>
  </si>
  <si>
    <t>KMOUJ266</t>
  </si>
  <si>
    <t>MORALES URTIS JORGE AARON</t>
  </si>
  <si>
    <t>KSARD17</t>
  </si>
  <si>
    <t>SANDOVAL RAMIREZ DANIELA</t>
  </si>
  <si>
    <t>KAERZ267</t>
  </si>
  <si>
    <t>ARREOLA RODRIGUEZ ZOE AITANA</t>
  </si>
  <si>
    <t>KGUOE283</t>
  </si>
  <si>
    <t>GUDIÑO OLGUIN ELIETTE</t>
  </si>
  <si>
    <t>KQUSL271</t>
  </si>
  <si>
    <t>QUINTANA SANTIAGO LEXA NATALIA</t>
  </si>
  <si>
    <t>KRATM273</t>
  </si>
  <si>
    <t>RAMIREZ TORRES MIA GABRIELA</t>
  </si>
  <si>
    <t>KCACA274</t>
  </si>
  <si>
    <t>CARMONA CARBAJAL ALY AZAYA</t>
  </si>
  <si>
    <t>KFOER275</t>
  </si>
  <si>
    <t>FLORES ESQUIVEL ROMINA</t>
  </si>
  <si>
    <t>KRIAY277</t>
  </si>
  <si>
    <t>RIVAS ALEJANDRE YAELI NEYLAN</t>
  </si>
  <si>
    <t>KLIJL278</t>
  </si>
  <si>
    <t>LIRA JUAREZ LIAM LOGAN</t>
  </si>
  <si>
    <t>KGUPA279</t>
  </si>
  <si>
    <t>GUZMAN PEREZ JOSE ABDIEL</t>
  </si>
  <si>
    <t>KVEPS282</t>
  </si>
  <si>
    <t>VELAZQUEZ PRESA SANTIAGO</t>
  </si>
  <si>
    <t>KREDR296</t>
  </si>
  <si>
    <t>REYES DIAZ RENATA</t>
  </si>
  <si>
    <t>KCADF312</t>
  </si>
  <si>
    <t>CASTRO DURAN FERNANDA</t>
  </si>
  <si>
    <t>WRITING</t>
  </si>
  <si>
    <t>SPEAKING</t>
  </si>
  <si>
    <t>COMPOSITION</t>
  </si>
  <si>
    <t>PDOMD561</t>
  </si>
  <si>
    <t>DOMINGUEZ MARTINEZ DANIELA REGINA</t>
  </si>
  <si>
    <t>CRUZ CRUZ GEOVANA</t>
  </si>
  <si>
    <t>C</t>
  </si>
  <si>
    <t>PCARR574</t>
  </si>
  <si>
    <t>CAICEROS RIOS ROBIN SAUL</t>
  </si>
  <si>
    <t>PGAPI562</t>
  </si>
  <si>
    <t>GARCIA PEREZ IAN MATEO</t>
  </si>
  <si>
    <t>KPABN261</t>
  </si>
  <si>
    <t>PADILLA BENITEZ NATALIA MIRANDA</t>
  </si>
  <si>
    <t>KCODB263</t>
  </si>
  <si>
    <t>CORREA DOMINGUEZ BARBARA ALANA</t>
  </si>
  <si>
    <t>KHECD262</t>
  </si>
  <si>
    <t>HERNANDEZ CORREA DIEGO JAVIER</t>
  </si>
  <si>
    <t>PHEVA576</t>
  </si>
  <si>
    <t>HERNANDEZ VARGAS ANDREA MICHELL</t>
  </si>
  <si>
    <t>KMOPR256</t>
  </si>
  <si>
    <t>MOYA PERALTA ROMINA ISABELLA</t>
  </si>
  <si>
    <t>KSAHA257</t>
  </si>
  <si>
    <t>SANTANA HERNANDEZ ALEXA</t>
  </si>
  <si>
    <t>KCAGC208</t>
  </si>
  <si>
    <t>CAMPOS GUTIERREZ CAMILA</t>
  </si>
  <si>
    <t>KMACE214</t>
  </si>
  <si>
    <t>MARTINEZ CASILLAS ELISA JOSEFINA</t>
  </si>
  <si>
    <t>KGACE219</t>
  </si>
  <si>
    <t>GALLEGOS CASTRO ELA YETZALI</t>
  </si>
  <si>
    <t>PAUSA559</t>
  </si>
  <si>
    <t>ANZUREZ SOTO ANGEL GABRIEL</t>
  </si>
  <si>
    <t>MSAJH15</t>
  </si>
  <si>
    <t>SAUCEDO JIMENEZ HECTOR ALEXEI</t>
  </si>
  <si>
    <t>PRODS564</t>
  </si>
  <si>
    <t>ROSAS DUARTE STEPHANIE VANESSA</t>
  </si>
  <si>
    <t>PRIRE584</t>
  </si>
  <si>
    <t>RIOS ROSALES EUGENIO SEBASTIAN</t>
  </si>
  <si>
    <t>KROCK237</t>
  </si>
  <si>
    <t>ROMERO CORONA KENYA SOPHIA</t>
  </si>
  <si>
    <t>KDOGL243</t>
  </si>
  <si>
    <t>DON JUAN GOMEZ LUIS ENRIQUE</t>
  </si>
  <si>
    <t>KRECAL245</t>
  </si>
  <si>
    <t>REYES CANO LIA RENATA</t>
  </si>
  <si>
    <t>KAIPS245</t>
  </si>
  <si>
    <t>AMIGON PEREZ SELENE JAZMIN</t>
  </si>
  <si>
    <t>KFOMN247</t>
  </si>
  <si>
    <t>FLORES MARTINEZ NATALIA</t>
  </si>
  <si>
    <t>KZUMJ248</t>
  </si>
  <si>
    <t>ZUÑIGA MUÑOZ JIMENA</t>
  </si>
  <si>
    <t>KGAAM250</t>
  </si>
  <si>
    <t>GALLARDO ARGUELLO MIA DANIELA</t>
  </si>
  <si>
    <t>KNIML251</t>
  </si>
  <si>
    <t>NIETO MARTINEZ LANDER ABRAHAM</t>
  </si>
  <si>
    <t>KMEMM254</t>
  </si>
  <si>
    <t>MENDOZA MARTINEZ MAURICIO GUILLERMO</t>
  </si>
  <si>
    <t>KRAMM255</t>
  </si>
  <si>
    <t>RAMIREZ MIRANDA MARIAN</t>
  </si>
  <si>
    <t>KMACE264</t>
  </si>
  <si>
    <t>MARTINEZ CRUZ ELIAS</t>
  </si>
  <si>
    <t>KOOFC265</t>
  </si>
  <si>
    <t>OSORNIO FERNANDEZ CARLOS</t>
  </si>
  <si>
    <t>KGAGL268</t>
  </si>
  <si>
    <t>GARCIA GONZALEZ LIA ANDREA</t>
  </si>
  <si>
    <t>PROGR558</t>
  </si>
  <si>
    <t>ROMERO GARCIA ROGELIO ALEJANDRO</t>
  </si>
  <si>
    <t>PCEOL563</t>
  </si>
  <si>
    <t>CEDILLO OLMEDO LAURA ARIADNA</t>
  </si>
  <si>
    <t>PVEMJ568</t>
  </si>
  <si>
    <t>VERA MONROY JULIA ELISA</t>
  </si>
  <si>
    <t>PTEPM585</t>
  </si>
  <si>
    <t>TEMOXTLE PERALTA JOSE MIGUEL</t>
  </si>
  <si>
    <t>PPERE573</t>
  </si>
  <si>
    <t>PEREZ RIOS EITHAN SAID</t>
  </si>
  <si>
    <t>PAISM579</t>
  </si>
  <si>
    <t>AGUILAR SANCHEZ MICHELLE ARISBETH</t>
  </si>
  <si>
    <t>PGIAM580</t>
  </si>
  <si>
    <t>GRIMALDO AQUINO MATIAS ABDIEL</t>
  </si>
  <si>
    <t>PGAVA587</t>
  </si>
  <si>
    <t>GARCES VALENCIA AIMEE</t>
  </si>
  <si>
    <t>PRARG597</t>
  </si>
  <si>
    <t>RAMOS ROJAS GAEL SEBASTIAN</t>
  </si>
  <si>
    <t>PGOCP588</t>
  </si>
  <si>
    <t>GONZALEZ PICO CANO PATRICIO</t>
  </si>
  <si>
    <t>KZEGD210</t>
  </si>
  <si>
    <t>ZEPEDA GONZALEZ DANIEL</t>
  </si>
  <si>
    <t>KEAMI217</t>
  </si>
  <si>
    <t>ESCALONA MENDOZA IAN JASSIEL</t>
  </si>
  <si>
    <t>KROGLI216</t>
  </si>
  <si>
    <t>ROQUE GARCIA LIAM DANIEL</t>
  </si>
  <si>
    <t>KGARD212</t>
  </si>
  <si>
    <t>GARCIA REYES DIEGO SEBASTIAN</t>
  </si>
  <si>
    <t>KHEOR229</t>
  </si>
  <si>
    <t>HERNANDEZ OLMOS RENATA DANNAE</t>
  </si>
  <si>
    <t>KANRD260</t>
  </si>
  <si>
    <t>ANDRADE RODRIGUEZ DAVID MATIAS</t>
  </si>
  <si>
    <t>CRUZ URIBE MILA ZOEH</t>
  </si>
  <si>
    <t>KSIED224</t>
  </si>
  <si>
    <t>SILVA ESTRELLA DIEGO ALEXANDRE</t>
  </si>
  <si>
    <t>KRAMD231</t>
  </si>
  <si>
    <t>RAMIREZ MENDEZ DANIELA ABIGAIL</t>
  </si>
  <si>
    <t>KSERA212</t>
  </si>
  <si>
    <t>SEGURA ROMAN ANDREA FERNANDA</t>
  </si>
  <si>
    <t>KMEVZ215</t>
  </si>
  <si>
    <t>MENA VALDERRABANO ZOE GUADALUPE</t>
  </si>
  <si>
    <t>KHEOA228</t>
  </si>
  <si>
    <t>HERNANDEZ OLMOS ARIADNE ZOE</t>
  </si>
  <si>
    <t>KQURR218</t>
  </si>
  <si>
    <t>QUIROZ RAMIREZ REGINA</t>
  </si>
  <si>
    <t>KLEAL225</t>
  </si>
  <si>
    <t>LEMUS ALTAMIRANO LEAH</t>
  </si>
  <si>
    <t>KMAAJ205</t>
  </si>
  <si>
    <t>MAGDALENO ADOLFO JULIA SOPHIA</t>
  </si>
  <si>
    <t>MROOL16</t>
  </si>
  <si>
    <t>RODRIGUEZ ORTIZ LUISA ALEJANDRA</t>
  </si>
  <si>
    <t>KSARS238</t>
  </si>
  <si>
    <t>SANCHEZ RODRIGUEZ SANTIAGO SAMUEL</t>
  </si>
  <si>
    <t>KAUNM244</t>
  </si>
  <si>
    <t>AGUILAR NIETO MILA SOFIA</t>
  </si>
  <si>
    <t>KJUBF246</t>
  </si>
  <si>
    <t>JUAREZ BARRIOS FERNANDA</t>
  </si>
  <si>
    <t>PGACA540</t>
  </si>
  <si>
    <t>GARCIA CRUZ ALEYDA</t>
  </si>
  <si>
    <t>PTEBH541</t>
  </si>
  <si>
    <t>TENORIO BEDOLLA HUGO</t>
  </si>
  <si>
    <t>PMECL542</t>
  </si>
  <si>
    <t>MELENDEZ CARDENAS LEONARDO SANTIAGO</t>
  </si>
  <si>
    <t>PDOAM543</t>
  </si>
  <si>
    <t>DOMINGUEZ DEL ANGEL MARITZA</t>
  </si>
  <si>
    <t>PGOAL544</t>
  </si>
  <si>
    <t>GONZALEZ AMAYO LEONARDO</t>
  </si>
  <si>
    <t>PCUAI545</t>
  </si>
  <si>
    <t>DE LA CRUZ AMBRIZ IKER MANUEL</t>
  </si>
  <si>
    <t>PRARE552</t>
  </si>
  <si>
    <t>RAMOS ROJAS ELIAN SANTIAGO</t>
  </si>
  <si>
    <t>PBAPI592</t>
  </si>
  <si>
    <t>BASURTO PIÑA IKER ISAAC</t>
  </si>
  <si>
    <t>PCOPA593</t>
  </si>
  <si>
    <t>CLORIO PEREZ ALMA REGINA</t>
  </si>
  <si>
    <t>PRISR517</t>
  </si>
  <si>
    <t>RIOS DE LOS SANTOS RENATA</t>
  </si>
  <si>
    <t>PRIVA525</t>
  </si>
  <si>
    <t>RIVERA VELAZQUEZ ANGEL DANIEL</t>
  </si>
  <si>
    <t>PCUCJ516</t>
  </si>
  <si>
    <t>CRUZ CUAUTLE JULIETA YAMANIK</t>
  </si>
  <si>
    <t>KGAEA234</t>
  </si>
  <si>
    <t>GALVAN ESPINOSA ANDREA LUNA</t>
  </si>
  <si>
    <t>PGOCE526</t>
  </si>
  <si>
    <t>GOMEZ CORREA EITHAN DAIR</t>
  </si>
  <si>
    <t>PMARD523</t>
  </si>
  <si>
    <t>MARTINEZ RAMIREZ DOMINIC SANTIAGO</t>
  </si>
  <si>
    <t>PRAMA533</t>
  </si>
  <si>
    <t>RAMIREZ MARTINEZ ANDRE NICOLAS</t>
  </si>
  <si>
    <t>KHEEE220</t>
  </si>
  <si>
    <t>HERNANDEZ ENRIQUEZ EIDER DAMIAN</t>
  </si>
  <si>
    <t>PAUQJ529</t>
  </si>
  <si>
    <t>AGUILAR QUIROZ JIMENA</t>
  </si>
  <si>
    <t>KHESM206</t>
  </si>
  <si>
    <t>HERNANDEZ SOTO MELANY AILEEN</t>
  </si>
  <si>
    <t>PHERM518</t>
  </si>
  <si>
    <t>HERNANDEZ RAMOS MELISSA ITZAE</t>
  </si>
  <si>
    <t>KOIMA211</t>
  </si>
  <si>
    <t>OLIVARES MEJIA ABRIL SIMONE</t>
  </si>
  <si>
    <t>KDOPM227</t>
  </si>
  <si>
    <t>DOMINGUEZ PEREZ MERARI PAULINA</t>
  </si>
  <si>
    <t>KESPA211</t>
  </si>
  <si>
    <t>ESCAMILLA PEREZ ASHLEY DANNAE</t>
  </si>
  <si>
    <t>KPETS205</t>
  </si>
  <si>
    <t>PEREZ TORRES SOFIA XIMENA</t>
  </si>
  <si>
    <t>KLEUA207</t>
  </si>
  <si>
    <t>LEMUS URBINA ALEJANDRO</t>
  </si>
  <si>
    <t>KCAGS209</t>
  </si>
  <si>
    <t>CAMPOS GUTIERREZ SANTIAGO</t>
  </si>
  <si>
    <t>KCUAR166</t>
  </si>
  <si>
    <t>CRUZ ARECHIGA RUTH</t>
  </si>
  <si>
    <t>KDORA168</t>
  </si>
  <si>
    <t>DORANTES ROJAS ALEJANDRA</t>
  </si>
  <si>
    <t>MDICJ09</t>
  </si>
  <si>
    <t>DIAZ CASTILLO JAPRI FERNANDA</t>
  </si>
  <si>
    <t>MMEMB10</t>
  </si>
  <si>
    <t>MENDOZA MARTINEZ BRUNO GABRIEL</t>
  </si>
  <si>
    <t>KAAML184</t>
  </si>
  <si>
    <t>ALANIZ MARTINEZ LESLIE REGINA</t>
  </si>
  <si>
    <t>KCODA189</t>
  </si>
  <si>
    <t>CORREA DOMINGUEZ ALAN NATHAN</t>
  </si>
  <si>
    <t>KCEVP194</t>
  </si>
  <si>
    <t>CECEÑAS VILLAFUERTE PAOLA JAZMIN</t>
  </si>
  <si>
    <t>KOOTD196</t>
  </si>
  <si>
    <t>ORDOÑEZ TRINIDAD DIEGO</t>
  </si>
  <si>
    <t>KMEHM202</t>
  </si>
  <si>
    <t>MELO HUERTA MATEO</t>
  </si>
  <si>
    <t>KHELA236</t>
  </si>
  <si>
    <t>HERNANDEZ LOPEZ ALEJANDRO</t>
  </si>
  <si>
    <t>KAARL239</t>
  </si>
  <si>
    <t>ANDRADE RODRIGUEZ LUCIA ISABELLA</t>
  </si>
  <si>
    <t>KSALX240</t>
  </si>
  <si>
    <t>SANCHEZ LOERA XIMENA QUETZALLY</t>
  </si>
  <si>
    <t>KROCM242</t>
  </si>
  <si>
    <t>ROSALES CUEVAS MATIAS ROBERTO</t>
  </si>
  <si>
    <t>PAAGA583</t>
  </si>
  <si>
    <t>ANDRADE GONZALEZ ABRIL</t>
  </si>
  <si>
    <t>PCUAI502</t>
  </si>
  <si>
    <t>CRUZ ANTONIO IKER</t>
  </si>
  <si>
    <t>PJICV503</t>
  </si>
  <si>
    <t>JIMENEZ CANALES VICTORIA</t>
  </si>
  <si>
    <t>KVAVE246</t>
  </si>
  <si>
    <t>VALDEZ VAZQUEZ EITHAN ANDRE</t>
  </si>
  <si>
    <t>PBATA505</t>
  </si>
  <si>
    <t>BARRERA TOLEDO ALLISON JULIETTE</t>
  </si>
  <si>
    <t>PMAMN508</t>
  </si>
  <si>
    <t>MARTINEZ MORALES NAOMI MICHELLE</t>
  </si>
  <si>
    <t>PMAJF513</t>
  </si>
  <si>
    <t>MADUEÑA JIMENEZ FERNANDA</t>
  </si>
  <si>
    <t>PCOSA514</t>
  </si>
  <si>
    <t>CORTES SANTANA AZUL NAOMI</t>
  </si>
  <si>
    <t>PCAGC538</t>
  </si>
  <si>
    <t>CASTILLO GUARNEROS CAMILA JAZEL</t>
  </si>
  <si>
    <t>PHEFS571</t>
  </si>
  <si>
    <t>HERNANDEZ FRANCO SOFIA XARENI</t>
  </si>
  <si>
    <t>PSABM596</t>
  </si>
  <si>
    <t>SANCHEZ BACA MATIAS SAMIR</t>
  </si>
  <si>
    <t>PBAAG594</t>
  </si>
  <si>
    <t>BACA ARANO GAEL ALEXSANDER</t>
  </si>
  <si>
    <t>PLOHR586</t>
  </si>
  <si>
    <t>LOPEZ HERNANDEZ ROMINA</t>
  </si>
  <si>
    <t>PMAGE591</t>
  </si>
  <si>
    <t>MARTINEZ GOMEZ EITAN LEON</t>
  </si>
  <si>
    <t>PPEL577</t>
  </si>
  <si>
    <t>PACHECO ESTRELLA LEONEL</t>
  </si>
  <si>
    <t>KMERX208</t>
  </si>
  <si>
    <t>MENDEZ RETANA XIMENA EILEEN</t>
  </si>
  <si>
    <t>PCUOA530</t>
  </si>
  <si>
    <t>CRUZ ORTIZ AZUL</t>
  </si>
  <si>
    <t>PGAHB495</t>
  </si>
  <si>
    <t>GARCIA HERNANDEZ BRUNO</t>
  </si>
  <si>
    <t>PLOCE520</t>
  </si>
  <si>
    <t>LOPEZ CRUZ ESMERALDA</t>
  </si>
  <si>
    <t>KREGN222</t>
  </si>
  <si>
    <t>REYES GARCIA NATALIA</t>
  </si>
  <si>
    <t>PROLR532</t>
  </si>
  <si>
    <t>RODRIGUEZ LOPEZ ROMINA GUADALUPE</t>
  </si>
  <si>
    <t>KSAPI178</t>
  </si>
  <si>
    <t>SANTIAGO PEÑA IVANNA KARELY</t>
  </si>
  <si>
    <t>KYAGL176</t>
  </si>
  <si>
    <t>YAÑEZ GONZALEZ LIA ISABELLA</t>
  </si>
  <si>
    <t>PPEVS422</t>
  </si>
  <si>
    <t>PEDRO VENTURA SEBASTIAN</t>
  </si>
  <si>
    <t>KCUAS154</t>
  </si>
  <si>
    <t>CRUZ ARECHIGA SARA</t>
  </si>
  <si>
    <t>KRASC172</t>
  </si>
  <si>
    <t>RAMIREZ SORIANO CLAUDIA ALEJANDRA</t>
  </si>
  <si>
    <t>KMACR169</t>
  </si>
  <si>
    <t>LEYVA MARTINEZ CABRAL RODRIGO</t>
  </si>
  <si>
    <t>KMAMJ155</t>
  </si>
  <si>
    <t>MARIN MICHACA JAVIER</t>
  </si>
  <si>
    <t>KCUZA317</t>
  </si>
  <si>
    <t>CRUZ ZUÑIGA ANDREA</t>
  </si>
  <si>
    <t>KBAHC160</t>
  </si>
  <si>
    <t>BARRERA HERNANDEZ CHRISTIAN ALEXANDER</t>
  </si>
  <si>
    <t>PMORS581</t>
  </si>
  <si>
    <t>MORALES RUFINO SANTIAGO DANIEL</t>
  </si>
  <si>
    <t>MNACS01</t>
  </si>
  <si>
    <t>NARANJO CASTILLO SAMANTHA YARELI</t>
  </si>
  <si>
    <t>MMOEV3</t>
  </si>
  <si>
    <t>MORALES ESPINO VALERIA</t>
  </si>
  <si>
    <t>KLOBZ190</t>
  </si>
  <si>
    <t>LOPEZ BARBOSA ZURY MAYTE</t>
  </si>
  <si>
    <t>PCUVE496</t>
  </si>
  <si>
    <t>CUREÑO VALDEZ EMILIANO</t>
  </si>
  <si>
    <t>PFOLM497</t>
  </si>
  <si>
    <t>FLORES LOZANO MATTEW VALENTIN</t>
  </si>
  <si>
    <t>PAUFR502</t>
  </si>
  <si>
    <t>AGUILAR FLORES RENATA</t>
  </si>
  <si>
    <t>PMUFE582</t>
  </si>
  <si>
    <t>MUÑOZ FUENTES ERICK SANTIAGO</t>
  </si>
  <si>
    <t>PHEAK546</t>
  </si>
  <si>
    <t>HERNANDEZ ARCEO KAMILA</t>
  </si>
  <si>
    <t>PSOGJ548</t>
  </si>
  <si>
    <t>SOLIS GARCIA JUAN PABLO</t>
  </si>
  <si>
    <t>PBAAA595</t>
  </si>
  <si>
    <t>BACA ARANO AITANA YAMILET</t>
  </si>
  <si>
    <t>PMOMD567</t>
  </si>
  <si>
    <t>MORA MORA DEREK EMILIO</t>
  </si>
  <si>
    <t>KZAPP312</t>
  </si>
  <si>
    <t>ZARATE PERALTA PAOLO MATEO</t>
  </si>
  <si>
    <t>PFIXM575</t>
  </si>
  <si>
    <t>FIGUEROA XICOTENCATL MATIAS BALAM</t>
  </si>
  <si>
    <t>PQUOS589</t>
  </si>
  <si>
    <t>QUINTANA ORIBIO SIDDHARTHA</t>
  </si>
  <si>
    <t>PCUCC572</t>
  </si>
  <si>
    <t>CRUZ CRUZ CAMILA</t>
  </si>
  <si>
    <t>PCINF425</t>
  </si>
  <si>
    <t>CISNEROS NICIO FERNANDA</t>
  </si>
  <si>
    <t>KAAGS314</t>
  </si>
  <si>
    <t>AYALA GARCIA SANTIAGO</t>
  </si>
  <si>
    <t>MGALT07</t>
  </si>
  <si>
    <t>GALLARDO LOPEZ TAMARA</t>
  </si>
  <si>
    <t>MMADN11</t>
  </si>
  <si>
    <t>MAQUEDA DIOSDADO NATHAN SAHID</t>
  </si>
  <si>
    <t>MNACA296</t>
  </si>
  <si>
    <t>NARANJO CASTILLO ASTRID YAMILETH</t>
  </si>
  <si>
    <t>KEOAJ161</t>
  </si>
  <si>
    <t>ESCOBAR ANDRES JOSE GAEL</t>
  </si>
  <si>
    <t>KVERA137</t>
  </si>
  <si>
    <t>VEGA RODRIGUEZ ANA PAULA</t>
  </si>
  <si>
    <t>KSEBS140</t>
  </si>
  <si>
    <t>SERRANO BARON SARA SOFIA</t>
  </si>
  <si>
    <t>KLIHI294</t>
  </si>
  <si>
    <t>LICEA HERNANDEZ ITZAMARA</t>
  </si>
  <si>
    <t>KHECF320</t>
  </si>
  <si>
    <t>HERNANDEZ CORREA FRIDA SOPHIE</t>
  </si>
  <si>
    <t>PGAMB565</t>
  </si>
  <si>
    <t>GARCIA MARTINEZ BRUNO</t>
  </si>
  <si>
    <t>KCOVM319</t>
  </si>
  <si>
    <t>CORDERO VELAZQUEZ MATIAS YAEL</t>
  </si>
  <si>
    <t>KVEMA156</t>
  </si>
  <si>
    <t>VERA MONROY AXEL OBED</t>
  </si>
  <si>
    <t>MIACN08</t>
  </si>
  <si>
    <t>IBARRA CARRANCO NATAN</t>
  </si>
  <si>
    <t>KMEBI311</t>
  </si>
  <si>
    <t>MEJIA BARCENAS ITZEL</t>
  </si>
  <si>
    <t>KBACL313</t>
  </si>
  <si>
    <t>BASILIO CARDENAS LEONARDO SAID</t>
  </si>
  <si>
    <t>KAERX136</t>
  </si>
  <si>
    <t>ARREOLA RODRIGUEZ XIMENA VALENTINA</t>
  </si>
  <si>
    <t>KZEGD303</t>
  </si>
  <si>
    <t>ZEPEDA GONZALEZ DIEGO</t>
  </si>
  <si>
    <t>PQUOS590</t>
  </si>
  <si>
    <t>QUINTANA ORIBIO SAHARA</t>
  </si>
  <si>
    <t>PGOEL394</t>
  </si>
  <si>
    <t>GONZALEZ ESPINOSA LUCIA ALEXANDRA</t>
  </si>
  <si>
    <t>PVIGN395</t>
  </si>
  <si>
    <t>VILLEGAS GRANADOS NATALIA</t>
  </si>
  <si>
    <t>PCOIA398</t>
  </si>
  <si>
    <t>COX IZQUIERDO ANGIE JUNNUETH</t>
  </si>
  <si>
    <t>PPAMS399</t>
  </si>
  <si>
    <t>PAVON MARTINEZ SOFIA</t>
  </si>
  <si>
    <t>PCEGE418</t>
  </si>
  <si>
    <t>CERON GUERRERO ERANDY DANAE</t>
  </si>
  <si>
    <t>PJITI419</t>
  </si>
  <si>
    <t>JIMENEZ TORT IVANA ERANDI</t>
  </si>
  <si>
    <t>PHUPI557</t>
  </si>
  <si>
    <t>HUERTA PEREZ IKER JOSHUA</t>
  </si>
  <si>
    <t>PCAOE558</t>
  </si>
  <si>
    <t>CHAVEZ OROPEZA ENRIQUE JAMIL</t>
  </si>
  <si>
    <t>PVAXA592</t>
  </si>
  <si>
    <t>VALENCIA ALEXA MADAI</t>
  </si>
  <si>
    <t>SZASA218</t>
  </si>
  <si>
    <t>RAFAEL FRANCO IKER</t>
  </si>
  <si>
    <t>PHEGD487</t>
  </si>
  <si>
    <t>HERNANDEZ GARCIA DORIAN</t>
  </si>
  <si>
    <t>PSEBF427</t>
  </si>
  <si>
    <t>SEGOVIA BARAJAS FERNANDA LIZETH</t>
  </si>
  <si>
    <t>PAEDG528</t>
  </si>
  <si>
    <t>ANGELES DELGADO GUSTAVO</t>
  </si>
  <si>
    <t>KMUCA320</t>
  </si>
  <si>
    <t>MUÑOZ COLIN AMERICA ARIADNA</t>
  </si>
  <si>
    <t>KMUUR288</t>
  </si>
  <si>
    <t>MUÑOZ UTRERA RENATA</t>
  </si>
  <si>
    <t>MPARP03</t>
  </si>
  <si>
    <t>PAREDES RIOS PIA JADE</t>
  </si>
  <si>
    <t>KRARA288</t>
  </si>
  <si>
    <t>RAMOS RAMIREZ ALEXA DENISE</t>
  </si>
  <si>
    <t>KGOAS</t>
  </si>
  <si>
    <t>GOMEZ ABAD SHARI ALETH</t>
  </si>
  <si>
    <t>PSAMM522</t>
  </si>
  <si>
    <t>SANCHEZ MORALES MIA ALEXA</t>
  </si>
  <si>
    <t>KZAMD313</t>
  </si>
  <si>
    <t>ZARATE MORALES DULCE MARIA</t>
  </si>
  <si>
    <t>MGANF08</t>
  </si>
  <si>
    <t>GARCIA NAVARRO FATIMA YATZIL</t>
  </si>
  <si>
    <t>KSAAG228</t>
  </si>
  <si>
    <t>SANTANA ACEVEDO GABRIEL RAYMUNDO</t>
  </si>
  <si>
    <t>PTIVR387</t>
  </si>
  <si>
    <t>TINAJERO VILLASEÑOR RICARDO DAVID</t>
  </si>
  <si>
    <t>PRAMA491</t>
  </si>
  <si>
    <t>RAMIREZ MENDEZ ANA BARBARA</t>
  </si>
  <si>
    <t>KAARA285</t>
  </si>
  <si>
    <t>ALVAREZ ROBLES AYLINE XIMENA</t>
  </si>
  <si>
    <t>KDOPM150</t>
  </si>
  <si>
    <t>DOMINGUEZ PALACIO MELANIE GABRIELA</t>
  </si>
  <si>
    <t>PDIVA375</t>
  </si>
  <si>
    <t>DIAZ VACA ARACELI AMEYALLI</t>
  </si>
  <si>
    <t>KMOAA294</t>
  </si>
  <si>
    <t>MOLINA ALCANTARA AMBER JADE</t>
  </si>
  <si>
    <t>KAEMS301</t>
  </si>
  <si>
    <t>ARENAS MONDRAGON SOFIA</t>
  </si>
  <si>
    <t>KSOGE316</t>
  </si>
  <si>
    <t>SOTO GOMEZ EMILY RENATA</t>
  </si>
  <si>
    <t>KAPEA233</t>
  </si>
  <si>
    <t>AMIGON PEREZ ANGEL TADEO</t>
  </si>
  <si>
    <t>PVAGI376</t>
  </si>
  <si>
    <t>VALLE GUERRERO IAN SAID</t>
  </si>
  <si>
    <t>KROSL305</t>
  </si>
  <si>
    <t>ROSAS SANTIAGO LUNA REGINA</t>
  </si>
  <si>
    <t>KJIRS306</t>
  </si>
  <si>
    <t>JIMENEZ RAMOS SEBASTIAN</t>
  </si>
  <si>
    <t>PMIRD401</t>
  </si>
  <si>
    <t>MIRANDA RIVERA DEBANHI PAOLA</t>
  </si>
  <si>
    <t>PMAMC509</t>
  </si>
  <si>
    <t>MARTINEZ MORALES CRYSTIAN SEBASTIAN</t>
  </si>
  <si>
    <t>PROAV539</t>
  </si>
  <si>
    <t>RODRIGUEZ ARVIZU VAN YUL</t>
  </si>
  <si>
    <t>PAISI578</t>
  </si>
  <si>
    <t>AGUILAR SANCHEZ ISAI JOSUE</t>
  </si>
  <si>
    <t>PGOJL355</t>
  </si>
  <si>
    <t>GONZALEZ JIMENEZ LEONEL</t>
  </si>
  <si>
    <t>PSAMA521</t>
  </si>
  <si>
    <t>SANCHEZ MORALES ANDREA ZOE</t>
  </si>
  <si>
    <t>KVASL301</t>
  </si>
  <si>
    <t>VALDIVIA SORIA LIA AYMAR</t>
  </si>
  <si>
    <t>PROVM490</t>
  </si>
  <si>
    <t>ROMERO VENCES MARCO ANTONIO</t>
  </si>
  <si>
    <t>KGALM300</t>
  </si>
  <si>
    <t>GALLARDO LOPEZ MARIO ARMANDO</t>
  </si>
  <si>
    <t>KLERA294</t>
  </si>
  <si>
    <t>LEMUS RAMIREZ ANGEL DAVID</t>
  </si>
  <si>
    <t>PAEDV527</t>
  </si>
  <si>
    <t>ANGELES DELGADO VALENTINA</t>
  </si>
  <si>
    <t>KGOTD210</t>
  </si>
  <si>
    <t>GOMEZ TAPIA DAVID ALEJANDRO</t>
  </si>
  <si>
    <t>KLILG219</t>
  </si>
  <si>
    <t>LIMON LUCERO GALIA</t>
  </si>
  <si>
    <t>KHESL222</t>
  </si>
  <si>
    <t>HERNANDEZ SOTO LINDSAY KARELY</t>
  </si>
  <si>
    <t>KGUMO291</t>
  </si>
  <si>
    <t>GUTIERREZ MAYA OSVALDO SAID</t>
  </si>
  <si>
    <t>KOEGE209</t>
  </si>
  <si>
    <t>ORTEGA GONZALEZ ERICKA LUZ MARIA</t>
  </si>
  <si>
    <t>KAERL251</t>
  </si>
  <si>
    <t>ARCEO RODRIGUEZ LUCIANO MATEO</t>
  </si>
  <si>
    <t>SNAML238</t>
  </si>
  <si>
    <t>NAVARRETE MENDOZA LAKSHMI CORY</t>
  </si>
  <si>
    <t>PTUMS328</t>
  </si>
  <si>
    <t>TRUJILLO MARTINEZ SEBASTIAN</t>
  </si>
  <si>
    <t>KAAGD289</t>
  </si>
  <si>
    <t>ALVAREZ DEL CASTILLO GOMEZ DANTE ZAID</t>
  </si>
  <si>
    <t>KSOMM285</t>
  </si>
  <si>
    <t>SORIANO MENDEZ MAURICIO MATEO</t>
  </si>
  <si>
    <t>SOARE238</t>
  </si>
  <si>
    <t>ORDAZ ROMAN EVELYN</t>
  </si>
  <si>
    <t>KRUPD263</t>
  </si>
  <si>
    <t>RUIZ PIÑA DAVID JAFET</t>
  </si>
  <si>
    <t>KBELA216</t>
  </si>
  <si>
    <t>BETANZOS LOPEZ ALEXANDRA</t>
  </si>
  <si>
    <t>SZAGK246</t>
  </si>
  <si>
    <t>ZAVALA GARCIA KEVIN GADIEL</t>
  </si>
  <si>
    <t>KMOCD229</t>
  </si>
  <si>
    <t>MONDRAGON CONTRERAS DANIEL</t>
  </si>
  <si>
    <t>KSALF02</t>
  </si>
  <si>
    <t>SANTIAGO LOPEZ FERNANDO</t>
  </si>
  <si>
    <t>PFAME406</t>
  </si>
  <si>
    <t>FRAGOSO MENDOZA ELIAS</t>
  </si>
  <si>
    <t>PVEBJ408</t>
  </si>
  <si>
    <t>VERA BECERRIL JOSE EMILIANO</t>
  </si>
  <si>
    <t>SGOFV244</t>
  </si>
  <si>
    <t>GONGORA FUENTES VALENTINA</t>
  </si>
  <si>
    <t>SVAAJ252</t>
  </si>
  <si>
    <t>VALENCIA ARVIZU JONATHAN EDUARDO</t>
  </si>
  <si>
    <t>SWAVG247</t>
  </si>
  <si>
    <t>WALDO VILLAVICENCIO GERARDO</t>
  </si>
  <si>
    <t>SCUMJ241</t>
  </si>
  <si>
    <t>CRUZ MORALES JATNIEL ABISAI</t>
  </si>
  <si>
    <t>SMARE242</t>
  </si>
  <si>
    <t>MARCELO RAMIREZ EDGAR EMILIANO</t>
  </si>
  <si>
    <t>SLAGG251</t>
  </si>
  <si>
    <t>LAUNIZAR GARCIA GUILLERMO ALEXANDER</t>
  </si>
  <si>
    <t>SGOGG248</t>
  </si>
  <si>
    <t>GONZALEZ GONZALEZ GYSELL</t>
  </si>
  <si>
    <t>KGACA274</t>
  </si>
  <si>
    <t>GALICIA CHAVEZ ALEXANDER</t>
  </si>
  <si>
    <t>KOIHA232</t>
  </si>
  <si>
    <t>ORDINOLA HUERTA ALDO YAHEL</t>
  </si>
  <si>
    <t>KAERS252</t>
  </si>
  <si>
    <t>ARCEO RODRIGUEZ SERGIO EMMANUEL</t>
  </si>
  <si>
    <t>PDEGJ370</t>
  </si>
  <si>
    <t>DEL VALLE GONZALEZ JARUMI</t>
  </si>
  <si>
    <t>PROVL489</t>
  </si>
  <si>
    <t>ROMERO VENCES LINDA ISABELLA</t>
  </si>
  <si>
    <t>PGASF485</t>
  </si>
  <si>
    <t>GARCIA SANTIAGO FRIDA CITLALY</t>
  </si>
  <si>
    <t>POIGM319</t>
  </si>
  <si>
    <t>OLIVERA GUZMAN MIGUEL ANGEL</t>
  </si>
  <si>
    <t>PHETD410</t>
  </si>
  <si>
    <t>HERNANDEZ TAVERA DAVID ALEJANDRO</t>
  </si>
  <si>
    <t>KRORA262</t>
  </si>
  <si>
    <t>RODRIGUEZ RIOS ANGEL YAHEL</t>
  </si>
  <si>
    <t>KIACM251</t>
  </si>
  <si>
    <t>IBARRA CARRANCO MILCA</t>
  </si>
  <si>
    <t>KMEVJ256</t>
  </si>
  <si>
    <t>MENA VALDERRABANO JONATHAN JAHIR</t>
  </si>
  <si>
    <t>PMERL423</t>
  </si>
  <si>
    <t>MENDEZ RETANA LUNA AYLIN</t>
  </si>
  <si>
    <t>PROPX306</t>
  </si>
  <si>
    <t>RODRIGUEZ PERALTA XIMENA</t>
  </si>
  <si>
    <t>PFEVS315</t>
  </si>
  <si>
    <t>FEREGRINO VIZCARRA SANTIAGO</t>
  </si>
  <si>
    <t>KMORC200</t>
  </si>
  <si>
    <t>MORALES RAMOS CARLOS SEBASTIAN</t>
  </si>
  <si>
    <t>KOIMI268</t>
  </si>
  <si>
    <t>OLIVARES MEJIA ITAI EMILIANO</t>
  </si>
  <si>
    <t>KHEJU279</t>
  </si>
  <si>
    <t>HERNANDEZ JIMENEZ URIEL ALEJANDRO</t>
  </si>
  <si>
    <t>PGOCC364</t>
  </si>
  <si>
    <t>GONZALEZ CABRAL CARLOS TABIN</t>
  </si>
  <si>
    <t>KNUDA254</t>
  </si>
  <si>
    <t>NUÑEZ MARTINEZ ABEL SANTIAGO</t>
  </si>
  <si>
    <t>KROME248</t>
  </si>
  <si>
    <t>ROMO MARTINEZ ERIK</t>
  </si>
  <si>
    <t>PGAMS409</t>
  </si>
  <si>
    <t>GARCIA MORALES SILVESTRE HITZAE</t>
  </si>
  <si>
    <t>PMAGP507</t>
  </si>
  <si>
    <t>MARTINEZ GUEVARA PAOLA</t>
  </si>
  <si>
    <t>SMESE222</t>
  </si>
  <si>
    <t>MENDOZA SANDOVAL ERIK NOE</t>
  </si>
  <si>
    <t>SROMM223</t>
  </si>
  <si>
    <t>ROMERO MOGUEL MATHIAS JAVIER</t>
  </si>
  <si>
    <t>SLARB224</t>
  </si>
  <si>
    <t>LARA ROMERO BRUNO ZELIG</t>
  </si>
  <si>
    <t>KSATN269</t>
  </si>
  <si>
    <t>SANCHEZ TOBON NATALY AYELEN</t>
  </si>
  <si>
    <t>SLUPJ226</t>
  </si>
  <si>
    <t>DE LUNA PEREZ JOSUE IZANAMI</t>
  </si>
  <si>
    <t>SSAMS227</t>
  </si>
  <si>
    <t>SALAZAR MARQUEZ SOFIA VALERIA</t>
  </si>
  <si>
    <t>SRICA228</t>
  </si>
  <si>
    <t>RIVAS CARRION AXEL SANTIAGO</t>
  </si>
  <si>
    <t>STEBJ229</t>
  </si>
  <si>
    <t>TREJO BUCIO JOSUE EZEQUIEL</t>
  </si>
  <si>
    <t>SGOBM230</t>
  </si>
  <si>
    <t>GONZALEZ BAUTISTA MIREYA BELEN</t>
  </si>
  <si>
    <t>SPEMJ231</t>
  </si>
  <si>
    <t>PEREZ MARCELINO JOHAN FERNANDO</t>
  </si>
  <si>
    <t>SPORL233</t>
  </si>
  <si>
    <t>PONCE RICO LEONARDO</t>
  </si>
  <si>
    <t>SMIFM256</t>
  </si>
  <si>
    <t>MIRON FUENTES MIA ESTEFANIA</t>
  </si>
  <si>
    <t>SRATV236</t>
  </si>
  <si>
    <t>RAMOS TORT VANIA MELISSA</t>
  </si>
  <si>
    <t>SBARE253</t>
  </si>
  <si>
    <t>BASILIO REBOLLOSO EMILIANO</t>
  </si>
  <si>
    <t>SGOGA249</t>
  </si>
  <si>
    <t>GONZALEZ GONZALEZ ANGELIQUE</t>
  </si>
  <si>
    <t>SGOGK250</t>
  </si>
  <si>
    <t>GONZALEZ GONZALEZ KENYA</t>
  </si>
  <si>
    <t>SROAK255</t>
  </si>
  <si>
    <t>RODRIGUEZ AGUILAR KATIA GUADALUPE</t>
  </si>
  <si>
    <t>SLODG237</t>
  </si>
  <si>
    <t>LOPEZ DEL MORAL GALA VALERIA</t>
  </si>
  <si>
    <t>SVIHJ215</t>
  </si>
  <si>
    <t>VICTORIA HIDROGO JENNIFER YAIZA</t>
  </si>
  <si>
    <t>PSIEP486</t>
  </si>
  <si>
    <t>SILVA ESTRELLA PAULINA ITZEL</t>
  </si>
  <si>
    <t>KBACS264</t>
  </si>
  <si>
    <t>BASILIO CARDENAS SEBASTIAN</t>
  </si>
  <si>
    <t>SCURL209</t>
  </si>
  <si>
    <t>CRUZ RODRIGUEZ LINDA POLETH</t>
  </si>
  <si>
    <t>PAAHR482</t>
  </si>
  <si>
    <t>ALVAREZ HERNANDEZ REGINA</t>
  </si>
  <si>
    <t>PTEJS351</t>
  </si>
  <si>
    <t>TEYES JIMENEZ SANTIAGO</t>
  </si>
  <si>
    <t>SRAMC213</t>
  </si>
  <si>
    <t>RAMIREZ MARTINEZ CHRISTIAN MAXIMILIANO</t>
  </si>
  <si>
    <t>KBEBC177</t>
  </si>
  <si>
    <t>BECERRIL BARRERA CHRISTOPHER</t>
  </si>
  <si>
    <t>PPEYS388</t>
  </si>
  <si>
    <t>PERALES YAÑEZ SANTIAGO</t>
  </si>
  <si>
    <t>SLOMG212</t>
  </si>
  <si>
    <t>LOPEZ MUÑOZ GRISELDA</t>
  </si>
  <si>
    <t>SNIDA240</t>
  </si>
  <si>
    <t>NIÑO DIAZ ALLISON VALERIA</t>
  </si>
  <si>
    <t>PROCE400</t>
  </si>
  <si>
    <t>ROSALES CUEVAS ERANDI ELIZABETH</t>
  </si>
  <si>
    <t>PRAPJ364</t>
  </si>
  <si>
    <t>RAMOS PLASCENCIA JORGE LEONARDO</t>
  </si>
  <si>
    <t>PRAVP406</t>
  </si>
  <si>
    <t>RAMIREZ VASQUEZ PAOLA ALEJANDRA</t>
  </si>
  <si>
    <t>PTUMX372</t>
  </si>
  <si>
    <t>TRUJILLO MARTINEZ XIMENA</t>
  </si>
  <si>
    <t>PVABY384</t>
  </si>
  <si>
    <t>VALDESPINO BELTRAN YAEL</t>
  </si>
  <si>
    <t>KVERE197</t>
  </si>
  <si>
    <t>VEGA REVELES ENRIQUE DANIEL</t>
  </si>
  <si>
    <t>PMAVI336</t>
  </si>
  <si>
    <t>MALDONADO VARGAS ISRAEL</t>
  </si>
  <si>
    <t>KAAGA237</t>
  </si>
  <si>
    <t>ALVAREZ DEL CASTILLO GOMEZ ALONDRA EMIRETH</t>
  </si>
  <si>
    <t>PHEEG349</t>
  </si>
  <si>
    <t>HERNANDEZ ENRIQUEZ GIANCARLO ABISHAI</t>
  </si>
  <si>
    <t>PRUSM352</t>
  </si>
  <si>
    <t>RUIZ SANTIAGO MIGUEL ANGEL</t>
  </si>
  <si>
    <t>PDEFS393</t>
  </si>
  <si>
    <t>DELGADILLO FEREGRINO SEBASTIAN</t>
  </si>
  <si>
    <t>KUIGV218</t>
  </si>
  <si>
    <t>URIBE GARCIA VICTORIA</t>
  </si>
  <si>
    <t>PRICM398</t>
  </si>
  <si>
    <t>RIVERA CASTRO MATIAS</t>
  </si>
  <si>
    <t>KGUOE219</t>
  </si>
  <si>
    <t>GUDIÑO OLGUIN EMMANUEL</t>
  </si>
  <si>
    <t>PDIVNA347</t>
  </si>
  <si>
    <t>DIAZ VACA NALLELI CITLALLI</t>
  </si>
  <si>
    <t>KMORH243</t>
  </si>
  <si>
    <t>MONROY RENDON HECTOR</t>
  </si>
  <si>
    <t>PBASJ307</t>
  </si>
  <si>
    <t>BAUTISTA SOSA JOSE MANUEL</t>
  </si>
  <si>
    <t>PHENM354</t>
  </si>
  <si>
    <t>HERNANDEZ NEPOMUCENO MARIANA</t>
  </si>
  <si>
    <t>KMADI259</t>
  </si>
  <si>
    <t>MARTINEZ DIAZ IKER</t>
  </si>
  <si>
    <t>PJUMA399</t>
  </si>
  <si>
    <t>JUAREZ MAYA ABDIEL ISAI</t>
  </si>
  <si>
    <t>KMAMM226</t>
  </si>
  <si>
    <t>MARIN MICHACA MATIAS</t>
  </si>
  <si>
    <t>PCUAL407</t>
  </si>
  <si>
    <t>CRUZ ALCANTARA LUZ DANIELA</t>
  </si>
  <si>
    <t>PCEGF417</t>
  </si>
  <si>
    <t>CERON GUERRERO FATIMA IRAIS</t>
  </si>
  <si>
    <t>SGIHR199</t>
  </si>
  <si>
    <t>GRIMALDO HUANTE RENATA MIRELLE</t>
  </si>
  <si>
    <t>SHEHS200</t>
  </si>
  <si>
    <t>HERNANDEZ HERNANDEZ SEBASTIAN</t>
  </si>
  <si>
    <t>SCAVA202</t>
  </si>
  <si>
    <t>CAMACHO VIVANCO ANGEL GABRIEL</t>
  </si>
  <si>
    <t>SRIGS203</t>
  </si>
  <si>
    <t>RIVERA GUTIERREZ SEBASTIAN</t>
  </si>
  <si>
    <t>SZASA216</t>
  </si>
  <si>
    <t>ZAVALA SANTIAGO ANGEL DANIEL</t>
  </si>
  <si>
    <t>SOICI217</t>
  </si>
  <si>
    <t>ORTIZ CORDOVA ISABEL</t>
  </si>
  <si>
    <t>SVANI232</t>
  </si>
  <si>
    <t>VALDES NIETO ICKER SANTIAGO</t>
  </si>
  <si>
    <t>SXIPV243</t>
  </si>
  <si>
    <t>XICOTENCATL PADILLA VALENTINA ZOE</t>
  </si>
  <si>
    <t>S1</t>
  </si>
  <si>
    <t>S2</t>
  </si>
  <si>
    <t>PCUCAC330</t>
  </si>
  <si>
    <t>CRUZ ANTONIO CRISTIAN</t>
  </si>
  <si>
    <t>PPXINM129</t>
  </si>
  <si>
    <t>XICOTENCATL NAVA MARTIN SANTIAGO</t>
  </si>
  <si>
    <t>PPRAFA131</t>
  </si>
  <si>
    <t>RAFAEL FRANCO ANDREA</t>
  </si>
  <si>
    <t>SLOGY182</t>
  </si>
  <si>
    <t>LOPEZ GONZALEZ YAUZANIT</t>
  </si>
  <si>
    <t>PHEVK334</t>
  </si>
  <si>
    <t>HERNANDEZ VALENZUELA KEYRA XIMENA</t>
  </si>
  <si>
    <t>PPNIDA127</t>
  </si>
  <si>
    <t>NIÑO DIAZ ALEXA PAOLA</t>
  </si>
  <si>
    <t>KBEBM176</t>
  </si>
  <si>
    <t>BECERRIL BARRERA MARIA JOSE</t>
  </si>
  <si>
    <t>SXITV188</t>
  </si>
  <si>
    <t>XICOTENCATL TOSCANO VALERIA MICHEL</t>
  </si>
  <si>
    <t>SRIMI191</t>
  </si>
  <si>
    <t>RIOS MURO IAN JAVIER</t>
  </si>
  <si>
    <t>SGACJ192</t>
  </si>
  <si>
    <t>GARCIA CARRASCO JOSELIN MARIA</t>
  </si>
  <si>
    <t>PPTEPA132</t>
  </si>
  <si>
    <t>TEMOXTLE PERALTA ARLETTE ARELY</t>
  </si>
  <si>
    <t>PPVAHX128</t>
  </si>
  <si>
    <t>VAZQUEZ HERNANDEZ XIMENA</t>
  </si>
  <si>
    <t>PPMARF133</t>
  </si>
  <si>
    <t>MACARIO RODRIGUEZ FATIMA CAMILA</t>
  </si>
  <si>
    <t>PPAOVA135</t>
  </si>
  <si>
    <t>AYLLON VELEZ JOSE ANGEL</t>
  </si>
  <si>
    <t>PPTODA138</t>
  </si>
  <si>
    <t>PPCUMP119</t>
  </si>
  <si>
    <t>CUMPLIDO MARTINEZ PERLA MARIEL</t>
  </si>
  <si>
    <t>PPGAGV111</t>
  </si>
  <si>
    <t>GARCIA VILLAVICENCIO KENYA MITSHELL</t>
  </si>
  <si>
    <t>PPRAFI112</t>
  </si>
  <si>
    <t>RAFAEL FRANCO ITZEL</t>
  </si>
  <si>
    <t>PPEESPI120</t>
  </si>
  <si>
    <t>KMULS128</t>
  </si>
  <si>
    <t>MUÑOZ LOPEZ SANTIAGO</t>
  </si>
  <si>
    <t>SJITA182</t>
  </si>
  <si>
    <t>JIMENEZ TORT AYLIN ALEJANDRA</t>
  </si>
  <si>
    <t>PVEGH336</t>
  </si>
  <si>
    <t>VELAZQUEZ GOMEZ HANIA</t>
  </si>
  <si>
    <t>KSEBP155</t>
  </si>
  <si>
    <t>SERRANO BARON PEDRO</t>
  </si>
  <si>
    <t>PGUPY367</t>
  </si>
  <si>
    <t>GUZMAN PEREZ YARETZI LEILIANI</t>
  </si>
  <si>
    <t>SGUCJ164</t>
  </si>
  <si>
    <t>GUZMAN CAMPOY JI EUN</t>
  </si>
  <si>
    <t>SVAGS178</t>
  </si>
  <si>
    <t>VAZQUEZ GARCIA SANTIAGO DARREN</t>
  </si>
  <si>
    <t>LOPEZ GARCIA DULCE YAZMIN</t>
  </si>
  <si>
    <t>PPROVH109</t>
  </si>
  <si>
    <t>RODRIGUEZ VAZQUEZ HORACIO</t>
  </si>
  <si>
    <t>PPGAGV112</t>
  </si>
  <si>
    <t>GARCIA GARCIA VALERIA JACQUELINE</t>
  </si>
  <si>
    <t>PPPEAT114</t>
  </si>
  <si>
    <t>PEREZ ANAYA TABATHA GISSEL</t>
  </si>
  <si>
    <t>PPGAZA121</t>
  </si>
  <si>
    <t>GALINDO ZACHS ANGELICA ABIGAIL</t>
  </si>
  <si>
    <t>PPBACA134</t>
  </si>
  <si>
    <t>BAREÑO PEREZ AXEL YAHEL</t>
  </si>
  <si>
    <t>PPMEPA126</t>
  </si>
  <si>
    <t>MENDEZ PINEDA ANGEL ENRIQUE</t>
  </si>
  <si>
    <t>PPZEBC117</t>
  </si>
  <si>
    <t>PPGARV113</t>
  </si>
  <si>
    <t>GARCIA RAMOS VALERIA ALEJANDRA</t>
  </si>
  <si>
    <t>PGUPP366</t>
  </si>
  <si>
    <t>GUZMAN PEREZ PAMELA ABIGAIL</t>
  </si>
  <si>
    <t>PPOICI123</t>
  </si>
  <si>
    <t>ORTIZ CIPRES ISELA SOFIA</t>
  </si>
  <si>
    <t>SSOGJ166</t>
  </si>
  <si>
    <t>SOTO GARCIA JUAN DE JESUS</t>
  </si>
  <si>
    <t>SOOFC185</t>
  </si>
  <si>
    <t>OSORNIO FERNANDEZ CAROL MARIANA</t>
  </si>
  <si>
    <t>SRAROM197</t>
  </si>
  <si>
    <t>RAMIREZ ROJAS MIRIAM NAHOMI</t>
  </si>
  <si>
    <t>PPIACM89</t>
  </si>
  <si>
    <t>ISLAS COVARRUBIAS MELISA</t>
  </si>
  <si>
    <t>PPRASJ101</t>
  </si>
  <si>
    <t>RAMOS SANCHEZ JUAN FRANCISCO</t>
  </si>
  <si>
    <t>PPGAVB105</t>
  </si>
  <si>
    <t>GARCIA VILLAVICENCIO BRANDON JOSUE</t>
  </si>
  <si>
    <t>PPCAVW110</t>
  </si>
  <si>
    <t>CAMACHO VIVANCO WENDY NICOL</t>
  </si>
  <si>
    <t>PPGOVA116</t>
  </si>
  <si>
    <t>GONZALEZ VAZQUEZ ABIGAIL</t>
  </si>
  <si>
    <t>PPGOAR115</t>
  </si>
  <si>
    <t>GONZALEZ ALCANTARA RODRIGO</t>
  </si>
  <si>
    <t>PPCAHC137</t>
  </si>
  <si>
    <t>PPAOHO130</t>
  </si>
  <si>
    <t xml:space="preserve">RAMIREZ GOMEZ JESUS IVAN </t>
  </si>
  <si>
    <t>LUIS PICHARDO MARIEL ANTONIETA</t>
  </si>
  <si>
    <t>CICLO</t>
  </si>
  <si>
    <t>GRADO</t>
  </si>
  <si>
    <t>GRUPO</t>
  </si>
  <si>
    <t>BASILIO REBOLLOSO EMILIO</t>
  </si>
  <si>
    <t>MARTINEZ PEREZ NAHOMI</t>
  </si>
  <si>
    <t>MATRICULA</t>
  </si>
  <si>
    <t xml:space="preserve">NOMBRE DEL ALUMNO </t>
  </si>
  <si>
    <t>PPALMC139</t>
  </si>
  <si>
    <t>ALVARADO MONDRAGON CHRISTOPHER DAMIAN</t>
  </si>
  <si>
    <t>PPRAAE140</t>
  </si>
  <si>
    <t>RAMIREZ ARZAVE EMILIANO</t>
  </si>
  <si>
    <t>TORRES DÍAZ AVRIL ZOE</t>
  </si>
  <si>
    <t>ESPINOSA PRECIADO ANGELICA ITZEL</t>
  </si>
  <si>
    <t>AYLLON  HERNANDEZ PAOLA QUEHTZALY</t>
  </si>
  <si>
    <t xml:space="preserve">CABRERA HERNANDEZ CHRISTIAN MICHEL </t>
  </si>
  <si>
    <t>ZERMEÑO BENITEZ  CARLOS JOAN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</si>
</sst>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2"/>
      <color rgb="FF9C0006"/>
      <name val="Arial"/>
      <family val="2"/>
    </font>
    <font>
      <b/>
      <i/>
      <u/>
      <sz val="12"/>
      <color rgb="FF9C0006"/>
      <name val="Arial"/>
      <family val="2"/>
    </font>
    <font>
      <b/>
      <i/>
      <sz val="12"/>
      <color rgb="FF9C0006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36"/>
      <color theme="1"/>
      <name val="Arial"/>
      <family val="2"/>
    </font>
    <font>
      <b/>
      <sz val="10"/>
      <color theme="1"/>
      <name val="Arial"/>
      <family val="2"/>
    </font>
    <font>
      <b/>
      <sz val="48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48"/>
      <color theme="1"/>
      <name val="Arial"/>
      <family val="2"/>
    </font>
    <font>
      <sz val="12"/>
      <color theme="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7" tint="0.59999389629810485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1" xfId="0" applyFont="1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3" fillId="5" borderId="1" xfId="0" applyFont="1" applyFill="1" applyBorder="1"/>
    <xf numFmtId="0" fontId="4" fillId="5" borderId="1" xfId="0" applyFont="1" applyFill="1" applyBorder="1"/>
    <xf numFmtId="0" fontId="5" fillId="4" borderId="1" xfId="0" applyFont="1" applyFill="1" applyBorder="1"/>
    <xf numFmtId="0" fontId="0" fillId="5" borderId="0" xfId="0" applyFill="1"/>
    <xf numFmtId="0" fontId="4" fillId="5" borderId="5" xfId="0" applyFont="1" applyFill="1" applyBorder="1"/>
    <xf numFmtId="0" fontId="4" fillId="6" borderId="1" xfId="0" applyFont="1" applyFill="1" applyBorder="1" applyAlignment="1">
      <alignment vertical="center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2" fillId="0" borderId="1" xfId="0" applyFont="1" applyBorder="1"/>
    <xf numFmtId="1" fontId="4" fillId="10" borderId="7" xfId="1" applyNumberFormat="1" applyFont="1" applyFill="1" applyBorder="1" applyAlignment="1">
      <alignment horizontal="center" vertical="center"/>
    </xf>
    <xf numFmtId="1" fontId="4" fillId="11" borderId="8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12" borderId="2" xfId="0" applyFont="1" applyFill="1" applyBorder="1"/>
    <xf numFmtId="0" fontId="13" fillId="0" borderId="9" xfId="0" applyFont="1" applyBorder="1" applyAlignment="1">
      <alignment horizontal="center" vertical="center" wrapText="1"/>
    </xf>
    <xf numFmtId="0" fontId="2" fillId="13" borderId="1" xfId="0" applyFont="1" applyFill="1" applyBorder="1"/>
    <xf numFmtId="0" fontId="5" fillId="13" borderId="1" xfId="0" applyFont="1" applyFill="1" applyBorder="1" applyAlignment="1">
      <alignment horizontal="left"/>
    </xf>
    <xf numFmtId="0" fontId="3" fillId="13" borderId="1" xfId="0" applyFont="1" applyFill="1" applyBorder="1"/>
    <xf numFmtId="0" fontId="4" fillId="14" borderId="2" xfId="0" applyFont="1" applyFill="1" applyBorder="1"/>
    <xf numFmtId="0" fontId="4" fillId="13" borderId="2" xfId="0" applyFont="1" applyFill="1" applyBorder="1"/>
    <xf numFmtId="0" fontId="4" fillId="0" borderId="2" xfId="0" applyFont="1" applyBorder="1"/>
    <xf numFmtId="0" fontId="4" fillId="0" borderId="1" xfId="0" applyFont="1" applyBorder="1" applyAlignment="1">
      <alignment vertical="center"/>
    </xf>
    <xf numFmtId="0" fontId="2" fillId="5" borderId="1" xfId="0" applyFont="1" applyFill="1" applyBorder="1"/>
    <xf numFmtId="0" fontId="5" fillId="5" borderId="1" xfId="0" applyFont="1" applyFill="1" applyBorder="1" applyAlignment="1">
      <alignment horizontal="left"/>
    </xf>
    <xf numFmtId="0" fontId="4" fillId="13" borderId="1" xfId="0" applyFont="1" applyFill="1" applyBorder="1"/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4" fillId="12" borderId="2" xfId="0" applyFont="1" applyFill="1" applyBorder="1" applyAlignment="1">
      <alignment horizontal="left"/>
    </xf>
    <xf numFmtId="0" fontId="4" fillId="15" borderId="2" xfId="0" applyFont="1" applyFill="1" applyBorder="1"/>
    <xf numFmtId="0" fontId="13" fillId="0" borderId="1" xfId="0" applyFont="1" applyBorder="1" applyAlignment="1">
      <alignment horizontal="center" vertical="center" wrapText="1"/>
    </xf>
    <xf numFmtId="0" fontId="4" fillId="8" borderId="10" xfId="0" applyFont="1" applyFill="1" applyBorder="1" applyAlignment="1">
      <alignment vertical="center"/>
    </xf>
    <xf numFmtId="0" fontId="4" fillId="8" borderId="11" xfId="0" applyFont="1" applyFill="1" applyBorder="1" applyAlignment="1">
      <alignment horizontal="center" vertical="center"/>
    </xf>
    <xf numFmtId="0" fontId="16" fillId="0" borderId="1" xfId="0" applyFont="1" applyBorder="1"/>
    <xf numFmtId="0" fontId="17" fillId="0" borderId="0" xfId="0" applyFont="1"/>
    <xf numFmtId="0" fontId="14" fillId="0" borderId="1" xfId="0" applyFont="1" applyBorder="1" applyAlignment="1">
      <alignment vertical="center" wrapText="1"/>
    </xf>
    <xf numFmtId="0" fontId="18" fillId="0" borderId="2" xfId="0" applyFont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/>
    </xf>
    <xf numFmtId="0" fontId="19" fillId="0" borderId="1" xfId="0" applyFont="1" applyBorder="1"/>
    <xf numFmtId="0" fontId="4" fillId="12" borderId="12" xfId="0" applyFont="1" applyFill="1" applyBorder="1"/>
  </cellXfs>
  <cellStyles count="2">
    <cellStyle name="Normal" xfId="0" builtinId="0"/>
    <cellStyle name="Normal 6 2 2 2" xfId="1" xr:uid="{18E3FB10-5687-431D-9D1D-04F872CCD976}"/>
  </cellStyles>
  <dxfs count="1133"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1"/>
  <sheetViews>
    <sheetView topLeftCell="C1" workbookViewId="0">
      <selection activeCell="F2" sqref="F1:N1048576"/>
    </sheetView>
  </sheetViews>
  <sheetFormatPr baseColWidth="10" defaultColWidth="12.5703125" defaultRowHeight="15.75" customHeight="1" x14ac:dyDescent="0.2"/>
  <cols>
    <col min="1" max="1" width="9.85546875" customWidth="1"/>
    <col min="2" max="2" width="40.8554687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5" max="19" width="3.140625" customWidth="1"/>
  </cols>
  <sheetData>
    <row r="1" spans="1:19" ht="15" x14ac:dyDescent="0.2">
      <c r="A1" s="1"/>
      <c r="B1" s="1"/>
      <c r="C1" s="1"/>
      <c r="D1" s="1"/>
      <c r="E1" s="1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4" t="s">
        <v>2</v>
      </c>
      <c r="O1" s="4"/>
      <c r="P1" s="4"/>
      <c r="Q1" s="4"/>
      <c r="R1" s="11"/>
      <c r="S1" s="11"/>
    </row>
    <row r="2" spans="1:19" x14ac:dyDescent="0.2">
      <c r="A2" s="1" t="s">
        <v>3</v>
      </c>
      <c r="B2" s="1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4" t="s">
        <v>12</v>
      </c>
      <c r="O2" s="5"/>
      <c r="P2" s="5"/>
      <c r="Q2" s="5"/>
      <c r="R2" s="5"/>
      <c r="S2" s="5"/>
    </row>
    <row r="3" spans="1:19" ht="15.75" customHeight="1" x14ac:dyDescent="0.25">
      <c r="A3" s="1" t="s">
        <v>29</v>
      </c>
      <c r="B3" s="14" t="s">
        <v>30</v>
      </c>
      <c r="C3" s="1" t="s">
        <v>15</v>
      </c>
      <c r="D3" s="27">
        <v>1</v>
      </c>
      <c r="E3" s="27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11" si="0">AVERAGE(J3:L3)</f>
        <v>0</v>
      </c>
      <c r="N3" s="30">
        <f>AVERAGE(I3,M3)</f>
        <v>0</v>
      </c>
      <c r="O3" s="6"/>
      <c r="P3" s="6"/>
      <c r="Q3" s="7"/>
      <c r="R3" s="6"/>
      <c r="S3" s="7"/>
    </row>
    <row r="4" spans="1:19" ht="15.75" customHeight="1" x14ac:dyDescent="0.25">
      <c r="A4" s="1" t="s">
        <v>17</v>
      </c>
      <c r="B4" s="13" t="s">
        <v>18</v>
      </c>
      <c r="C4" s="1" t="s">
        <v>15</v>
      </c>
      <c r="D4" s="27">
        <v>1</v>
      </c>
      <c r="E4" s="27" t="s">
        <v>16</v>
      </c>
      <c r="F4" s="28">
        <v>0</v>
      </c>
      <c r="G4" s="28">
        <v>0</v>
      </c>
      <c r="H4" s="28">
        <v>0</v>
      </c>
      <c r="I4" s="29">
        <f t="shared" ref="I4:I11" si="1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30">
        <f t="shared" ref="N4:N11" si="2">AVERAGE(I4,M4)</f>
        <v>0</v>
      </c>
      <c r="O4" s="7"/>
      <c r="P4" s="7"/>
      <c r="Q4" s="7"/>
      <c r="R4" s="8"/>
      <c r="S4" s="7"/>
    </row>
    <row r="5" spans="1:19" ht="15.75" customHeight="1" x14ac:dyDescent="0.25">
      <c r="A5" s="1" t="s">
        <v>31</v>
      </c>
      <c r="B5" s="14" t="s">
        <v>32</v>
      </c>
      <c r="C5" s="1" t="s">
        <v>15</v>
      </c>
      <c r="D5" s="27">
        <v>1</v>
      </c>
      <c r="E5" s="27" t="s">
        <v>16</v>
      </c>
      <c r="F5" s="28">
        <v>0</v>
      </c>
      <c r="G5" s="28">
        <v>0</v>
      </c>
      <c r="H5" s="28">
        <v>0</v>
      </c>
      <c r="I5" s="29">
        <f t="shared" si="1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30">
        <f t="shared" si="2"/>
        <v>0</v>
      </c>
      <c r="O5" s="7"/>
      <c r="P5" s="7"/>
      <c r="Q5" s="7"/>
      <c r="R5" s="8"/>
      <c r="S5" s="7"/>
    </row>
    <row r="6" spans="1:19" ht="15.75" customHeight="1" x14ac:dyDescent="0.25">
      <c r="A6" s="1" t="s">
        <v>21</v>
      </c>
      <c r="B6" s="14" t="s">
        <v>22</v>
      </c>
      <c r="C6" s="1" t="s">
        <v>15</v>
      </c>
      <c r="D6" s="27">
        <v>1</v>
      </c>
      <c r="E6" s="27" t="s">
        <v>16</v>
      </c>
      <c r="F6" s="28">
        <v>0</v>
      </c>
      <c r="G6" s="28">
        <v>0</v>
      </c>
      <c r="H6" s="28">
        <v>0</v>
      </c>
      <c r="I6" s="29">
        <f t="shared" si="1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30">
        <f t="shared" si="2"/>
        <v>0</v>
      </c>
      <c r="O6" s="9"/>
      <c r="P6" s="9"/>
      <c r="Q6" s="6"/>
      <c r="R6" s="6"/>
      <c r="S6" s="7"/>
    </row>
    <row r="7" spans="1:19" ht="15.75" customHeight="1" x14ac:dyDescent="0.25">
      <c r="A7" s="1" t="s">
        <v>25</v>
      </c>
      <c r="B7" s="13" t="s">
        <v>26</v>
      </c>
      <c r="C7" s="1" t="s">
        <v>15</v>
      </c>
      <c r="D7" s="27">
        <v>1</v>
      </c>
      <c r="E7" s="27" t="s">
        <v>16</v>
      </c>
      <c r="F7" s="28">
        <v>0</v>
      </c>
      <c r="G7" s="28">
        <v>0</v>
      </c>
      <c r="H7" s="28">
        <v>0</v>
      </c>
      <c r="I7" s="29">
        <f t="shared" si="1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30">
        <f t="shared" si="2"/>
        <v>0</v>
      </c>
      <c r="O7" s="7"/>
      <c r="P7" s="7"/>
      <c r="Q7" s="6"/>
      <c r="R7" s="6"/>
      <c r="S7" s="7"/>
    </row>
    <row r="8" spans="1:19" ht="15.75" customHeight="1" x14ac:dyDescent="0.25">
      <c r="A8" s="1" t="s">
        <v>13</v>
      </c>
      <c r="B8" s="13" t="s">
        <v>14</v>
      </c>
      <c r="C8" s="1" t="s">
        <v>15</v>
      </c>
      <c r="D8" s="27">
        <v>1</v>
      </c>
      <c r="E8" s="27" t="s">
        <v>16</v>
      </c>
      <c r="F8" s="28">
        <v>0</v>
      </c>
      <c r="G8" s="28">
        <v>0</v>
      </c>
      <c r="H8" s="28">
        <v>0</v>
      </c>
      <c r="I8" s="29">
        <f t="shared" si="1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30">
        <f t="shared" si="2"/>
        <v>0</v>
      </c>
      <c r="O8" s="6"/>
      <c r="P8" s="6"/>
      <c r="Q8" s="10"/>
      <c r="R8" s="8"/>
      <c r="S8" s="7"/>
    </row>
    <row r="9" spans="1:19" ht="15.75" customHeight="1" x14ac:dyDescent="0.25">
      <c r="A9" s="1" t="s">
        <v>23</v>
      </c>
      <c r="B9" s="13" t="s">
        <v>24</v>
      </c>
      <c r="C9" s="1" t="s">
        <v>15</v>
      </c>
      <c r="D9" s="27">
        <v>1</v>
      </c>
      <c r="E9" s="27" t="s">
        <v>16</v>
      </c>
      <c r="F9" s="28">
        <v>0</v>
      </c>
      <c r="G9" s="28">
        <v>0</v>
      </c>
      <c r="H9" s="28">
        <v>0</v>
      </c>
      <c r="I9" s="29">
        <f t="shared" si="1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30">
        <f t="shared" si="2"/>
        <v>0</v>
      </c>
      <c r="O9" s="8"/>
      <c r="P9" s="8"/>
      <c r="Q9" s="6"/>
      <c r="R9" s="6"/>
      <c r="S9" s="7"/>
    </row>
    <row r="10" spans="1:19" ht="15.75" customHeight="1" x14ac:dyDescent="0.25">
      <c r="A10" s="1" t="s">
        <v>27</v>
      </c>
      <c r="B10" s="14" t="s">
        <v>28</v>
      </c>
      <c r="C10" s="1" t="s">
        <v>15</v>
      </c>
      <c r="D10" s="27">
        <v>1</v>
      </c>
      <c r="E10" s="27" t="s">
        <v>16</v>
      </c>
      <c r="F10" s="28">
        <v>0</v>
      </c>
      <c r="G10" s="28">
        <v>0</v>
      </c>
      <c r="H10" s="28">
        <v>0</v>
      </c>
      <c r="I10" s="29">
        <f t="shared" si="1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30">
        <f t="shared" si="2"/>
        <v>0</v>
      </c>
      <c r="O10" s="8"/>
      <c r="P10" s="6"/>
      <c r="Q10" s="6"/>
      <c r="R10" s="10"/>
      <c r="S10" s="7"/>
    </row>
    <row r="11" spans="1:19" ht="15.75" customHeight="1" x14ac:dyDescent="0.25">
      <c r="A11" s="1" t="s">
        <v>19</v>
      </c>
      <c r="B11" s="14" t="s">
        <v>20</v>
      </c>
      <c r="C11" s="1" t="s">
        <v>15</v>
      </c>
      <c r="D11" s="27">
        <v>1</v>
      </c>
      <c r="E11" s="27" t="s">
        <v>16</v>
      </c>
      <c r="F11" s="28">
        <v>0</v>
      </c>
      <c r="G11" s="28">
        <v>0</v>
      </c>
      <c r="H11" s="28">
        <v>0</v>
      </c>
      <c r="I11" s="29">
        <f t="shared" si="1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30">
        <f t="shared" si="2"/>
        <v>0</v>
      </c>
      <c r="O11" s="8"/>
      <c r="P11" s="7"/>
      <c r="Q11" s="7"/>
      <c r="R11" s="8"/>
      <c r="S11" s="7"/>
    </row>
  </sheetData>
  <sortState xmlns:xlrd2="http://schemas.microsoft.com/office/spreadsheetml/2017/richdata2" ref="A3:M11">
    <sortCondition ref="B3:B11"/>
  </sortState>
  <mergeCells count="2">
    <mergeCell ref="F1:I1"/>
    <mergeCell ref="J1:M1"/>
  </mergeCells>
  <conditionalFormatting sqref="F3:H11">
    <cfRule type="cellIs" dxfId="1132" priority="19" operator="lessThan">
      <formula>7.9</formula>
    </cfRule>
  </conditionalFormatting>
  <conditionalFormatting sqref="F3:H11">
    <cfRule type="cellIs" dxfId="1131" priority="20" operator="lessThan">
      <formula>7.4</formula>
    </cfRule>
  </conditionalFormatting>
  <conditionalFormatting sqref="F5:H6">
    <cfRule type="cellIs" dxfId="1130" priority="21" operator="lessThan">
      <formula>6.9</formula>
    </cfRule>
  </conditionalFormatting>
  <conditionalFormatting sqref="I3:I11">
    <cfRule type="cellIs" dxfId="1129" priority="22" operator="lessThan">
      <formula>7.9</formula>
    </cfRule>
    <cfRule type="cellIs" dxfId="1128" priority="31" operator="lessThan">
      <formula>6.9</formula>
    </cfRule>
    <cfRule type="cellIs" dxfId="1127" priority="32" operator="lessThan">
      <formula>7.4</formula>
    </cfRule>
    <cfRule type="cellIs" dxfId="1126" priority="33" operator="lessThan">
      <formula>7.9</formula>
    </cfRule>
  </conditionalFormatting>
  <conditionalFormatting sqref="I3:I11">
    <cfRule type="cellIs" dxfId="1125" priority="23" operator="lessThan">
      <formula>6.9</formula>
    </cfRule>
    <cfRule type="cellIs" dxfId="1124" priority="24" operator="lessThan">
      <formula>7.4</formula>
    </cfRule>
    <cfRule type="cellIs" dxfId="1123" priority="25" operator="lessThan">
      <formula>7.9</formula>
    </cfRule>
    <cfRule type="cellIs" dxfId="1122" priority="26" operator="lessThan">
      <formula>6.9</formula>
    </cfRule>
    <cfRule type="cellIs" dxfId="1121" priority="27" operator="lessThan">
      <formula>7.9</formula>
    </cfRule>
    <cfRule type="cellIs" dxfId="1120" priority="28" operator="lessThan">
      <formula>7.4</formula>
    </cfRule>
    <cfRule type="cellIs" dxfId="1119" priority="29" operator="lessThan">
      <formula>6.9</formula>
    </cfRule>
    <cfRule type="cellIs" dxfId="1118" priority="30" operator="lessThan">
      <formula>7.9</formula>
    </cfRule>
  </conditionalFormatting>
  <conditionalFormatting sqref="M3:M11">
    <cfRule type="cellIs" dxfId="1117" priority="34" operator="lessThan">
      <formula>7.9</formula>
    </cfRule>
    <cfRule type="cellIs" dxfId="1116" priority="35" operator="lessThan">
      <formula>6.9</formula>
    </cfRule>
    <cfRule type="cellIs" dxfId="1115" priority="36" operator="lessThan">
      <formula>7.4</formula>
    </cfRule>
    <cfRule type="cellIs" dxfId="1114" priority="37" operator="lessThan">
      <formula>7.9</formula>
    </cfRule>
    <cfRule type="cellIs" dxfId="1113" priority="38" operator="lessThan">
      <formula>6.9</formula>
    </cfRule>
    <cfRule type="cellIs" dxfId="1112" priority="39" operator="lessThan">
      <formula>7.9</formula>
    </cfRule>
    <cfRule type="cellIs" dxfId="1111" priority="40" operator="lessThan">
      <formula>7.4</formula>
    </cfRule>
    <cfRule type="cellIs" dxfId="1110" priority="41" operator="lessThan">
      <formula>6.9</formula>
    </cfRule>
    <cfRule type="cellIs" dxfId="1109" priority="42" operator="lessThan">
      <formula>7.9</formula>
    </cfRule>
    <cfRule type="cellIs" dxfId="1108" priority="43" operator="lessThan">
      <formula>6.9</formula>
    </cfRule>
    <cfRule type="cellIs" dxfId="1107" priority="44" operator="lessThan">
      <formula>7.4</formula>
    </cfRule>
    <cfRule type="cellIs" dxfId="1106" priority="45" operator="lessThan">
      <formula>6.9</formula>
    </cfRule>
    <cfRule type="cellIs" dxfId="1105" priority="46" operator="lessThan">
      <formula>7.4</formula>
    </cfRule>
    <cfRule type="cellIs" dxfId="1104" priority="47" operator="lessThan">
      <formula>7.9</formula>
    </cfRule>
  </conditionalFormatting>
  <conditionalFormatting sqref="J3:L11">
    <cfRule type="cellIs" dxfId="1103" priority="16" operator="lessThan">
      <formula>7.9</formula>
    </cfRule>
  </conditionalFormatting>
  <conditionalFormatting sqref="J3:L11">
    <cfRule type="cellIs" dxfId="1102" priority="17" operator="lessThan">
      <formula>7.4</formula>
    </cfRule>
  </conditionalFormatting>
  <conditionalFormatting sqref="J5:L6">
    <cfRule type="cellIs" dxfId="1101" priority="18" operator="lessThan">
      <formula>6.9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1"/>
  <sheetViews>
    <sheetView topLeftCell="C1" workbookViewId="0">
      <selection activeCell="F2" sqref="F1:N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5" max="19" width="3.140625" customWidth="1"/>
  </cols>
  <sheetData>
    <row r="1" spans="1:19" ht="15" x14ac:dyDescent="0.2">
      <c r="A1" s="1"/>
      <c r="B1" s="1"/>
      <c r="C1" s="1"/>
      <c r="D1" s="1"/>
      <c r="E1" s="1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4" t="s">
        <v>2</v>
      </c>
      <c r="O1" s="4"/>
      <c r="P1" s="4"/>
      <c r="Q1" s="4"/>
      <c r="R1" s="4"/>
      <c r="S1" s="4"/>
    </row>
    <row r="2" spans="1:19" x14ac:dyDescent="0.2">
      <c r="A2" s="1" t="s">
        <v>3</v>
      </c>
      <c r="B2" s="1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4" t="s">
        <v>12</v>
      </c>
      <c r="O2" s="5"/>
      <c r="P2" s="5"/>
      <c r="Q2" s="5"/>
      <c r="R2" s="5"/>
      <c r="S2" s="5"/>
    </row>
    <row r="3" spans="1:19" ht="15.75" customHeight="1" x14ac:dyDescent="0.25">
      <c r="A3" s="1" t="s">
        <v>29</v>
      </c>
      <c r="B3" s="14" t="s">
        <v>30</v>
      </c>
      <c r="C3" s="1" t="s">
        <v>15</v>
      </c>
      <c r="D3" s="27">
        <v>1</v>
      </c>
      <c r="E3" s="27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11" si="0">AVERAGE(J3:L3)</f>
        <v>0</v>
      </c>
      <c r="N3" s="30">
        <f>AVERAGE(I3,M3)</f>
        <v>0</v>
      </c>
      <c r="O3" s="6"/>
      <c r="P3" s="6"/>
      <c r="Q3" s="7"/>
      <c r="R3" s="6"/>
      <c r="S3" s="7"/>
    </row>
    <row r="4" spans="1:19" ht="15.75" customHeight="1" x14ac:dyDescent="0.25">
      <c r="A4" s="1" t="s">
        <v>17</v>
      </c>
      <c r="B4" s="13" t="s">
        <v>18</v>
      </c>
      <c r="C4" s="1" t="s">
        <v>15</v>
      </c>
      <c r="D4" s="27">
        <v>1</v>
      </c>
      <c r="E4" s="27" t="s">
        <v>16</v>
      </c>
      <c r="F4" s="28">
        <v>0</v>
      </c>
      <c r="G4" s="28">
        <v>0</v>
      </c>
      <c r="H4" s="28">
        <v>0</v>
      </c>
      <c r="I4" s="29">
        <f t="shared" ref="I4:I11" si="1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30">
        <f t="shared" ref="N4:N11" si="2">AVERAGE(I4,M4)</f>
        <v>0</v>
      </c>
      <c r="O4" s="7"/>
      <c r="P4" s="7"/>
      <c r="Q4" s="7"/>
      <c r="R4" s="7"/>
      <c r="S4" s="7"/>
    </row>
    <row r="5" spans="1:19" ht="15.75" customHeight="1" x14ac:dyDescent="0.25">
      <c r="A5" s="1" t="s">
        <v>31</v>
      </c>
      <c r="B5" s="14" t="s">
        <v>32</v>
      </c>
      <c r="C5" s="1" t="s">
        <v>15</v>
      </c>
      <c r="D5" s="27">
        <v>1</v>
      </c>
      <c r="E5" s="27" t="s">
        <v>16</v>
      </c>
      <c r="F5" s="28">
        <v>0</v>
      </c>
      <c r="G5" s="28">
        <v>0</v>
      </c>
      <c r="H5" s="28">
        <v>0</v>
      </c>
      <c r="I5" s="29">
        <f t="shared" si="1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30">
        <f t="shared" si="2"/>
        <v>0</v>
      </c>
      <c r="O5" s="7"/>
      <c r="P5" s="7"/>
      <c r="Q5" s="7"/>
      <c r="R5" s="8"/>
      <c r="S5" s="7"/>
    </row>
    <row r="6" spans="1:19" ht="15.75" customHeight="1" x14ac:dyDescent="0.25">
      <c r="A6" s="1" t="s">
        <v>21</v>
      </c>
      <c r="B6" s="14" t="s">
        <v>22</v>
      </c>
      <c r="C6" s="1" t="s">
        <v>15</v>
      </c>
      <c r="D6" s="27">
        <v>1</v>
      </c>
      <c r="E6" s="27" t="s">
        <v>16</v>
      </c>
      <c r="F6" s="28">
        <v>0</v>
      </c>
      <c r="G6" s="28">
        <v>0</v>
      </c>
      <c r="H6" s="28">
        <v>0</v>
      </c>
      <c r="I6" s="29">
        <f t="shared" si="1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30">
        <f t="shared" si="2"/>
        <v>0</v>
      </c>
      <c r="O6" s="7"/>
      <c r="P6" s="7"/>
      <c r="Q6" s="7"/>
      <c r="R6" s="8"/>
      <c r="S6" s="7"/>
    </row>
    <row r="7" spans="1:19" ht="15.75" customHeight="1" x14ac:dyDescent="0.25">
      <c r="A7" s="1" t="s">
        <v>25</v>
      </c>
      <c r="B7" s="13" t="s">
        <v>26</v>
      </c>
      <c r="C7" s="1" t="s">
        <v>15</v>
      </c>
      <c r="D7" s="27">
        <v>1</v>
      </c>
      <c r="E7" s="27" t="s">
        <v>16</v>
      </c>
      <c r="F7" s="28">
        <v>0</v>
      </c>
      <c r="G7" s="28">
        <v>0</v>
      </c>
      <c r="H7" s="28">
        <v>0</v>
      </c>
      <c r="I7" s="29">
        <f t="shared" si="1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30">
        <f t="shared" si="2"/>
        <v>0</v>
      </c>
      <c r="O7" s="9"/>
      <c r="P7" s="9"/>
      <c r="Q7" s="6"/>
      <c r="R7" s="6"/>
      <c r="S7" s="7"/>
    </row>
    <row r="8" spans="1:19" ht="15.75" customHeight="1" x14ac:dyDescent="0.25">
      <c r="A8" s="1" t="s">
        <v>13</v>
      </c>
      <c r="B8" s="13" t="s">
        <v>14</v>
      </c>
      <c r="C8" s="1" t="s">
        <v>15</v>
      </c>
      <c r="D8" s="27">
        <v>1</v>
      </c>
      <c r="E8" s="27" t="s">
        <v>16</v>
      </c>
      <c r="F8" s="28">
        <v>0</v>
      </c>
      <c r="G8" s="28">
        <v>0</v>
      </c>
      <c r="H8" s="28">
        <v>0</v>
      </c>
      <c r="I8" s="29">
        <f t="shared" si="1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30">
        <f t="shared" si="2"/>
        <v>0</v>
      </c>
      <c r="O8" s="7"/>
      <c r="P8" s="7"/>
      <c r="Q8" s="6"/>
      <c r="R8" s="6"/>
      <c r="S8" s="7"/>
    </row>
    <row r="9" spans="1:19" ht="15.75" customHeight="1" x14ac:dyDescent="0.25">
      <c r="A9" s="1" t="s">
        <v>23</v>
      </c>
      <c r="B9" s="13" t="s">
        <v>24</v>
      </c>
      <c r="C9" s="1" t="s">
        <v>15</v>
      </c>
      <c r="D9" s="27">
        <v>1</v>
      </c>
      <c r="E9" s="27" t="s">
        <v>16</v>
      </c>
      <c r="F9" s="28">
        <v>0</v>
      </c>
      <c r="G9" s="28">
        <v>0</v>
      </c>
      <c r="H9" s="28">
        <v>0</v>
      </c>
      <c r="I9" s="29">
        <f t="shared" si="1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30">
        <f t="shared" si="2"/>
        <v>0</v>
      </c>
      <c r="O9" s="6"/>
      <c r="P9" s="6"/>
      <c r="Q9" s="10"/>
      <c r="R9" s="8"/>
      <c r="S9" s="7"/>
    </row>
    <row r="10" spans="1:19" x14ac:dyDescent="0.25">
      <c r="A10" s="1" t="s">
        <v>27</v>
      </c>
      <c r="B10" s="14" t="s">
        <v>28</v>
      </c>
      <c r="C10" s="1" t="s">
        <v>15</v>
      </c>
      <c r="D10" s="27">
        <v>1</v>
      </c>
      <c r="E10" s="27" t="s">
        <v>16</v>
      </c>
      <c r="F10" s="28">
        <v>0</v>
      </c>
      <c r="G10" s="28">
        <v>0</v>
      </c>
      <c r="H10" s="28">
        <v>0</v>
      </c>
      <c r="I10" s="29">
        <f t="shared" si="1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30">
        <f t="shared" si="2"/>
        <v>0</v>
      </c>
    </row>
    <row r="11" spans="1:19" x14ac:dyDescent="0.25">
      <c r="A11" s="1" t="s">
        <v>19</v>
      </c>
      <c r="B11" s="14" t="s">
        <v>20</v>
      </c>
      <c r="C11" s="1" t="s">
        <v>15</v>
      </c>
      <c r="D11" s="27">
        <v>1</v>
      </c>
      <c r="E11" s="27" t="s">
        <v>16</v>
      </c>
      <c r="F11" s="28">
        <v>0</v>
      </c>
      <c r="G11" s="28">
        <v>0</v>
      </c>
      <c r="H11" s="28">
        <v>0</v>
      </c>
      <c r="I11" s="29">
        <f t="shared" si="1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30">
        <f t="shared" si="2"/>
        <v>0</v>
      </c>
    </row>
  </sheetData>
  <sortState xmlns:xlrd2="http://schemas.microsoft.com/office/spreadsheetml/2017/richdata2" ref="A3:N11">
    <sortCondition ref="E1:E11"/>
  </sortState>
  <mergeCells count="2">
    <mergeCell ref="F1:I1"/>
    <mergeCell ref="J1:M1"/>
  </mergeCells>
  <conditionalFormatting sqref="F3:H11">
    <cfRule type="cellIs" dxfId="1100" priority="4" operator="lessThan">
      <formula>7.9</formula>
    </cfRule>
  </conditionalFormatting>
  <conditionalFormatting sqref="F3:H11">
    <cfRule type="cellIs" dxfId="1099" priority="5" operator="lessThan">
      <formula>7.4</formula>
    </cfRule>
  </conditionalFormatting>
  <conditionalFormatting sqref="F5:H6">
    <cfRule type="cellIs" dxfId="1098" priority="6" operator="lessThan">
      <formula>6.9</formula>
    </cfRule>
  </conditionalFormatting>
  <conditionalFormatting sqref="I3:I11">
    <cfRule type="cellIs" dxfId="1097" priority="7" operator="lessThan">
      <formula>7.9</formula>
    </cfRule>
    <cfRule type="cellIs" dxfId="1096" priority="16" operator="lessThan">
      <formula>6.9</formula>
    </cfRule>
    <cfRule type="cellIs" dxfId="1095" priority="17" operator="lessThan">
      <formula>7.4</formula>
    </cfRule>
    <cfRule type="cellIs" dxfId="1094" priority="18" operator="lessThan">
      <formula>7.9</formula>
    </cfRule>
  </conditionalFormatting>
  <conditionalFormatting sqref="I3:I11">
    <cfRule type="cellIs" dxfId="1093" priority="8" operator="lessThan">
      <formula>6.9</formula>
    </cfRule>
    <cfRule type="cellIs" dxfId="1092" priority="9" operator="lessThan">
      <formula>7.4</formula>
    </cfRule>
    <cfRule type="cellIs" dxfId="1091" priority="10" operator="lessThan">
      <formula>7.9</formula>
    </cfRule>
    <cfRule type="cellIs" dxfId="1090" priority="11" operator="lessThan">
      <formula>6.9</formula>
    </cfRule>
    <cfRule type="cellIs" dxfId="1089" priority="12" operator="lessThan">
      <formula>7.9</formula>
    </cfRule>
    <cfRule type="cellIs" dxfId="1088" priority="13" operator="lessThan">
      <formula>7.4</formula>
    </cfRule>
    <cfRule type="cellIs" dxfId="1087" priority="14" operator="lessThan">
      <formula>6.9</formula>
    </cfRule>
    <cfRule type="cellIs" dxfId="1086" priority="15" operator="lessThan">
      <formula>7.9</formula>
    </cfRule>
  </conditionalFormatting>
  <conditionalFormatting sqref="M3:M11">
    <cfRule type="cellIs" dxfId="1085" priority="19" operator="lessThan">
      <formula>7.9</formula>
    </cfRule>
    <cfRule type="cellIs" dxfId="1084" priority="20" operator="lessThan">
      <formula>6.9</formula>
    </cfRule>
    <cfRule type="cellIs" dxfId="1083" priority="21" operator="lessThan">
      <formula>7.4</formula>
    </cfRule>
    <cfRule type="cellIs" dxfId="1082" priority="22" operator="lessThan">
      <formula>7.9</formula>
    </cfRule>
    <cfRule type="cellIs" dxfId="1081" priority="23" operator="lessThan">
      <formula>6.9</formula>
    </cfRule>
    <cfRule type="cellIs" dxfId="1080" priority="24" operator="lessThan">
      <formula>7.9</formula>
    </cfRule>
    <cfRule type="cellIs" dxfId="1079" priority="25" operator="lessThan">
      <formula>7.4</formula>
    </cfRule>
    <cfRule type="cellIs" dxfId="1078" priority="26" operator="lessThan">
      <formula>6.9</formula>
    </cfRule>
    <cfRule type="cellIs" dxfId="1077" priority="27" operator="lessThan">
      <formula>7.9</formula>
    </cfRule>
    <cfRule type="cellIs" dxfId="1076" priority="28" operator="lessThan">
      <formula>6.9</formula>
    </cfRule>
    <cfRule type="cellIs" dxfId="1075" priority="29" operator="lessThan">
      <formula>7.4</formula>
    </cfRule>
    <cfRule type="cellIs" dxfId="1074" priority="30" operator="lessThan">
      <formula>6.9</formula>
    </cfRule>
    <cfRule type="cellIs" dxfId="1073" priority="31" operator="lessThan">
      <formula>7.4</formula>
    </cfRule>
    <cfRule type="cellIs" dxfId="1072" priority="32" operator="lessThan">
      <formula>7.9</formula>
    </cfRule>
  </conditionalFormatting>
  <conditionalFormatting sqref="J3:L11">
    <cfRule type="cellIs" dxfId="1071" priority="1" operator="lessThan">
      <formula>7.9</formula>
    </cfRule>
  </conditionalFormatting>
  <conditionalFormatting sqref="J3:L11">
    <cfRule type="cellIs" dxfId="1070" priority="2" operator="lessThan">
      <formula>7.4</formula>
    </cfRule>
  </conditionalFormatting>
  <conditionalFormatting sqref="J5:L6">
    <cfRule type="cellIs" dxfId="1069" priority="3" operator="lessThan">
      <formula>6.9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26"/>
  <sheetViews>
    <sheetView topLeftCell="C1" workbookViewId="0">
      <selection activeCell="F2" sqref="F1:N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5" max="19" width="3.140625" customWidth="1"/>
  </cols>
  <sheetData>
    <row r="1" spans="1:19" ht="15" x14ac:dyDescent="0.2">
      <c r="A1" s="1"/>
      <c r="B1" s="1"/>
      <c r="C1" s="1"/>
      <c r="D1" s="1"/>
      <c r="E1" s="1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4" t="s">
        <v>2</v>
      </c>
      <c r="O1" s="11"/>
      <c r="P1" s="11"/>
      <c r="Q1" s="11"/>
      <c r="R1" s="11"/>
      <c r="S1" s="11"/>
    </row>
    <row r="2" spans="1:19" x14ac:dyDescent="0.2">
      <c r="A2" s="1" t="s">
        <v>3</v>
      </c>
      <c r="B2" s="1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4" t="s">
        <v>12</v>
      </c>
      <c r="O2" s="5"/>
      <c r="P2" s="5"/>
      <c r="Q2" s="5"/>
      <c r="R2" s="5"/>
      <c r="S2" s="5"/>
    </row>
    <row r="3" spans="1:19" ht="15.75" customHeight="1" x14ac:dyDescent="0.25">
      <c r="A3" s="1" t="s">
        <v>48</v>
      </c>
      <c r="B3" s="17" t="s">
        <v>49</v>
      </c>
      <c r="C3" s="1" t="s">
        <v>15</v>
      </c>
      <c r="D3" s="31">
        <v>2</v>
      </c>
      <c r="E3" s="3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11" si="0">AVERAGE(J3:L3)</f>
        <v>0</v>
      </c>
      <c r="N3" s="30">
        <f>AVERAGE(I3,M3)</f>
        <v>0</v>
      </c>
      <c r="O3" s="6"/>
      <c r="P3" s="6"/>
      <c r="Q3" s="7"/>
      <c r="R3" s="6"/>
      <c r="S3" s="7"/>
    </row>
    <row r="4" spans="1:19" ht="15.75" customHeight="1" x14ac:dyDescent="0.25">
      <c r="A4" s="1" t="s">
        <v>80</v>
      </c>
      <c r="B4" s="13" t="s">
        <v>81</v>
      </c>
      <c r="C4" s="1" t="s">
        <v>15</v>
      </c>
      <c r="D4" s="31">
        <v>2</v>
      </c>
      <c r="E4" s="3" t="s">
        <v>16</v>
      </c>
      <c r="F4" s="28">
        <v>0</v>
      </c>
      <c r="G4" s="28">
        <v>0</v>
      </c>
      <c r="H4" s="28">
        <v>0</v>
      </c>
      <c r="I4" s="29">
        <f t="shared" ref="I4:I11" si="1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30">
        <f t="shared" ref="N4:N11" si="2">AVERAGE(I4,M4)</f>
        <v>0</v>
      </c>
      <c r="O4" s="7"/>
      <c r="P4" s="7"/>
      <c r="Q4" s="7"/>
      <c r="R4" s="7"/>
      <c r="S4" s="7"/>
    </row>
    <row r="5" spans="1:19" ht="15.75" customHeight="1" x14ac:dyDescent="0.25">
      <c r="A5" s="1" t="s">
        <v>54</v>
      </c>
      <c r="B5" s="13" t="s">
        <v>55</v>
      </c>
      <c r="C5" s="1" t="s">
        <v>15</v>
      </c>
      <c r="D5" s="31">
        <v>2</v>
      </c>
      <c r="E5" s="3" t="s">
        <v>16</v>
      </c>
      <c r="F5" s="28">
        <v>0</v>
      </c>
      <c r="G5" s="28">
        <v>0</v>
      </c>
      <c r="H5" s="28">
        <v>0</v>
      </c>
      <c r="I5" s="29">
        <f t="shared" si="1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30">
        <f t="shared" si="2"/>
        <v>0</v>
      </c>
      <c r="O5" s="7"/>
      <c r="P5" s="7"/>
      <c r="Q5" s="7"/>
      <c r="R5" s="8"/>
      <c r="S5" s="7"/>
    </row>
    <row r="6" spans="1:19" ht="15.75" customHeight="1" x14ac:dyDescent="0.25">
      <c r="A6" s="1" t="s">
        <v>62</v>
      </c>
      <c r="B6" s="13" t="s">
        <v>63</v>
      </c>
      <c r="C6" s="1" t="s">
        <v>15</v>
      </c>
      <c r="D6" s="31">
        <v>2</v>
      </c>
      <c r="E6" s="3" t="s">
        <v>16</v>
      </c>
      <c r="F6" s="28">
        <v>0</v>
      </c>
      <c r="G6" s="28">
        <v>0</v>
      </c>
      <c r="H6" s="28">
        <v>0</v>
      </c>
      <c r="I6" s="29">
        <f t="shared" si="1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30">
        <f t="shared" si="2"/>
        <v>0</v>
      </c>
      <c r="O6" s="7"/>
      <c r="P6" s="7"/>
      <c r="Q6" s="7"/>
      <c r="R6" s="8"/>
      <c r="S6" s="7"/>
    </row>
    <row r="7" spans="1:19" ht="15.75" customHeight="1" x14ac:dyDescent="0.25">
      <c r="A7" s="1" t="s">
        <v>40</v>
      </c>
      <c r="B7" s="13" t="s">
        <v>41</v>
      </c>
      <c r="C7" s="1" t="s">
        <v>15</v>
      </c>
      <c r="D7" s="31">
        <v>2</v>
      </c>
      <c r="E7" s="3" t="s">
        <v>16</v>
      </c>
      <c r="F7" s="28">
        <v>0</v>
      </c>
      <c r="G7" s="28">
        <v>0</v>
      </c>
      <c r="H7" s="28">
        <v>0</v>
      </c>
      <c r="I7" s="29">
        <f t="shared" si="1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30">
        <f t="shared" si="2"/>
        <v>0</v>
      </c>
      <c r="O7" s="9"/>
      <c r="P7" s="9"/>
      <c r="Q7" s="6"/>
      <c r="R7" s="6"/>
      <c r="S7" s="7"/>
    </row>
    <row r="8" spans="1:19" ht="15.75" customHeight="1" x14ac:dyDescent="0.25">
      <c r="A8" s="1" t="s">
        <v>44</v>
      </c>
      <c r="B8" s="14" t="s">
        <v>45</v>
      </c>
      <c r="C8" s="1" t="s">
        <v>15</v>
      </c>
      <c r="D8" s="31">
        <v>2</v>
      </c>
      <c r="E8" s="3" t="s">
        <v>16</v>
      </c>
      <c r="F8" s="28">
        <v>0</v>
      </c>
      <c r="G8" s="28">
        <v>0</v>
      </c>
      <c r="H8" s="28">
        <v>0</v>
      </c>
      <c r="I8" s="29">
        <f t="shared" si="1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30">
        <f t="shared" si="2"/>
        <v>0</v>
      </c>
      <c r="O8" s="7"/>
      <c r="P8" s="7"/>
      <c r="Q8" s="6"/>
      <c r="R8" s="6"/>
      <c r="S8" s="7"/>
    </row>
    <row r="9" spans="1:19" ht="15.75" customHeight="1" x14ac:dyDescent="0.25">
      <c r="A9" s="1" t="s">
        <v>74</v>
      </c>
      <c r="B9" s="13" t="s">
        <v>75</v>
      </c>
      <c r="C9" s="1" t="s">
        <v>15</v>
      </c>
      <c r="D9" s="31">
        <v>2</v>
      </c>
      <c r="E9" s="3" t="s">
        <v>16</v>
      </c>
      <c r="F9" s="28">
        <v>0</v>
      </c>
      <c r="G9" s="28">
        <v>0</v>
      </c>
      <c r="H9" s="28">
        <v>0</v>
      </c>
      <c r="I9" s="29">
        <f t="shared" si="1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30">
        <f t="shared" si="2"/>
        <v>0</v>
      </c>
      <c r="O9" s="6"/>
      <c r="P9" s="6"/>
      <c r="Q9" s="10"/>
      <c r="R9" s="8"/>
      <c r="S9" s="7"/>
    </row>
    <row r="10" spans="1:19" ht="15.75" customHeight="1" x14ac:dyDescent="0.25">
      <c r="A10" s="1" t="s">
        <v>68</v>
      </c>
      <c r="B10" s="13" t="s">
        <v>69</v>
      </c>
      <c r="C10" s="1" t="s">
        <v>15</v>
      </c>
      <c r="D10" s="31">
        <v>2</v>
      </c>
      <c r="E10" s="3" t="s">
        <v>16</v>
      </c>
      <c r="F10" s="28">
        <v>0</v>
      </c>
      <c r="G10" s="28">
        <v>0</v>
      </c>
      <c r="H10" s="28">
        <v>0</v>
      </c>
      <c r="I10" s="29">
        <f t="shared" si="1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30">
        <f t="shared" si="2"/>
        <v>0</v>
      </c>
      <c r="O10" s="7"/>
      <c r="P10" s="7"/>
      <c r="Q10" s="7"/>
      <c r="R10" s="7"/>
      <c r="S10" s="7"/>
    </row>
    <row r="11" spans="1:19" ht="15.75" customHeight="1" x14ac:dyDescent="0.25">
      <c r="A11" s="1" t="s">
        <v>46</v>
      </c>
      <c r="B11" s="14" t="s">
        <v>47</v>
      </c>
      <c r="C11" s="1" t="s">
        <v>15</v>
      </c>
      <c r="D11" s="31">
        <v>2</v>
      </c>
      <c r="E11" s="3" t="s">
        <v>16</v>
      </c>
      <c r="F11" s="28">
        <v>0</v>
      </c>
      <c r="G11" s="28">
        <v>0</v>
      </c>
      <c r="H11" s="28">
        <v>0</v>
      </c>
      <c r="I11" s="29">
        <f t="shared" si="1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30">
        <f t="shared" si="2"/>
        <v>0</v>
      </c>
      <c r="O11" s="8"/>
      <c r="P11" s="8"/>
      <c r="Q11" s="6"/>
      <c r="R11" s="6"/>
      <c r="S11" s="7"/>
    </row>
    <row r="12" spans="1:19" ht="15.75" customHeight="1" x14ac:dyDescent="0.25">
      <c r="A12" s="1" t="s">
        <v>60</v>
      </c>
      <c r="B12" s="13" t="s">
        <v>61</v>
      </c>
      <c r="C12" s="1" t="s">
        <v>15</v>
      </c>
      <c r="D12" s="31">
        <v>2</v>
      </c>
      <c r="E12" s="3" t="s">
        <v>16</v>
      </c>
      <c r="F12" s="28">
        <v>0</v>
      </c>
      <c r="G12" s="28">
        <v>0</v>
      </c>
      <c r="H12" s="28">
        <v>0</v>
      </c>
      <c r="I12" s="29">
        <f t="shared" ref="I12:I26" si="3">AVERAGE(F12:H12)</f>
        <v>0</v>
      </c>
      <c r="J12" s="28">
        <v>0</v>
      </c>
      <c r="K12" s="28">
        <v>0</v>
      </c>
      <c r="L12" s="28">
        <v>0</v>
      </c>
      <c r="M12" s="29">
        <f t="shared" ref="M12:M26" si="4">AVERAGE(J12:L12)</f>
        <v>0</v>
      </c>
      <c r="N12" s="30">
        <f t="shared" ref="N12:N26" si="5">AVERAGE(I12,M12)</f>
        <v>0</v>
      </c>
      <c r="O12" s="8"/>
      <c r="P12" s="6"/>
      <c r="Q12" s="6"/>
      <c r="R12" s="10"/>
      <c r="S12" s="7"/>
    </row>
    <row r="13" spans="1:19" ht="15.75" customHeight="1" x14ac:dyDescent="0.25">
      <c r="A13" s="1" t="s">
        <v>72</v>
      </c>
      <c r="B13" s="13" t="s">
        <v>73</v>
      </c>
      <c r="C13" s="1" t="s">
        <v>15</v>
      </c>
      <c r="D13" s="31">
        <v>2</v>
      </c>
      <c r="E13" s="3" t="s">
        <v>16</v>
      </c>
      <c r="F13" s="28">
        <v>0</v>
      </c>
      <c r="G13" s="28">
        <v>0</v>
      </c>
      <c r="H13" s="28">
        <v>0</v>
      </c>
      <c r="I13" s="29">
        <f t="shared" si="3"/>
        <v>0</v>
      </c>
      <c r="J13" s="28">
        <v>0</v>
      </c>
      <c r="K13" s="28">
        <v>0</v>
      </c>
      <c r="L13" s="28">
        <v>0</v>
      </c>
      <c r="M13" s="29">
        <f t="shared" si="4"/>
        <v>0</v>
      </c>
      <c r="N13" s="30">
        <f t="shared" si="5"/>
        <v>0</v>
      </c>
      <c r="O13" s="8"/>
      <c r="P13" s="7"/>
      <c r="Q13" s="7"/>
      <c r="R13" s="8"/>
      <c r="S13" s="7"/>
    </row>
    <row r="14" spans="1:19" ht="15.75" customHeight="1" x14ac:dyDescent="0.25">
      <c r="A14" s="1" t="s">
        <v>76</v>
      </c>
      <c r="B14" s="13" t="s">
        <v>77</v>
      </c>
      <c r="C14" s="1" t="s">
        <v>15</v>
      </c>
      <c r="D14" s="31">
        <v>2</v>
      </c>
      <c r="E14" s="3" t="s">
        <v>16</v>
      </c>
      <c r="F14" s="28">
        <v>0</v>
      </c>
      <c r="G14" s="28">
        <v>0</v>
      </c>
      <c r="H14" s="28">
        <v>0</v>
      </c>
      <c r="I14" s="29">
        <f t="shared" si="3"/>
        <v>0</v>
      </c>
      <c r="J14" s="28">
        <v>0</v>
      </c>
      <c r="K14" s="28">
        <v>0</v>
      </c>
      <c r="L14" s="28">
        <v>0</v>
      </c>
      <c r="M14" s="29">
        <f t="shared" si="4"/>
        <v>0</v>
      </c>
      <c r="N14" s="30">
        <f t="shared" si="5"/>
        <v>0</v>
      </c>
      <c r="O14" s="8"/>
      <c r="P14" s="8"/>
      <c r="Q14" s="7"/>
      <c r="R14" s="7"/>
      <c r="S14" s="7"/>
    </row>
    <row r="15" spans="1:19" ht="15.75" customHeight="1" x14ac:dyDescent="0.25">
      <c r="A15" s="1" t="s">
        <v>56</v>
      </c>
      <c r="B15" s="13" t="s">
        <v>57</v>
      </c>
      <c r="C15" s="1" t="s">
        <v>15</v>
      </c>
      <c r="D15" s="31">
        <v>2</v>
      </c>
      <c r="E15" s="3" t="s">
        <v>33</v>
      </c>
      <c r="F15" s="28">
        <v>0</v>
      </c>
      <c r="G15" s="28">
        <v>0</v>
      </c>
      <c r="H15" s="28">
        <v>0</v>
      </c>
      <c r="I15" s="29">
        <f t="shared" si="3"/>
        <v>0</v>
      </c>
      <c r="J15" s="28">
        <v>0</v>
      </c>
      <c r="K15" s="28">
        <v>0</v>
      </c>
      <c r="L15" s="28">
        <v>0</v>
      </c>
      <c r="M15" s="29">
        <f t="shared" si="4"/>
        <v>0</v>
      </c>
      <c r="N15" s="30">
        <f t="shared" si="5"/>
        <v>0</v>
      </c>
      <c r="O15" s="10"/>
      <c r="P15" s="8"/>
      <c r="Q15" s="8"/>
      <c r="R15" s="6"/>
      <c r="S15" s="7"/>
    </row>
    <row r="16" spans="1:19" ht="15.75" customHeight="1" x14ac:dyDescent="0.25">
      <c r="A16" s="1" t="s">
        <v>38</v>
      </c>
      <c r="B16" s="14" t="s">
        <v>39</v>
      </c>
      <c r="C16" s="1" t="s">
        <v>15</v>
      </c>
      <c r="D16" s="31">
        <v>2</v>
      </c>
      <c r="E16" s="3" t="s">
        <v>33</v>
      </c>
      <c r="F16" s="28">
        <v>0</v>
      </c>
      <c r="G16" s="28">
        <v>0</v>
      </c>
      <c r="H16" s="28">
        <v>0</v>
      </c>
      <c r="I16" s="29">
        <f t="shared" si="3"/>
        <v>0</v>
      </c>
      <c r="J16" s="28">
        <v>0</v>
      </c>
      <c r="K16" s="28">
        <v>0</v>
      </c>
      <c r="L16" s="28">
        <v>0</v>
      </c>
      <c r="M16" s="29">
        <f t="shared" si="4"/>
        <v>0</v>
      </c>
      <c r="N16" s="30">
        <f t="shared" si="5"/>
        <v>0</v>
      </c>
      <c r="O16" s="6"/>
      <c r="P16" s="6"/>
      <c r="Q16" s="7"/>
      <c r="R16" s="7"/>
      <c r="S16" s="7"/>
    </row>
    <row r="17" spans="1:19" ht="15.75" customHeight="1" x14ac:dyDescent="0.25">
      <c r="A17" s="1" t="s">
        <v>52</v>
      </c>
      <c r="B17" s="13" t="s">
        <v>53</v>
      </c>
      <c r="C17" s="1" t="s">
        <v>15</v>
      </c>
      <c r="D17" s="31">
        <v>2</v>
      </c>
      <c r="E17" s="3" t="s">
        <v>33</v>
      </c>
      <c r="F17" s="28">
        <v>0</v>
      </c>
      <c r="G17" s="28">
        <v>0</v>
      </c>
      <c r="H17" s="28">
        <v>0</v>
      </c>
      <c r="I17" s="29">
        <f t="shared" si="3"/>
        <v>0</v>
      </c>
      <c r="J17" s="28">
        <v>0</v>
      </c>
      <c r="K17" s="28">
        <v>0</v>
      </c>
      <c r="L17" s="28">
        <v>0</v>
      </c>
      <c r="M17" s="29">
        <f t="shared" si="4"/>
        <v>0</v>
      </c>
      <c r="N17" s="30">
        <f t="shared" si="5"/>
        <v>0</v>
      </c>
      <c r="O17" s="6"/>
      <c r="P17" s="6"/>
      <c r="Q17" s="6"/>
      <c r="R17" s="6"/>
      <c r="S17" s="7"/>
    </row>
    <row r="18" spans="1:19" ht="15.75" customHeight="1" x14ac:dyDescent="0.25">
      <c r="A18" s="1" t="s">
        <v>36</v>
      </c>
      <c r="B18" s="14" t="s">
        <v>37</v>
      </c>
      <c r="C18" s="1" t="s">
        <v>15</v>
      </c>
      <c r="D18" s="31">
        <v>2</v>
      </c>
      <c r="E18" s="3" t="s">
        <v>33</v>
      </c>
      <c r="F18" s="28">
        <v>0</v>
      </c>
      <c r="G18" s="28">
        <v>0</v>
      </c>
      <c r="H18" s="28">
        <v>0</v>
      </c>
      <c r="I18" s="29">
        <f t="shared" si="3"/>
        <v>0</v>
      </c>
      <c r="J18" s="28">
        <v>0</v>
      </c>
      <c r="K18" s="28">
        <v>0</v>
      </c>
      <c r="L18" s="28">
        <v>0</v>
      </c>
      <c r="M18" s="29">
        <f t="shared" si="4"/>
        <v>0</v>
      </c>
      <c r="N18" s="30">
        <f t="shared" si="5"/>
        <v>0</v>
      </c>
    </row>
    <row r="19" spans="1:19" ht="15.75" customHeight="1" x14ac:dyDescent="0.25">
      <c r="A19" s="1" t="s">
        <v>70</v>
      </c>
      <c r="B19" s="13" t="s">
        <v>71</v>
      </c>
      <c r="C19" s="1" t="s">
        <v>15</v>
      </c>
      <c r="D19" s="31">
        <v>2</v>
      </c>
      <c r="E19" s="3" t="s">
        <v>33</v>
      </c>
      <c r="F19" s="28">
        <v>0</v>
      </c>
      <c r="G19" s="28">
        <v>0</v>
      </c>
      <c r="H19" s="28">
        <v>0</v>
      </c>
      <c r="I19" s="29">
        <f t="shared" si="3"/>
        <v>0</v>
      </c>
      <c r="J19" s="28">
        <v>0</v>
      </c>
      <c r="K19" s="28">
        <v>0</v>
      </c>
      <c r="L19" s="28">
        <v>0</v>
      </c>
      <c r="M19" s="29">
        <f t="shared" si="4"/>
        <v>0</v>
      </c>
      <c r="N19" s="30">
        <f t="shared" si="5"/>
        <v>0</v>
      </c>
    </row>
    <row r="20" spans="1:19" ht="15.75" customHeight="1" x14ac:dyDescent="0.25">
      <c r="A20" s="1" t="s">
        <v>58</v>
      </c>
      <c r="B20" s="13" t="s">
        <v>59</v>
      </c>
      <c r="C20" s="1" t="s">
        <v>15</v>
      </c>
      <c r="D20" s="31">
        <v>2</v>
      </c>
      <c r="E20" s="3" t="s">
        <v>33</v>
      </c>
      <c r="F20" s="28">
        <v>0</v>
      </c>
      <c r="G20" s="28">
        <v>0</v>
      </c>
      <c r="H20" s="28">
        <v>0</v>
      </c>
      <c r="I20" s="29">
        <f t="shared" si="3"/>
        <v>0</v>
      </c>
      <c r="J20" s="28">
        <v>0</v>
      </c>
      <c r="K20" s="28">
        <v>0</v>
      </c>
      <c r="L20" s="28">
        <v>0</v>
      </c>
      <c r="M20" s="29">
        <f t="shared" si="4"/>
        <v>0</v>
      </c>
      <c r="N20" s="30">
        <f t="shared" si="5"/>
        <v>0</v>
      </c>
    </row>
    <row r="21" spans="1:19" ht="15.75" customHeight="1" x14ac:dyDescent="0.25">
      <c r="A21" s="1" t="s">
        <v>34</v>
      </c>
      <c r="B21" s="14" t="s">
        <v>35</v>
      </c>
      <c r="C21" s="1" t="s">
        <v>15</v>
      </c>
      <c r="D21" s="31">
        <v>2</v>
      </c>
      <c r="E21" s="3" t="s">
        <v>33</v>
      </c>
      <c r="F21" s="28">
        <v>0</v>
      </c>
      <c r="G21" s="28">
        <v>0</v>
      </c>
      <c r="H21" s="28">
        <v>0</v>
      </c>
      <c r="I21" s="29">
        <f t="shared" si="3"/>
        <v>0</v>
      </c>
      <c r="J21" s="28">
        <v>0</v>
      </c>
      <c r="K21" s="28">
        <v>0</v>
      </c>
      <c r="L21" s="28">
        <v>0</v>
      </c>
      <c r="M21" s="29">
        <f t="shared" si="4"/>
        <v>0</v>
      </c>
      <c r="N21" s="30">
        <f t="shared" si="5"/>
        <v>0</v>
      </c>
    </row>
    <row r="22" spans="1:19" ht="15.75" customHeight="1" x14ac:dyDescent="0.25">
      <c r="A22" s="1" t="s">
        <v>50</v>
      </c>
      <c r="B22" s="13" t="s">
        <v>51</v>
      </c>
      <c r="C22" s="1" t="s">
        <v>15</v>
      </c>
      <c r="D22" s="31">
        <v>2</v>
      </c>
      <c r="E22" s="3" t="s">
        <v>33</v>
      </c>
      <c r="F22" s="28">
        <v>0</v>
      </c>
      <c r="G22" s="28">
        <v>0</v>
      </c>
      <c r="H22" s="28">
        <v>0</v>
      </c>
      <c r="I22" s="29">
        <f t="shared" si="3"/>
        <v>0</v>
      </c>
      <c r="J22" s="28">
        <v>0</v>
      </c>
      <c r="K22" s="28">
        <v>0</v>
      </c>
      <c r="L22" s="28">
        <v>0</v>
      </c>
      <c r="M22" s="29">
        <f t="shared" si="4"/>
        <v>0</v>
      </c>
      <c r="N22" s="30">
        <f t="shared" si="5"/>
        <v>0</v>
      </c>
    </row>
    <row r="23" spans="1:19" ht="15.75" customHeight="1" x14ac:dyDescent="0.25">
      <c r="A23" s="1" t="s">
        <v>78</v>
      </c>
      <c r="B23" s="13" t="s">
        <v>79</v>
      </c>
      <c r="C23" s="1" t="s">
        <v>15</v>
      </c>
      <c r="D23" s="31">
        <v>2</v>
      </c>
      <c r="E23" s="3" t="s">
        <v>33</v>
      </c>
      <c r="F23" s="28">
        <v>0</v>
      </c>
      <c r="G23" s="28">
        <v>0</v>
      </c>
      <c r="H23" s="28">
        <v>0</v>
      </c>
      <c r="I23" s="29">
        <f t="shared" si="3"/>
        <v>0</v>
      </c>
      <c r="J23" s="28">
        <v>0</v>
      </c>
      <c r="K23" s="28">
        <v>0</v>
      </c>
      <c r="L23" s="28">
        <v>0</v>
      </c>
      <c r="M23" s="29">
        <f t="shared" si="4"/>
        <v>0</v>
      </c>
      <c r="N23" s="30">
        <f t="shared" si="5"/>
        <v>0</v>
      </c>
    </row>
    <row r="24" spans="1:19" ht="15.75" customHeight="1" x14ac:dyDescent="0.25">
      <c r="A24" s="1" t="s">
        <v>66</v>
      </c>
      <c r="B24" s="13" t="s">
        <v>67</v>
      </c>
      <c r="C24" s="1" t="s">
        <v>15</v>
      </c>
      <c r="D24" s="31">
        <v>2</v>
      </c>
      <c r="E24" s="3" t="s">
        <v>33</v>
      </c>
      <c r="F24" s="28">
        <v>0</v>
      </c>
      <c r="G24" s="28">
        <v>0</v>
      </c>
      <c r="H24" s="28">
        <v>0</v>
      </c>
      <c r="I24" s="29">
        <f t="shared" si="3"/>
        <v>0</v>
      </c>
      <c r="J24" s="28">
        <v>0</v>
      </c>
      <c r="K24" s="28">
        <v>0</v>
      </c>
      <c r="L24" s="28">
        <v>0</v>
      </c>
      <c r="M24" s="29">
        <f t="shared" si="4"/>
        <v>0</v>
      </c>
      <c r="N24" s="30">
        <f t="shared" si="5"/>
        <v>0</v>
      </c>
    </row>
    <row r="25" spans="1:19" ht="15.75" customHeight="1" x14ac:dyDescent="0.25">
      <c r="A25" s="1" t="s">
        <v>42</v>
      </c>
      <c r="B25" s="14" t="s">
        <v>43</v>
      </c>
      <c r="C25" s="1" t="s">
        <v>15</v>
      </c>
      <c r="D25" s="31">
        <v>2</v>
      </c>
      <c r="E25" s="3" t="s">
        <v>33</v>
      </c>
      <c r="F25" s="28">
        <v>0</v>
      </c>
      <c r="G25" s="28">
        <v>0</v>
      </c>
      <c r="H25" s="28">
        <v>0</v>
      </c>
      <c r="I25" s="29">
        <f t="shared" si="3"/>
        <v>0</v>
      </c>
      <c r="J25" s="28">
        <v>0</v>
      </c>
      <c r="K25" s="28">
        <v>0</v>
      </c>
      <c r="L25" s="28">
        <v>0</v>
      </c>
      <c r="M25" s="29">
        <f t="shared" si="4"/>
        <v>0</v>
      </c>
      <c r="N25" s="30">
        <f t="shared" si="5"/>
        <v>0</v>
      </c>
    </row>
    <row r="26" spans="1:19" ht="15.75" customHeight="1" x14ac:dyDescent="0.25">
      <c r="A26" s="1" t="s">
        <v>64</v>
      </c>
      <c r="B26" s="13" t="s">
        <v>65</v>
      </c>
      <c r="C26" s="1" t="s">
        <v>15</v>
      </c>
      <c r="D26" s="31">
        <v>2</v>
      </c>
      <c r="E26" s="3" t="s">
        <v>33</v>
      </c>
      <c r="F26" s="28">
        <v>0</v>
      </c>
      <c r="G26" s="28">
        <v>0</v>
      </c>
      <c r="H26" s="28">
        <v>0</v>
      </c>
      <c r="I26" s="29">
        <f t="shared" si="3"/>
        <v>0</v>
      </c>
      <c r="J26" s="28">
        <v>0</v>
      </c>
      <c r="K26" s="28">
        <v>0</v>
      </c>
      <c r="L26" s="28">
        <v>0</v>
      </c>
      <c r="M26" s="29">
        <f t="shared" si="4"/>
        <v>0</v>
      </c>
      <c r="N26" s="30">
        <f t="shared" si="5"/>
        <v>0</v>
      </c>
    </row>
  </sheetData>
  <sortState xmlns:xlrd2="http://schemas.microsoft.com/office/spreadsheetml/2017/richdata2" ref="A3:N26">
    <sortCondition ref="E1:E26"/>
  </sortState>
  <mergeCells count="2">
    <mergeCell ref="F1:I1"/>
    <mergeCell ref="J1:M1"/>
  </mergeCells>
  <conditionalFormatting sqref="F3:H26">
    <cfRule type="cellIs" dxfId="1068" priority="4" operator="lessThan">
      <formula>7.9</formula>
    </cfRule>
  </conditionalFormatting>
  <conditionalFormatting sqref="F3:H26">
    <cfRule type="cellIs" dxfId="1067" priority="5" operator="lessThan">
      <formula>7.4</formula>
    </cfRule>
  </conditionalFormatting>
  <conditionalFormatting sqref="F5:H6">
    <cfRule type="cellIs" dxfId="1066" priority="6" operator="lessThan">
      <formula>6.9</formula>
    </cfRule>
  </conditionalFormatting>
  <conditionalFormatting sqref="I3:I26">
    <cfRule type="cellIs" dxfId="1065" priority="7" operator="lessThan">
      <formula>7.9</formula>
    </cfRule>
    <cfRule type="cellIs" dxfId="1064" priority="16" operator="lessThan">
      <formula>6.9</formula>
    </cfRule>
    <cfRule type="cellIs" dxfId="1063" priority="17" operator="lessThan">
      <formula>7.4</formula>
    </cfRule>
    <cfRule type="cellIs" dxfId="1062" priority="18" operator="lessThan">
      <formula>7.9</formula>
    </cfRule>
  </conditionalFormatting>
  <conditionalFormatting sqref="I3:I26">
    <cfRule type="cellIs" dxfId="1061" priority="8" operator="lessThan">
      <formula>6.9</formula>
    </cfRule>
    <cfRule type="cellIs" dxfId="1060" priority="9" operator="lessThan">
      <formula>7.4</formula>
    </cfRule>
    <cfRule type="cellIs" dxfId="1059" priority="10" operator="lessThan">
      <formula>7.9</formula>
    </cfRule>
    <cfRule type="cellIs" dxfId="1058" priority="11" operator="lessThan">
      <formula>6.9</formula>
    </cfRule>
    <cfRule type="cellIs" dxfId="1057" priority="12" operator="lessThan">
      <formula>7.9</formula>
    </cfRule>
    <cfRule type="cellIs" dxfId="1056" priority="13" operator="lessThan">
      <formula>7.4</formula>
    </cfRule>
    <cfRule type="cellIs" dxfId="1055" priority="14" operator="lessThan">
      <formula>6.9</formula>
    </cfRule>
    <cfRule type="cellIs" dxfId="1054" priority="15" operator="lessThan">
      <formula>7.9</formula>
    </cfRule>
  </conditionalFormatting>
  <conditionalFormatting sqref="M3:M26">
    <cfRule type="cellIs" dxfId="1053" priority="19" operator="lessThan">
      <formula>7.9</formula>
    </cfRule>
    <cfRule type="cellIs" dxfId="1052" priority="20" operator="lessThan">
      <formula>6.9</formula>
    </cfRule>
    <cfRule type="cellIs" dxfId="1051" priority="21" operator="lessThan">
      <formula>7.4</formula>
    </cfRule>
    <cfRule type="cellIs" dxfId="1050" priority="22" operator="lessThan">
      <formula>7.9</formula>
    </cfRule>
    <cfRule type="cellIs" dxfId="1049" priority="23" operator="lessThan">
      <formula>6.9</formula>
    </cfRule>
    <cfRule type="cellIs" dxfId="1048" priority="24" operator="lessThan">
      <formula>7.9</formula>
    </cfRule>
    <cfRule type="cellIs" dxfId="1047" priority="25" operator="lessThan">
      <formula>7.4</formula>
    </cfRule>
    <cfRule type="cellIs" dxfId="1046" priority="26" operator="lessThan">
      <formula>6.9</formula>
    </cfRule>
    <cfRule type="cellIs" dxfId="1045" priority="27" operator="lessThan">
      <formula>7.9</formula>
    </cfRule>
    <cfRule type="cellIs" dxfId="1044" priority="28" operator="lessThan">
      <formula>6.9</formula>
    </cfRule>
    <cfRule type="cellIs" dxfId="1043" priority="29" operator="lessThan">
      <formula>7.4</formula>
    </cfRule>
    <cfRule type="cellIs" dxfId="1042" priority="30" operator="lessThan">
      <formula>6.9</formula>
    </cfRule>
    <cfRule type="cellIs" dxfId="1041" priority="31" operator="lessThan">
      <formula>7.4</formula>
    </cfRule>
    <cfRule type="cellIs" dxfId="1040" priority="32" operator="lessThan">
      <formula>7.9</formula>
    </cfRule>
  </conditionalFormatting>
  <conditionalFormatting sqref="J3:L26">
    <cfRule type="cellIs" dxfId="1039" priority="1" operator="lessThan">
      <formula>7.9</formula>
    </cfRule>
  </conditionalFormatting>
  <conditionalFormatting sqref="J3:L26">
    <cfRule type="cellIs" dxfId="1038" priority="2" operator="lessThan">
      <formula>7.4</formula>
    </cfRule>
  </conditionalFormatting>
  <conditionalFormatting sqref="J5:L6">
    <cfRule type="cellIs" dxfId="1037" priority="3" operator="lessThan">
      <formula>6.9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22"/>
  <sheetViews>
    <sheetView topLeftCell="C1" workbookViewId="0">
      <selection activeCell="F2" sqref="F1:N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5" max="19" width="9" customWidth="1"/>
  </cols>
  <sheetData>
    <row r="1" spans="1:19" ht="15" x14ac:dyDescent="0.2">
      <c r="A1" s="1"/>
      <c r="B1" s="1"/>
      <c r="C1" s="1"/>
      <c r="D1" s="1"/>
      <c r="E1" s="1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4" t="s">
        <v>2</v>
      </c>
      <c r="O1" s="11"/>
      <c r="P1" s="11"/>
      <c r="Q1" s="11"/>
      <c r="R1" s="11"/>
      <c r="S1" s="11"/>
    </row>
    <row r="2" spans="1:19" x14ac:dyDescent="0.2">
      <c r="A2" s="1" t="s">
        <v>3</v>
      </c>
      <c r="B2" s="1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4" t="s">
        <v>12</v>
      </c>
      <c r="O2" s="5"/>
      <c r="P2" s="5"/>
      <c r="Q2" s="5"/>
      <c r="R2" s="5"/>
      <c r="S2" s="5"/>
    </row>
    <row r="3" spans="1:19" ht="15.75" customHeight="1" x14ac:dyDescent="0.25">
      <c r="A3" s="1" t="s">
        <v>106</v>
      </c>
      <c r="B3" s="13" t="s">
        <v>107</v>
      </c>
      <c r="C3" s="1" t="s">
        <v>15</v>
      </c>
      <c r="D3" s="31">
        <v>3</v>
      </c>
      <c r="E3" s="3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22" si="0">AVERAGE(J3:L3)</f>
        <v>0</v>
      </c>
      <c r="N3" s="30">
        <f>AVERAGE(I3,M3)</f>
        <v>0</v>
      </c>
      <c r="O3" s="6"/>
      <c r="P3" s="6"/>
      <c r="Q3" s="7"/>
      <c r="R3" s="6"/>
      <c r="S3" s="7"/>
    </row>
    <row r="4" spans="1:19" ht="15.75" customHeight="1" x14ac:dyDescent="0.25">
      <c r="A4" s="1" t="s">
        <v>108</v>
      </c>
      <c r="B4" s="13" t="s">
        <v>109</v>
      </c>
      <c r="C4" s="1" t="s">
        <v>15</v>
      </c>
      <c r="D4" s="31">
        <v>3</v>
      </c>
      <c r="E4" s="3" t="s">
        <v>16</v>
      </c>
      <c r="F4" s="28">
        <v>0</v>
      </c>
      <c r="G4" s="28">
        <v>0</v>
      </c>
      <c r="H4" s="28">
        <v>0</v>
      </c>
      <c r="I4" s="29">
        <f t="shared" ref="I4:I22" si="1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30">
        <f t="shared" ref="N4:N22" si="2">AVERAGE(I4,M4)</f>
        <v>0</v>
      </c>
      <c r="O4" s="7"/>
      <c r="P4" s="7"/>
      <c r="Q4" s="7"/>
      <c r="R4" s="7"/>
      <c r="S4" s="7"/>
    </row>
    <row r="5" spans="1:19" ht="15.75" customHeight="1" x14ac:dyDescent="0.25">
      <c r="A5" s="1" t="s">
        <v>100</v>
      </c>
      <c r="B5" s="14" t="s">
        <v>101</v>
      </c>
      <c r="C5" s="1" t="s">
        <v>15</v>
      </c>
      <c r="D5" s="31">
        <v>3</v>
      </c>
      <c r="E5" s="3" t="s">
        <v>16</v>
      </c>
      <c r="F5" s="28">
        <v>0</v>
      </c>
      <c r="G5" s="28">
        <v>0</v>
      </c>
      <c r="H5" s="28">
        <v>0</v>
      </c>
      <c r="I5" s="29">
        <f t="shared" si="1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30">
        <f t="shared" si="2"/>
        <v>0</v>
      </c>
      <c r="O5" s="7"/>
      <c r="P5" s="7"/>
      <c r="Q5" s="7"/>
      <c r="R5" s="8"/>
      <c r="S5" s="7"/>
    </row>
    <row r="6" spans="1:19" ht="15.75" customHeight="1" x14ac:dyDescent="0.25">
      <c r="A6" s="1" t="s">
        <v>114</v>
      </c>
      <c r="B6" s="13" t="s">
        <v>115</v>
      </c>
      <c r="C6" s="1" t="s">
        <v>15</v>
      </c>
      <c r="D6" s="31">
        <v>3</v>
      </c>
      <c r="E6" s="3" t="s">
        <v>16</v>
      </c>
      <c r="F6" s="28">
        <v>0</v>
      </c>
      <c r="G6" s="28">
        <v>0</v>
      </c>
      <c r="H6" s="28">
        <v>0</v>
      </c>
      <c r="I6" s="29">
        <f t="shared" si="1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30">
        <f t="shared" si="2"/>
        <v>0</v>
      </c>
      <c r="O6" s="7"/>
      <c r="P6" s="7"/>
      <c r="Q6" s="7"/>
      <c r="R6" s="8"/>
      <c r="S6" s="7"/>
    </row>
    <row r="7" spans="1:19" ht="15.75" customHeight="1" x14ac:dyDescent="0.25">
      <c r="A7" s="1" t="s">
        <v>112</v>
      </c>
      <c r="B7" s="13" t="s">
        <v>113</v>
      </c>
      <c r="C7" s="1" t="s">
        <v>15</v>
      </c>
      <c r="D7" s="31">
        <v>3</v>
      </c>
      <c r="E7" s="3" t="s">
        <v>16</v>
      </c>
      <c r="F7" s="28">
        <v>0</v>
      </c>
      <c r="G7" s="28">
        <v>0</v>
      </c>
      <c r="H7" s="28">
        <v>0</v>
      </c>
      <c r="I7" s="29">
        <f t="shared" si="1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30">
        <f t="shared" si="2"/>
        <v>0</v>
      </c>
      <c r="O7" s="9"/>
      <c r="P7" s="9"/>
      <c r="Q7" s="6"/>
      <c r="R7" s="6"/>
      <c r="S7" s="7"/>
    </row>
    <row r="8" spans="1:19" ht="15.75" customHeight="1" x14ac:dyDescent="0.25">
      <c r="A8" s="1" t="s">
        <v>88</v>
      </c>
      <c r="B8" s="14" t="s">
        <v>89</v>
      </c>
      <c r="C8" s="1" t="s">
        <v>15</v>
      </c>
      <c r="D8" s="31">
        <v>3</v>
      </c>
      <c r="E8" s="3" t="s">
        <v>16</v>
      </c>
      <c r="F8" s="28">
        <v>0</v>
      </c>
      <c r="G8" s="28">
        <v>0</v>
      </c>
      <c r="H8" s="28">
        <v>0</v>
      </c>
      <c r="I8" s="29">
        <f t="shared" si="1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30">
        <f t="shared" si="2"/>
        <v>0</v>
      </c>
      <c r="O8" s="7"/>
      <c r="P8" s="7"/>
      <c r="Q8" s="6"/>
      <c r="R8" s="6"/>
      <c r="S8" s="7"/>
    </row>
    <row r="9" spans="1:19" ht="15.75" customHeight="1" x14ac:dyDescent="0.25">
      <c r="A9" s="1" t="s">
        <v>94</v>
      </c>
      <c r="B9" s="14" t="s">
        <v>95</v>
      </c>
      <c r="C9" s="1" t="s">
        <v>15</v>
      </c>
      <c r="D9" s="31">
        <v>3</v>
      </c>
      <c r="E9" s="3" t="s">
        <v>16</v>
      </c>
      <c r="F9" s="28">
        <v>0</v>
      </c>
      <c r="G9" s="28">
        <v>0</v>
      </c>
      <c r="H9" s="28">
        <v>0</v>
      </c>
      <c r="I9" s="29">
        <f t="shared" si="1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30">
        <f t="shared" si="2"/>
        <v>0</v>
      </c>
      <c r="O9" s="6"/>
      <c r="P9" s="6"/>
      <c r="Q9" s="10"/>
      <c r="R9" s="8"/>
      <c r="S9" s="7"/>
    </row>
    <row r="10" spans="1:19" ht="15.75" customHeight="1" x14ac:dyDescent="0.25">
      <c r="A10" s="1" t="s">
        <v>86</v>
      </c>
      <c r="B10" s="14" t="s">
        <v>87</v>
      </c>
      <c r="C10" s="1" t="s">
        <v>15</v>
      </c>
      <c r="D10" s="31">
        <v>3</v>
      </c>
      <c r="E10" s="3" t="s">
        <v>16</v>
      </c>
      <c r="F10" s="28">
        <v>0</v>
      </c>
      <c r="G10" s="28">
        <v>0</v>
      </c>
      <c r="H10" s="28">
        <v>0</v>
      </c>
      <c r="I10" s="29">
        <f t="shared" si="1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30">
        <f t="shared" si="2"/>
        <v>0</v>
      </c>
      <c r="O10" s="7"/>
      <c r="P10" s="7"/>
      <c r="Q10" s="7"/>
      <c r="R10" s="7"/>
      <c r="S10" s="7"/>
    </row>
    <row r="11" spans="1:19" ht="15.75" customHeight="1" x14ac:dyDescent="0.25">
      <c r="A11" s="1" t="s">
        <v>118</v>
      </c>
      <c r="B11" s="13" t="s">
        <v>119</v>
      </c>
      <c r="C11" s="1" t="s">
        <v>15</v>
      </c>
      <c r="D11" s="31">
        <v>3</v>
      </c>
      <c r="E11" s="3" t="s">
        <v>16</v>
      </c>
      <c r="F11" s="28">
        <v>0</v>
      </c>
      <c r="G11" s="28">
        <v>0</v>
      </c>
      <c r="H11" s="28">
        <v>0</v>
      </c>
      <c r="I11" s="29">
        <f t="shared" si="1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30">
        <f t="shared" si="2"/>
        <v>0</v>
      </c>
      <c r="O11" s="8"/>
      <c r="P11" s="8"/>
      <c r="Q11" s="6"/>
      <c r="R11" s="6"/>
      <c r="S11" s="7"/>
    </row>
    <row r="12" spans="1:19" ht="15.75" customHeight="1" x14ac:dyDescent="0.25">
      <c r="A12" s="1" t="s">
        <v>96</v>
      </c>
      <c r="B12" s="14" t="s">
        <v>97</v>
      </c>
      <c r="C12" s="1" t="s">
        <v>15</v>
      </c>
      <c r="D12" s="31">
        <v>3</v>
      </c>
      <c r="E12" s="3" t="s">
        <v>16</v>
      </c>
      <c r="F12" s="28">
        <v>0</v>
      </c>
      <c r="G12" s="28">
        <v>0</v>
      </c>
      <c r="H12" s="28">
        <v>0</v>
      </c>
      <c r="I12" s="29">
        <f t="shared" si="1"/>
        <v>0</v>
      </c>
      <c r="J12" s="28">
        <v>0</v>
      </c>
      <c r="K12" s="28">
        <v>0</v>
      </c>
      <c r="L12" s="28">
        <v>0</v>
      </c>
      <c r="M12" s="29">
        <f t="shared" si="0"/>
        <v>0</v>
      </c>
      <c r="N12" s="30">
        <f t="shared" si="2"/>
        <v>0</v>
      </c>
      <c r="O12" s="8"/>
      <c r="P12" s="6"/>
      <c r="Q12" s="6"/>
      <c r="R12" s="10"/>
      <c r="S12" s="7"/>
    </row>
    <row r="13" spans="1:19" ht="15.75" customHeight="1" x14ac:dyDescent="0.25">
      <c r="A13" s="1" t="s">
        <v>98</v>
      </c>
      <c r="B13" s="14" t="s">
        <v>99</v>
      </c>
      <c r="C13" s="1" t="s">
        <v>15</v>
      </c>
      <c r="D13" s="31">
        <v>3</v>
      </c>
      <c r="E13" s="3" t="s">
        <v>33</v>
      </c>
      <c r="F13" s="28">
        <v>0</v>
      </c>
      <c r="G13" s="28">
        <v>0</v>
      </c>
      <c r="H13" s="28">
        <v>0</v>
      </c>
      <c r="I13" s="29">
        <f t="shared" si="1"/>
        <v>0</v>
      </c>
      <c r="J13" s="28">
        <v>0</v>
      </c>
      <c r="K13" s="28">
        <v>0</v>
      </c>
      <c r="L13" s="28">
        <v>0</v>
      </c>
      <c r="M13" s="29">
        <f t="shared" si="0"/>
        <v>0</v>
      </c>
      <c r="N13" s="30">
        <f t="shared" si="2"/>
        <v>0</v>
      </c>
      <c r="O13" s="8"/>
      <c r="P13" s="7"/>
      <c r="Q13" s="7"/>
      <c r="R13" s="8"/>
      <c r="S13" s="7"/>
    </row>
    <row r="14" spans="1:19" ht="15.75" customHeight="1" x14ac:dyDescent="0.25">
      <c r="A14" s="1" t="s">
        <v>120</v>
      </c>
      <c r="B14" s="13" t="s">
        <v>121</v>
      </c>
      <c r="C14" s="1" t="s">
        <v>15</v>
      </c>
      <c r="D14" s="31">
        <v>3</v>
      </c>
      <c r="E14" s="3" t="s">
        <v>33</v>
      </c>
      <c r="F14" s="28">
        <v>0</v>
      </c>
      <c r="G14" s="28">
        <v>0</v>
      </c>
      <c r="H14" s="28">
        <v>0</v>
      </c>
      <c r="I14" s="29">
        <f t="shared" si="1"/>
        <v>0</v>
      </c>
      <c r="J14" s="28">
        <v>0</v>
      </c>
      <c r="K14" s="28">
        <v>0</v>
      </c>
      <c r="L14" s="28">
        <v>0</v>
      </c>
      <c r="M14" s="29">
        <f t="shared" si="0"/>
        <v>0</v>
      </c>
      <c r="N14" s="30">
        <f t="shared" si="2"/>
        <v>0</v>
      </c>
      <c r="O14" s="8"/>
      <c r="P14" s="8"/>
      <c r="Q14" s="7"/>
      <c r="R14" s="7"/>
      <c r="S14" s="7"/>
    </row>
    <row r="15" spans="1:19" ht="15.75" customHeight="1" x14ac:dyDescent="0.25">
      <c r="A15" s="1" t="s">
        <v>82</v>
      </c>
      <c r="B15" s="13" t="s">
        <v>83</v>
      </c>
      <c r="C15" s="1" t="s">
        <v>15</v>
      </c>
      <c r="D15" s="31">
        <v>3</v>
      </c>
      <c r="E15" s="3" t="s">
        <v>33</v>
      </c>
      <c r="F15" s="28">
        <v>0</v>
      </c>
      <c r="G15" s="28">
        <v>0</v>
      </c>
      <c r="H15" s="28">
        <v>0</v>
      </c>
      <c r="I15" s="29">
        <f t="shared" si="1"/>
        <v>0</v>
      </c>
      <c r="J15" s="28">
        <v>0</v>
      </c>
      <c r="K15" s="28">
        <v>0</v>
      </c>
      <c r="L15" s="28">
        <v>0</v>
      </c>
      <c r="M15" s="29">
        <f t="shared" si="0"/>
        <v>0</v>
      </c>
      <c r="N15" s="30">
        <f t="shared" si="2"/>
        <v>0</v>
      </c>
      <c r="O15" s="10"/>
      <c r="P15" s="8"/>
      <c r="Q15" s="8"/>
      <c r="R15" s="6"/>
      <c r="S15" s="7"/>
    </row>
    <row r="16" spans="1:19" ht="15.75" customHeight="1" x14ac:dyDescent="0.25">
      <c r="A16" s="1" t="s">
        <v>84</v>
      </c>
      <c r="B16" s="13" t="s">
        <v>85</v>
      </c>
      <c r="C16" s="1" t="s">
        <v>15</v>
      </c>
      <c r="D16" s="31">
        <v>3</v>
      </c>
      <c r="E16" s="3" t="s">
        <v>33</v>
      </c>
      <c r="F16" s="28">
        <v>0</v>
      </c>
      <c r="G16" s="28">
        <v>0</v>
      </c>
      <c r="H16" s="28">
        <v>0</v>
      </c>
      <c r="I16" s="29">
        <f t="shared" si="1"/>
        <v>0</v>
      </c>
      <c r="J16" s="28">
        <v>0</v>
      </c>
      <c r="K16" s="28">
        <v>0</v>
      </c>
      <c r="L16" s="28">
        <v>0</v>
      </c>
      <c r="M16" s="29">
        <f t="shared" si="0"/>
        <v>0</v>
      </c>
      <c r="N16" s="30">
        <f t="shared" si="2"/>
        <v>0</v>
      </c>
      <c r="O16" s="6"/>
      <c r="P16" s="6"/>
      <c r="Q16" s="7"/>
      <c r="R16" s="7"/>
      <c r="S16" s="7"/>
    </row>
    <row r="17" spans="1:19" ht="15.75" customHeight="1" x14ac:dyDescent="0.25">
      <c r="A17" s="1" t="s">
        <v>92</v>
      </c>
      <c r="B17" s="13" t="s">
        <v>93</v>
      </c>
      <c r="C17" s="1" t="s">
        <v>15</v>
      </c>
      <c r="D17" s="31">
        <v>3</v>
      </c>
      <c r="E17" s="3" t="s">
        <v>33</v>
      </c>
      <c r="F17" s="28">
        <v>0</v>
      </c>
      <c r="G17" s="28">
        <v>0</v>
      </c>
      <c r="H17" s="28">
        <v>0</v>
      </c>
      <c r="I17" s="29">
        <f t="shared" si="1"/>
        <v>0</v>
      </c>
      <c r="J17" s="28">
        <v>0</v>
      </c>
      <c r="K17" s="28">
        <v>0</v>
      </c>
      <c r="L17" s="28">
        <v>0</v>
      </c>
      <c r="M17" s="29">
        <f t="shared" si="0"/>
        <v>0</v>
      </c>
      <c r="N17" s="30">
        <f t="shared" si="2"/>
        <v>0</v>
      </c>
      <c r="O17" s="6"/>
      <c r="P17" s="6"/>
      <c r="Q17" s="6"/>
      <c r="R17" s="6"/>
      <c r="S17" s="7"/>
    </row>
    <row r="18" spans="1:19" ht="15.75" customHeight="1" x14ac:dyDescent="0.25">
      <c r="A18" s="1" t="s">
        <v>102</v>
      </c>
      <c r="B18" s="14" t="s">
        <v>103</v>
      </c>
      <c r="C18" s="1" t="s">
        <v>15</v>
      </c>
      <c r="D18" s="31">
        <v>3</v>
      </c>
      <c r="E18" s="3" t="s">
        <v>33</v>
      </c>
      <c r="F18" s="28">
        <v>0</v>
      </c>
      <c r="G18" s="28">
        <v>0</v>
      </c>
      <c r="H18" s="28">
        <v>0</v>
      </c>
      <c r="I18" s="29">
        <f t="shared" si="1"/>
        <v>0</v>
      </c>
      <c r="J18" s="28">
        <v>0</v>
      </c>
      <c r="K18" s="28">
        <v>0</v>
      </c>
      <c r="L18" s="28">
        <v>0</v>
      </c>
      <c r="M18" s="29">
        <f t="shared" si="0"/>
        <v>0</v>
      </c>
      <c r="N18" s="30">
        <f t="shared" si="2"/>
        <v>0</v>
      </c>
    </row>
    <row r="19" spans="1:19" ht="15.75" customHeight="1" x14ac:dyDescent="0.25">
      <c r="A19" s="1" t="s">
        <v>104</v>
      </c>
      <c r="B19" s="13" t="s">
        <v>105</v>
      </c>
      <c r="C19" s="1" t="s">
        <v>15</v>
      </c>
      <c r="D19" s="31">
        <v>3</v>
      </c>
      <c r="E19" s="3" t="s">
        <v>33</v>
      </c>
      <c r="F19" s="28">
        <v>0</v>
      </c>
      <c r="G19" s="28">
        <v>0</v>
      </c>
      <c r="H19" s="28">
        <v>0</v>
      </c>
      <c r="I19" s="29">
        <f t="shared" si="1"/>
        <v>0</v>
      </c>
      <c r="J19" s="28">
        <v>0</v>
      </c>
      <c r="K19" s="28">
        <v>0</v>
      </c>
      <c r="L19" s="28">
        <v>0</v>
      </c>
      <c r="M19" s="29">
        <f t="shared" si="0"/>
        <v>0</v>
      </c>
      <c r="N19" s="30">
        <f t="shared" si="2"/>
        <v>0</v>
      </c>
    </row>
    <row r="20" spans="1:19" ht="15.75" customHeight="1" x14ac:dyDescent="0.25">
      <c r="A20" s="1" t="s">
        <v>110</v>
      </c>
      <c r="B20" s="13" t="s">
        <v>111</v>
      </c>
      <c r="C20" s="1" t="s">
        <v>15</v>
      </c>
      <c r="D20" s="31">
        <v>3</v>
      </c>
      <c r="E20" s="3" t="s">
        <v>33</v>
      </c>
      <c r="F20" s="28">
        <v>0</v>
      </c>
      <c r="G20" s="28">
        <v>0</v>
      </c>
      <c r="H20" s="28">
        <v>0</v>
      </c>
      <c r="I20" s="29">
        <f t="shared" si="1"/>
        <v>0</v>
      </c>
      <c r="J20" s="28">
        <v>0</v>
      </c>
      <c r="K20" s="28">
        <v>0</v>
      </c>
      <c r="L20" s="28">
        <v>0</v>
      </c>
      <c r="M20" s="29">
        <f t="shared" si="0"/>
        <v>0</v>
      </c>
      <c r="N20" s="30">
        <f t="shared" si="2"/>
        <v>0</v>
      </c>
    </row>
    <row r="21" spans="1:19" ht="15.75" customHeight="1" x14ac:dyDescent="0.25">
      <c r="A21" s="1" t="s">
        <v>90</v>
      </c>
      <c r="B21" s="13" t="s">
        <v>91</v>
      </c>
      <c r="C21" s="1" t="s">
        <v>15</v>
      </c>
      <c r="D21" s="31">
        <v>3</v>
      </c>
      <c r="E21" s="3" t="s">
        <v>33</v>
      </c>
      <c r="F21" s="28">
        <v>0</v>
      </c>
      <c r="G21" s="28">
        <v>0</v>
      </c>
      <c r="H21" s="28">
        <v>0</v>
      </c>
      <c r="I21" s="29">
        <f t="shared" si="1"/>
        <v>0</v>
      </c>
      <c r="J21" s="28">
        <v>0</v>
      </c>
      <c r="K21" s="28">
        <v>0</v>
      </c>
      <c r="L21" s="28">
        <v>0</v>
      </c>
      <c r="M21" s="29">
        <f t="shared" si="0"/>
        <v>0</v>
      </c>
      <c r="N21" s="30">
        <f t="shared" si="2"/>
        <v>0</v>
      </c>
    </row>
    <row r="22" spans="1:19" ht="15.75" customHeight="1" x14ac:dyDescent="0.25">
      <c r="A22" s="1" t="s">
        <v>116</v>
      </c>
      <c r="B22" s="13" t="s">
        <v>117</v>
      </c>
      <c r="C22" s="1" t="s">
        <v>15</v>
      </c>
      <c r="D22" s="31">
        <v>3</v>
      </c>
      <c r="E22" s="3" t="s">
        <v>33</v>
      </c>
      <c r="F22" s="28">
        <v>0</v>
      </c>
      <c r="G22" s="28">
        <v>0</v>
      </c>
      <c r="H22" s="28">
        <v>0</v>
      </c>
      <c r="I22" s="29">
        <f t="shared" si="1"/>
        <v>0</v>
      </c>
      <c r="J22" s="28">
        <v>0</v>
      </c>
      <c r="K22" s="28">
        <v>0</v>
      </c>
      <c r="L22" s="28">
        <v>0</v>
      </c>
      <c r="M22" s="29">
        <f t="shared" si="0"/>
        <v>0</v>
      </c>
      <c r="N22" s="30">
        <f t="shared" si="2"/>
        <v>0</v>
      </c>
    </row>
  </sheetData>
  <sortState xmlns:xlrd2="http://schemas.microsoft.com/office/spreadsheetml/2017/richdata2" ref="A3:N22">
    <sortCondition ref="E1:E22"/>
  </sortState>
  <mergeCells count="2">
    <mergeCell ref="F1:I1"/>
    <mergeCell ref="J1:M1"/>
  </mergeCells>
  <conditionalFormatting sqref="F3:H22">
    <cfRule type="cellIs" dxfId="1036" priority="4" operator="lessThan">
      <formula>7.9</formula>
    </cfRule>
  </conditionalFormatting>
  <conditionalFormatting sqref="F3:H22">
    <cfRule type="cellIs" dxfId="1035" priority="5" operator="lessThan">
      <formula>7.4</formula>
    </cfRule>
  </conditionalFormatting>
  <conditionalFormatting sqref="F5:H6">
    <cfRule type="cellIs" dxfId="1034" priority="6" operator="lessThan">
      <formula>6.9</formula>
    </cfRule>
  </conditionalFormatting>
  <conditionalFormatting sqref="I3:I22">
    <cfRule type="cellIs" dxfId="1033" priority="7" operator="lessThan">
      <formula>7.9</formula>
    </cfRule>
    <cfRule type="cellIs" dxfId="1032" priority="16" operator="lessThan">
      <formula>6.9</formula>
    </cfRule>
    <cfRule type="cellIs" dxfId="1031" priority="17" operator="lessThan">
      <formula>7.4</formula>
    </cfRule>
    <cfRule type="cellIs" dxfId="1030" priority="18" operator="lessThan">
      <formula>7.9</formula>
    </cfRule>
  </conditionalFormatting>
  <conditionalFormatting sqref="I3:I22">
    <cfRule type="cellIs" dxfId="1029" priority="8" operator="lessThan">
      <formula>6.9</formula>
    </cfRule>
    <cfRule type="cellIs" dxfId="1028" priority="9" operator="lessThan">
      <formula>7.4</formula>
    </cfRule>
    <cfRule type="cellIs" dxfId="1027" priority="10" operator="lessThan">
      <formula>7.9</formula>
    </cfRule>
    <cfRule type="cellIs" dxfId="1026" priority="11" operator="lessThan">
      <formula>6.9</formula>
    </cfRule>
    <cfRule type="cellIs" dxfId="1025" priority="12" operator="lessThan">
      <formula>7.9</formula>
    </cfRule>
    <cfRule type="cellIs" dxfId="1024" priority="13" operator="lessThan">
      <formula>7.4</formula>
    </cfRule>
    <cfRule type="cellIs" dxfId="1023" priority="14" operator="lessThan">
      <formula>6.9</formula>
    </cfRule>
    <cfRule type="cellIs" dxfId="1022" priority="15" operator="lessThan">
      <formula>7.9</formula>
    </cfRule>
  </conditionalFormatting>
  <conditionalFormatting sqref="M3:M22">
    <cfRule type="cellIs" dxfId="1021" priority="19" operator="lessThan">
      <formula>7.9</formula>
    </cfRule>
    <cfRule type="cellIs" dxfId="1020" priority="20" operator="lessThan">
      <formula>6.9</formula>
    </cfRule>
    <cfRule type="cellIs" dxfId="1019" priority="21" operator="lessThan">
      <formula>7.4</formula>
    </cfRule>
    <cfRule type="cellIs" dxfId="1018" priority="22" operator="lessThan">
      <formula>7.9</formula>
    </cfRule>
    <cfRule type="cellIs" dxfId="1017" priority="23" operator="lessThan">
      <formula>6.9</formula>
    </cfRule>
    <cfRule type="cellIs" dxfId="1016" priority="24" operator="lessThan">
      <formula>7.9</formula>
    </cfRule>
    <cfRule type="cellIs" dxfId="1015" priority="25" operator="lessThan">
      <formula>7.4</formula>
    </cfRule>
    <cfRule type="cellIs" dxfId="1014" priority="26" operator="lessThan">
      <formula>6.9</formula>
    </cfRule>
    <cfRule type="cellIs" dxfId="1013" priority="27" operator="lessThan">
      <formula>7.9</formula>
    </cfRule>
    <cfRule type="cellIs" dxfId="1012" priority="28" operator="lessThan">
      <formula>6.9</formula>
    </cfRule>
    <cfRule type="cellIs" dxfId="1011" priority="29" operator="lessThan">
      <formula>7.4</formula>
    </cfRule>
    <cfRule type="cellIs" dxfId="1010" priority="30" operator="lessThan">
      <formula>6.9</formula>
    </cfRule>
    <cfRule type="cellIs" dxfId="1009" priority="31" operator="lessThan">
      <formula>7.4</formula>
    </cfRule>
    <cfRule type="cellIs" dxfId="1008" priority="32" operator="lessThan">
      <formula>7.9</formula>
    </cfRule>
  </conditionalFormatting>
  <conditionalFormatting sqref="J3:L22">
    <cfRule type="cellIs" dxfId="1007" priority="1" operator="lessThan">
      <formula>7.9</formula>
    </cfRule>
  </conditionalFormatting>
  <conditionalFormatting sqref="J3:L22">
    <cfRule type="cellIs" dxfId="1006" priority="2" operator="lessThan">
      <formula>7.4</formula>
    </cfRule>
  </conditionalFormatting>
  <conditionalFormatting sqref="J5:L6">
    <cfRule type="cellIs" dxfId="1005" priority="3" operator="lessThan">
      <formula>6.9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40"/>
  <sheetViews>
    <sheetView topLeftCell="K1" workbookViewId="0">
      <selection activeCell="F2" sqref="F1:Z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</cols>
  <sheetData>
    <row r="1" spans="1:26" ht="15" x14ac:dyDescent="0.2">
      <c r="A1" s="1"/>
      <c r="B1" s="1"/>
      <c r="C1" s="1"/>
      <c r="D1" s="1"/>
      <c r="E1" s="1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1" t="s">
        <v>122</v>
      </c>
      <c r="O1" s="22"/>
      <c r="P1" s="22"/>
      <c r="Q1" s="23"/>
      <c r="R1" s="21" t="s">
        <v>123</v>
      </c>
      <c r="S1" s="22"/>
      <c r="T1" s="22"/>
      <c r="U1" s="23"/>
      <c r="V1" s="21" t="s">
        <v>124</v>
      </c>
      <c r="W1" s="22"/>
      <c r="X1" s="22"/>
      <c r="Y1" s="23"/>
      <c r="Z1" s="24" t="s">
        <v>2</v>
      </c>
    </row>
    <row r="2" spans="1:26" x14ac:dyDescent="0.2">
      <c r="A2" s="1" t="s">
        <v>3</v>
      </c>
      <c r="B2" s="1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5" t="s">
        <v>8</v>
      </c>
      <c r="O2" s="25" t="s">
        <v>9</v>
      </c>
      <c r="P2" s="25" t="s">
        <v>10</v>
      </c>
      <c r="Q2" s="26" t="s">
        <v>11</v>
      </c>
      <c r="R2" s="25" t="s">
        <v>8</v>
      </c>
      <c r="S2" s="25" t="s">
        <v>9</v>
      </c>
      <c r="T2" s="25" t="s">
        <v>10</v>
      </c>
      <c r="U2" s="26" t="s">
        <v>11</v>
      </c>
      <c r="V2" s="25" t="s">
        <v>8</v>
      </c>
      <c r="W2" s="25" t="s">
        <v>9</v>
      </c>
      <c r="X2" s="25" t="s">
        <v>10</v>
      </c>
      <c r="Y2" s="26" t="s">
        <v>11</v>
      </c>
      <c r="Z2" s="24" t="s">
        <v>12</v>
      </c>
    </row>
    <row r="3" spans="1:26" ht="15.75" customHeight="1" x14ac:dyDescent="0.25">
      <c r="A3" s="1" t="s">
        <v>151</v>
      </c>
      <c r="B3" s="13" t="s">
        <v>152</v>
      </c>
      <c r="C3" s="1" t="s">
        <v>15</v>
      </c>
      <c r="D3" s="31">
        <v>1</v>
      </c>
      <c r="E3" s="3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22" si="0">AVERAGE(J3:L3)</f>
        <v>0</v>
      </c>
      <c r="N3" s="28">
        <v>0</v>
      </c>
      <c r="O3" s="28">
        <v>0</v>
      </c>
      <c r="P3" s="28">
        <v>0</v>
      </c>
      <c r="Q3" s="29">
        <f>AVERAGE(N3:P3)</f>
        <v>0</v>
      </c>
      <c r="R3" s="28">
        <v>0</v>
      </c>
      <c r="S3" s="28">
        <v>0</v>
      </c>
      <c r="T3" s="28">
        <v>0</v>
      </c>
      <c r="U3" s="29">
        <f t="shared" ref="U3:U22" si="1">AVERAGE(R3:T3)</f>
        <v>0</v>
      </c>
      <c r="V3" s="28">
        <v>0</v>
      </c>
      <c r="W3" s="28">
        <v>0</v>
      </c>
      <c r="X3" s="28">
        <v>0</v>
      </c>
      <c r="Y3" s="29">
        <f t="shared" ref="Y3:Y22" si="2">AVERAGE(V3:X3)</f>
        <v>0</v>
      </c>
      <c r="Z3" s="30">
        <f>AVERAGE(I3,M3,Q3,U3,Y3)</f>
        <v>0</v>
      </c>
    </row>
    <row r="4" spans="1:26" ht="15.75" customHeight="1" x14ac:dyDescent="0.25">
      <c r="A4" s="1" t="s">
        <v>129</v>
      </c>
      <c r="B4" s="13" t="s">
        <v>130</v>
      </c>
      <c r="C4" s="1" t="s">
        <v>15</v>
      </c>
      <c r="D4" s="31">
        <v>1</v>
      </c>
      <c r="E4" s="3" t="s">
        <v>16</v>
      </c>
      <c r="F4" s="28">
        <v>0</v>
      </c>
      <c r="G4" s="28">
        <v>0</v>
      </c>
      <c r="H4" s="28">
        <v>0</v>
      </c>
      <c r="I4" s="29">
        <f t="shared" ref="I4:I22" si="3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28">
        <v>0</v>
      </c>
      <c r="O4" s="28">
        <v>0</v>
      </c>
      <c r="P4" s="28">
        <v>0</v>
      </c>
      <c r="Q4" s="29">
        <f t="shared" ref="Q4:Q22" si="4">AVERAGE(N4:P4)</f>
        <v>0</v>
      </c>
      <c r="R4" s="28">
        <v>0</v>
      </c>
      <c r="S4" s="28">
        <v>0</v>
      </c>
      <c r="T4" s="28">
        <v>0</v>
      </c>
      <c r="U4" s="29">
        <f t="shared" si="1"/>
        <v>0</v>
      </c>
      <c r="V4" s="28">
        <v>0</v>
      </c>
      <c r="W4" s="28">
        <v>0</v>
      </c>
      <c r="X4" s="28">
        <v>0</v>
      </c>
      <c r="Y4" s="29">
        <f t="shared" si="2"/>
        <v>0</v>
      </c>
      <c r="Z4" s="30">
        <f t="shared" ref="Z4:Z22" si="5">AVERAGE(I4,M4,Q4,U4,Y4)</f>
        <v>0</v>
      </c>
    </row>
    <row r="5" spans="1:26" ht="15.75" customHeight="1" x14ac:dyDescent="0.25">
      <c r="A5" s="1" t="s">
        <v>145</v>
      </c>
      <c r="B5" s="13" t="s">
        <v>146</v>
      </c>
      <c r="C5" s="1" t="s">
        <v>15</v>
      </c>
      <c r="D5" s="31">
        <v>1</v>
      </c>
      <c r="E5" s="3" t="s">
        <v>16</v>
      </c>
      <c r="F5" s="28">
        <v>0</v>
      </c>
      <c r="G5" s="28">
        <v>0</v>
      </c>
      <c r="H5" s="28">
        <v>0</v>
      </c>
      <c r="I5" s="29">
        <f t="shared" si="3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28">
        <v>0</v>
      </c>
      <c r="O5" s="28">
        <v>0</v>
      </c>
      <c r="P5" s="28">
        <v>0</v>
      </c>
      <c r="Q5" s="29">
        <f t="shared" si="4"/>
        <v>0</v>
      </c>
      <c r="R5" s="28">
        <v>0</v>
      </c>
      <c r="S5" s="28">
        <v>0</v>
      </c>
      <c r="T5" s="28">
        <v>0</v>
      </c>
      <c r="U5" s="29">
        <f t="shared" si="1"/>
        <v>0</v>
      </c>
      <c r="V5" s="28">
        <v>0</v>
      </c>
      <c r="W5" s="28">
        <v>0</v>
      </c>
      <c r="X5" s="28">
        <v>0</v>
      </c>
      <c r="Y5" s="29">
        <f t="shared" si="2"/>
        <v>0</v>
      </c>
      <c r="Z5" s="30">
        <f t="shared" si="5"/>
        <v>0</v>
      </c>
    </row>
    <row r="6" spans="1:26" ht="15.75" customHeight="1" x14ac:dyDescent="0.25">
      <c r="A6" s="1" t="s">
        <v>187</v>
      </c>
      <c r="B6" s="13" t="s">
        <v>188</v>
      </c>
      <c r="C6" s="1" t="s">
        <v>15</v>
      </c>
      <c r="D6" s="31">
        <v>1</v>
      </c>
      <c r="E6" s="3" t="s">
        <v>16</v>
      </c>
      <c r="F6" s="28">
        <v>0</v>
      </c>
      <c r="G6" s="28">
        <v>0</v>
      </c>
      <c r="H6" s="28">
        <v>0</v>
      </c>
      <c r="I6" s="29">
        <f t="shared" si="3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28">
        <v>0</v>
      </c>
      <c r="O6" s="28">
        <v>0</v>
      </c>
      <c r="P6" s="28">
        <v>0</v>
      </c>
      <c r="Q6" s="29">
        <f t="shared" si="4"/>
        <v>0</v>
      </c>
      <c r="R6" s="28">
        <v>0</v>
      </c>
      <c r="S6" s="28">
        <v>0</v>
      </c>
      <c r="T6" s="28">
        <v>0</v>
      </c>
      <c r="U6" s="29">
        <f t="shared" si="1"/>
        <v>0</v>
      </c>
      <c r="V6" s="28">
        <v>0</v>
      </c>
      <c r="W6" s="28">
        <v>0</v>
      </c>
      <c r="X6" s="28">
        <v>0</v>
      </c>
      <c r="Y6" s="29">
        <f t="shared" si="2"/>
        <v>0</v>
      </c>
      <c r="Z6" s="30">
        <f t="shared" si="5"/>
        <v>0</v>
      </c>
    </row>
    <row r="7" spans="1:26" ht="15.75" customHeight="1" x14ac:dyDescent="0.25">
      <c r="A7" s="1" t="s">
        <v>135</v>
      </c>
      <c r="B7" s="14" t="s">
        <v>136</v>
      </c>
      <c r="C7" s="1" t="s">
        <v>15</v>
      </c>
      <c r="D7" s="31">
        <v>1</v>
      </c>
      <c r="E7" s="3" t="s">
        <v>16</v>
      </c>
      <c r="F7" s="28">
        <v>0</v>
      </c>
      <c r="G7" s="28">
        <v>0</v>
      </c>
      <c r="H7" s="28">
        <v>0</v>
      </c>
      <c r="I7" s="29">
        <f t="shared" si="3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28">
        <v>0</v>
      </c>
      <c r="O7" s="28">
        <v>0</v>
      </c>
      <c r="P7" s="28">
        <v>0</v>
      </c>
      <c r="Q7" s="29">
        <f t="shared" si="4"/>
        <v>0</v>
      </c>
      <c r="R7" s="28">
        <v>0</v>
      </c>
      <c r="S7" s="28">
        <v>0</v>
      </c>
      <c r="T7" s="28">
        <v>0</v>
      </c>
      <c r="U7" s="29">
        <f t="shared" si="1"/>
        <v>0</v>
      </c>
      <c r="V7" s="28">
        <v>0</v>
      </c>
      <c r="W7" s="28">
        <v>0</v>
      </c>
      <c r="X7" s="28">
        <v>0</v>
      </c>
      <c r="Y7" s="29">
        <f t="shared" si="2"/>
        <v>0</v>
      </c>
      <c r="Z7" s="30">
        <f t="shared" si="5"/>
        <v>0</v>
      </c>
    </row>
    <row r="8" spans="1:26" ht="15.75" customHeight="1" x14ac:dyDescent="0.25">
      <c r="A8" s="1" t="s">
        <v>125</v>
      </c>
      <c r="B8" s="13" t="s">
        <v>126</v>
      </c>
      <c r="C8" s="1" t="s">
        <v>15</v>
      </c>
      <c r="D8" s="31">
        <v>1</v>
      </c>
      <c r="E8" s="3" t="s">
        <v>16</v>
      </c>
      <c r="F8" s="28">
        <v>0</v>
      </c>
      <c r="G8" s="28">
        <v>0</v>
      </c>
      <c r="H8" s="28">
        <v>0</v>
      </c>
      <c r="I8" s="29">
        <f t="shared" si="3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28">
        <v>0</v>
      </c>
      <c r="O8" s="28">
        <v>0</v>
      </c>
      <c r="P8" s="28">
        <v>0</v>
      </c>
      <c r="Q8" s="29">
        <f t="shared" si="4"/>
        <v>0</v>
      </c>
      <c r="R8" s="28">
        <v>0</v>
      </c>
      <c r="S8" s="28">
        <v>0</v>
      </c>
      <c r="T8" s="28">
        <v>0</v>
      </c>
      <c r="U8" s="29">
        <f t="shared" si="1"/>
        <v>0</v>
      </c>
      <c r="V8" s="28">
        <v>0</v>
      </c>
      <c r="W8" s="28">
        <v>0</v>
      </c>
      <c r="X8" s="28">
        <v>0</v>
      </c>
      <c r="Y8" s="29">
        <f t="shared" si="2"/>
        <v>0</v>
      </c>
      <c r="Z8" s="30">
        <f t="shared" si="5"/>
        <v>0</v>
      </c>
    </row>
    <row r="9" spans="1:26" ht="15.75" customHeight="1" x14ac:dyDescent="0.25">
      <c r="A9" s="1" t="s">
        <v>149</v>
      </c>
      <c r="B9" s="13" t="s">
        <v>150</v>
      </c>
      <c r="C9" s="1" t="s">
        <v>15</v>
      </c>
      <c r="D9" s="31">
        <v>1</v>
      </c>
      <c r="E9" s="3" t="s">
        <v>16</v>
      </c>
      <c r="F9" s="28">
        <v>0</v>
      </c>
      <c r="G9" s="28">
        <v>0</v>
      </c>
      <c r="H9" s="28">
        <v>0</v>
      </c>
      <c r="I9" s="29">
        <f t="shared" si="3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28">
        <v>0</v>
      </c>
      <c r="O9" s="28">
        <v>0</v>
      </c>
      <c r="P9" s="28">
        <v>0</v>
      </c>
      <c r="Q9" s="29">
        <f t="shared" si="4"/>
        <v>0</v>
      </c>
      <c r="R9" s="28">
        <v>0</v>
      </c>
      <c r="S9" s="28">
        <v>0</v>
      </c>
      <c r="T9" s="28">
        <v>0</v>
      </c>
      <c r="U9" s="29">
        <f t="shared" si="1"/>
        <v>0</v>
      </c>
      <c r="V9" s="28">
        <v>0</v>
      </c>
      <c r="W9" s="28">
        <v>0</v>
      </c>
      <c r="X9" s="28">
        <v>0</v>
      </c>
      <c r="Y9" s="29">
        <f t="shared" si="2"/>
        <v>0</v>
      </c>
      <c r="Z9" s="30">
        <f t="shared" si="5"/>
        <v>0</v>
      </c>
    </row>
    <row r="10" spans="1:26" ht="15.75" customHeight="1" x14ac:dyDescent="0.25">
      <c r="A10" s="1" t="s">
        <v>183</v>
      </c>
      <c r="B10" s="13" t="s">
        <v>184</v>
      </c>
      <c r="C10" s="1" t="s">
        <v>15</v>
      </c>
      <c r="D10" s="31">
        <v>1</v>
      </c>
      <c r="E10" s="3" t="s">
        <v>16</v>
      </c>
      <c r="F10" s="28">
        <v>0</v>
      </c>
      <c r="G10" s="28">
        <v>0</v>
      </c>
      <c r="H10" s="28">
        <v>0</v>
      </c>
      <c r="I10" s="29">
        <f t="shared" si="3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28">
        <v>0</v>
      </c>
      <c r="O10" s="28">
        <v>0</v>
      </c>
      <c r="P10" s="28">
        <v>0</v>
      </c>
      <c r="Q10" s="29">
        <f t="shared" si="4"/>
        <v>0</v>
      </c>
      <c r="R10" s="28">
        <v>0</v>
      </c>
      <c r="S10" s="28">
        <v>0</v>
      </c>
      <c r="T10" s="28">
        <v>0</v>
      </c>
      <c r="U10" s="29">
        <f t="shared" si="1"/>
        <v>0</v>
      </c>
      <c r="V10" s="28">
        <v>0</v>
      </c>
      <c r="W10" s="28">
        <v>0</v>
      </c>
      <c r="X10" s="28">
        <v>0</v>
      </c>
      <c r="Y10" s="29">
        <f t="shared" si="2"/>
        <v>0</v>
      </c>
      <c r="Z10" s="30">
        <f t="shared" si="5"/>
        <v>0</v>
      </c>
    </row>
    <row r="11" spans="1:26" ht="15.75" customHeight="1" x14ac:dyDescent="0.25">
      <c r="A11" s="1" t="s">
        <v>131</v>
      </c>
      <c r="B11" s="13" t="s">
        <v>132</v>
      </c>
      <c r="C11" s="1" t="s">
        <v>15</v>
      </c>
      <c r="D11" s="31">
        <v>1</v>
      </c>
      <c r="E11" s="3" t="s">
        <v>16</v>
      </c>
      <c r="F11" s="28">
        <v>0</v>
      </c>
      <c r="G11" s="28">
        <v>0</v>
      </c>
      <c r="H11" s="28">
        <v>0</v>
      </c>
      <c r="I11" s="29">
        <f t="shared" si="3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28">
        <v>0</v>
      </c>
      <c r="O11" s="28">
        <v>0</v>
      </c>
      <c r="P11" s="28">
        <v>0</v>
      </c>
      <c r="Q11" s="29">
        <f t="shared" si="4"/>
        <v>0</v>
      </c>
      <c r="R11" s="28">
        <v>0</v>
      </c>
      <c r="S11" s="28">
        <v>0</v>
      </c>
      <c r="T11" s="28">
        <v>0</v>
      </c>
      <c r="U11" s="29">
        <f t="shared" si="1"/>
        <v>0</v>
      </c>
      <c r="V11" s="28">
        <v>0</v>
      </c>
      <c r="W11" s="28">
        <v>0</v>
      </c>
      <c r="X11" s="28">
        <v>0</v>
      </c>
      <c r="Y11" s="29">
        <f t="shared" si="2"/>
        <v>0</v>
      </c>
      <c r="Z11" s="30">
        <f t="shared" si="5"/>
        <v>0</v>
      </c>
    </row>
    <row r="12" spans="1:26" ht="15.75" customHeight="1" x14ac:dyDescent="0.25">
      <c r="A12" s="1" t="s">
        <v>197</v>
      </c>
      <c r="B12" s="13" t="s">
        <v>198</v>
      </c>
      <c r="C12" s="1" t="s">
        <v>15</v>
      </c>
      <c r="D12" s="31">
        <v>1</v>
      </c>
      <c r="E12" s="3" t="s">
        <v>16</v>
      </c>
      <c r="F12" s="28">
        <v>0</v>
      </c>
      <c r="G12" s="28">
        <v>0</v>
      </c>
      <c r="H12" s="28">
        <v>0</v>
      </c>
      <c r="I12" s="29">
        <f t="shared" si="3"/>
        <v>0</v>
      </c>
      <c r="J12" s="28">
        <v>0</v>
      </c>
      <c r="K12" s="28">
        <v>0</v>
      </c>
      <c r="L12" s="28">
        <v>0</v>
      </c>
      <c r="M12" s="29">
        <f t="shared" si="0"/>
        <v>0</v>
      </c>
      <c r="N12" s="28">
        <v>0</v>
      </c>
      <c r="O12" s="28">
        <v>0</v>
      </c>
      <c r="P12" s="28">
        <v>0</v>
      </c>
      <c r="Q12" s="29">
        <f t="shared" si="4"/>
        <v>0</v>
      </c>
      <c r="R12" s="28">
        <v>0</v>
      </c>
      <c r="S12" s="28">
        <v>0</v>
      </c>
      <c r="T12" s="28">
        <v>0</v>
      </c>
      <c r="U12" s="29">
        <f t="shared" si="1"/>
        <v>0</v>
      </c>
      <c r="V12" s="28">
        <v>0</v>
      </c>
      <c r="W12" s="28">
        <v>0</v>
      </c>
      <c r="X12" s="28">
        <v>0</v>
      </c>
      <c r="Y12" s="29">
        <f t="shared" si="2"/>
        <v>0</v>
      </c>
      <c r="Z12" s="30">
        <f t="shared" si="5"/>
        <v>0</v>
      </c>
    </row>
    <row r="13" spans="1:26" ht="15.75" customHeight="1" x14ac:dyDescent="0.25">
      <c r="A13" s="1" t="s">
        <v>139</v>
      </c>
      <c r="B13" s="17" t="s">
        <v>140</v>
      </c>
      <c r="C13" s="1" t="s">
        <v>15</v>
      </c>
      <c r="D13" s="31">
        <v>1</v>
      </c>
      <c r="E13" s="3" t="s">
        <v>16</v>
      </c>
      <c r="F13" s="28">
        <v>0</v>
      </c>
      <c r="G13" s="28">
        <v>0</v>
      </c>
      <c r="H13" s="28">
        <v>0</v>
      </c>
      <c r="I13" s="29">
        <f t="shared" si="3"/>
        <v>0</v>
      </c>
      <c r="J13" s="28">
        <v>0</v>
      </c>
      <c r="K13" s="28">
        <v>0</v>
      </c>
      <c r="L13" s="28">
        <v>0</v>
      </c>
      <c r="M13" s="29">
        <f t="shared" si="0"/>
        <v>0</v>
      </c>
      <c r="N13" s="28">
        <v>0</v>
      </c>
      <c r="O13" s="28">
        <v>0</v>
      </c>
      <c r="P13" s="28">
        <v>0</v>
      </c>
      <c r="Q13" s="29">
        <f t="shared" si="4"/>
        <v>0</v>
      </c>
      <c r="R13" s="28">
        <v>0</v>
      </c>
      <c r="S13" s="28">
        <v>0</v>
      </c>
      <c r="T13" s="28">
        <v>0</v>
      </c>
      <c r="U13" s="29">
        <f t="shared" si="1"/>
        <v>0</v>
      </c>
      <c r="V13" s="28">
        <v>0</v>
      </c>
      <c r="W13" s="28">
        <v>0</v>
      </c>
      <c r="X13" s="28">
        <v>0</v>
      </c>
      <c r="Y13" s="29">
        <f t="shared" si="2"/>
        <v>0</v>
      </c>
      <c r="Z13" s="30">
        <f t="shared" si="5"/>
        <v>0</v>
      </c>
    </row>
    <row r="14" spans="1:26" ht="15.75" customHeight="1" x14ac:dyDescent="0.25">
      <c r="A14" s="1" t="s">
        <v>179</v>
      </c>
      <c r="B14" s="13" t="s">
        <v>180</v>
      </c>
      <c r="C14" s="1" t="s">
        <v>15</v>
      </c>
      <c r="D14" s="31">
        <v>1</v>
      </c>
      <c r="E14" s="3" t="s">
        <v>16</v>
      </c>
      <c r="F14" s="28">
        <v>0</v>
      </c>
      <c r="G14" s="28">
        <v>0</v>
      </c>
      <c r="H14" s="28">
        <v>0</v>
      </c>
      <c r="I14" s="29">
        <f t="shared" si="3"/>
        <v>0</v>
      </c>
      <c r="J14" s="28">
        <v>0</v>
      </c>
      <c r="K14" s="28">
        <v>0</v>
      </c>
      <c r="L14" s="28">
        <v>0</v>
      </c>
      <c r="M14" s="29">
        <f t="shared" si="0"/>
        <v>0</v>
      </c>
      <c r="N14" s="28">
        <v>0</v>
      </c>
      <c r="O14" s="28">
        <v>0</v>
      </c>
      <c r="P14" s="28">
        <v>0</v>
      </c>
      <c r="Q14" s="29">
        <f t="shared" si="4"/>
        <v>0</v>
      </c>
      <c r="R14" s="28">
        <v>0</v>
      </c>
      <c r="S14" s="28">
        <v>0</v>
      </c>
      <c r="T14" s="28">
        <v>0</v>
      </c>
      <c r="U14" s="29">
        <f t="shared" si="1"/>
        <v>0</v>
      </c>
      <c r="V14" s="28">
        <v>0</v>
      </c>
      <c r="W14" s="28">
        <v>0</v>
      </c>
      <c r="X14" s="28">
        <v>0</v>
      </c>
      <c r="Y14" s="29">
        <f t="shared" si="2"/>
        <v>0</v>
      </c>
      <c r="Z14" s="30">
        <f t="shared" si="5"/>
        <v>0</v>
      </c>
    </row>
    <row r="15" spans="1:26" ht="15.75" customHeight="1" x14ac:dyDescent="0.25">
      <c r="A15" s="1" t="s">
        <v>141</v>
      </c>
      <c r="B15" s="14" t="s">
        <v>142</v>
      </c>
      <c r="C15" s="1" t="s">
        <v>15</v>
      </c>
      <c r="D15" s="31">
        <v>1</v>
      </c>
      <c r="E15" s="3" t="s">
        <v>16</v>
      </c>
      <c r="F15" s="28">
        <v>0</v>
      </c>
      <c r="G15" s="28">
        <v>0</v>
      </c>
      <c r="H15" s="28">
        <v>0</v>
      </c>
      <c r="I15" s="29">
        <f t="shared" si="3"/>
        <v>0</v>
      </c>
      <c r="J15" s="28">
        <v>0</v>
      </c>
      <c r="K15" s="28">
        <v>0</v>
      </c>
      <c r="L15" s="28">
        <v>0</v>
      </c>
      <c r="M15" s="29">
        <f t="shared" si="0"/>
        <v>0</v>
      </c>
      <c r="N15" s="28">
        <v>0</v>
      </c>
      <c r="O15" s="28">
        <v>0</v>
      </c>
      <c r="P15" s="28">
        <v>0</v>
      </c>
      <c r="Q15" s="29">
        <f t="shared" si="4"/>
        <v>0</v>
      </c>
      <c r="R15" s="28">
        <v>0</v>
      </c>
      <c r="S15" s="28">
        <v>0</v>
      </c>
      <c r="T15" s="28">
        <v>0</v>
      </c>
      <c r="U15" s="29">
        <f t="shared" si="1"/>
        <v>0</v>
      </c>
      <c r="V15" s="28">
        <v>0</v>
      </c>
      <c r="W15" s="28">
        <v>0</v>
      </c>
      <c r="X15" s="28">
        <v>0</v>
      </c>
      <c r="Y15" s="29">
        <f t="shared" si="2"/>
        <v>0</v>
      </c>
      <c r="Z15" s="30">
        <f t="shared" si="5"/>
        <v>0</v>
      </c>
    </row>
    <row r="16" spans="1:26" ht="15.75" customHeight="1" x14ac:dyDescent="0.25">
      <c r="A16" s="1" t="s">
        <v>181</v>
      </c>
      <c r="B16" s="13" t="s">
        <v>182</v>
      </c>
      <c r="C16" s="1" t="s">
        <v>15</v>
      </c>
      <c r="D16" s="31">
        <v>1</v>
      </c>
      <c r="E16" s="3" t="s">
        <v>16</v>
      </c>
      <c r="F16" s="28">
        <v>0</v>
      </c>
      <c r="G16" s="28">
        <v>0</v>
      </c>
      <c r="H16" s="28">
        <v>0</v>
      </c>
      <c r="I16" s="29">
        <f t="shared" si="3"/>
        <v>0</v>
      </c>
      <c r="J16" s="28">
        <v>0</v>
      </c>
      <c r="K16" s="28">
        <v>0</v>
      </c>
      <c r="L16" s="28">
        <v>0</v>
      </c>
      <c r="M16" s="29">
        <f t="shared" si="0"/>
        <v>0</v>
      </c>
      <c r="N16" s="28">
        <v>0</v>
      </c>
      <c r="O16" s="28">
        <v>0</v>
      </c>
      <c r="P16" s="28">
        <v>0</v>
      </c>
      <c r="Q16" s="29">
        <f t="shared" si="4"/>
        <v>0</v>
      </c>
      <c r="R16" s="28">
        <v>0</v>
      </c>
      <c r="S16" s="28">
        <v>0</v>
      </c>
      <c r="T16" s="28">
        <v>0</v>
      </c>
      <c r="U16" s="29">
        <f t="shared" si="1"/>
        <v>0</v>
      </c>
      <c r="V16" s="28">
        <v>0</v>
      </c>
      <c r="W16" s="28">
        <v>0</v>
      </c>
      <c r="X16" s="28">
        <v>0</v>
      </c>
      <c r="Y16" s="29">
        <f t="shared" si="2"/>
        <v>0</v>
      </c>
      <c r="Z16" s="30">
        <f t="shared" si="5"/>
        <v>0</v>
      </c>
    </row>
    <row r="17" spans="1:26" ht="15.75" customHeight="1" x14ac:dyDescent="0.25">
      <c r="A17" s="1" t="s">
        <v>133</v>
      </c>
      <c r="B17" s="14" t="s">
        <v>134</v>
      </c>
      <c r="C17" s="1" t="s">
        <v>15</v>
      </c>
      <c r="D17" s="31">
        <v>1</v>
      </c>
      <c r="E17" s="3" t="s">
        <v>16</v>
      </c>
      <c r="F17" s="28">
        <v>0</v>
      </c>
      <c r="G17" s="28">
        <v>0</v>
      </c>
      <c r="H17" s="28">
        <v>0</v>
      </c>
      <c r="I17" s="29">
        <f t="shared" si="3"/>
        <v>0</v>
      </c>
      <c r="J17" s="28">
        <v>0</v>
      </c>
      <c r="K17" s="28">
        <v>0</v>
      </c>
      <c r="L17" s="28">
        <v>0</v>
      </c>
      <c r="M17" s="29">
        <f t="shared" si="0"/>
        <v>0</v>
      </c>
      <c r="N17" s="28">
        <v>0</v>
      </c>
      <c r="O17" s="28">
        <v>0</v>
      </c>
      <c r="P17" s="28">
        <v>0</v>
      </c>
      <c r="Q17" s="29">
        <f t="shared" si="4"/>
        <v>0</v>
      </c>
      <c r="R17" s="28">
        <v>0</v>
      </c>
      <c r="S17" s="28">
        <v>0</v>
      </c>
      <c r="T17" s="28">
        <v>0</v>
      </c>
      <c r="U17" s="29">
        <f t="shared" si="1"/>
        <v>0</v>
      </c>
      <c r="V17" s="28">
        <v>0</v>
      </c>
      <c r="W17" s="28">
        <v>0</v>
      </c>
      <c r="X17" s="28">
        <v>0</v>
      </c>
      <c r="Y17" s="29">
        <f t="shared" si="2"/>
        <v>0</v>
      </c>
      <c r="Z17" s="30">
        <f t="shared" si="5"/>
        <v>0</v>
      </c>
    </row>
    <row r="18" spans="1:26" ht="15.75" customHeight="1" x14ac:dyDescent="0.25">
      <c r="A18" s="1" t="s">
        <v>193</v>
      </c>
      <c r="B18" s="13" t="s">
        <v>194</v>
      </c>
      <c r="C18" s="1" t="s">
        <v>15</v>
      </c>
      <c r="D18" s="31">
        <v>1</v>
      </c>
      <c r="E18" s="3" t="s">
        <v>16</v>
      </c>
      <c r="F18" s="28">
        <v>0</v>
      </c>
      <c r="G18" s="28">
        <v>0</v>
      </c>
      <c r="H18" s="28">
        <v>0</v>
      </c>
      <c r="I18" s="29">
        <f t="shared" si="3"/>
        <v>0</v>
      </c>
      <c r="J18" s="28">
        <v>0</v>
      </c>
      <c r="K18" s="28">
        <v>0</v>
      </c>
      <c r="L18" s="28">
        <v>0</v>
      </c>
      <c r="M18" s="29">
        <f t="shared" si="0"/>
        <v>0</v>
      </c>
      <c r="N18" s="28">
        <v>0</v>
      </c>
      <c r="O18" s="28">
        <v>0</v>
      </c>
      <c r="P18" s="28">
        <v>0</v>
      </c>
      <c r="Q18" s="29">
        <f t="shared" si="4"/>
        <v>0</v>
      </c>
      <c r="R18" s="28">
        <v>0</v>
      </c>
      <c r="S18" s="28">
        <v>0</v>
      </c>
      <c r="T18" s="28">
        <v>0</v>
      </c>
      <c r="U18" s="29">
        <f t="shared" si="1"/>
        <v>0</v>
      </c>
      <c r="V18" s="28">
        <v>0</v>
      </c>
      <c r="W18" s="28">
        <v>0</v>
      </c>
      <c r="X18" s="28">
        <v>0</v>
      </c>
      <c r="Y18" s="29">
        <f t="shared" si="2"/>
        <v>0</v>
      </c>
      <c r="Z18" s="30">
        <f t="shared" si="5"/>
        <v>0</v>
      </c>
    </row>
    <row r="19" spans="1:26" ht="15.75" customHeight="1" x14ac:dyDescent="0.25">
      <c r="A19" s="1" t="s">
        <v>201</v>
      </c>
      <c r="B19" s="13" t="s">
        <v>202</v>
      </c>
      <c r="C19" s="1" t="s">
        <v>15</v>
      </c>
      <c r="D19" s="31">
        <v>1</v>
      </c>
      <c r="E19" s="3" t="s">
        <v>16</v>
      </c>
      <c r="F19" s="28">
        <v>0</v>
      </c>
      <c r="G19" s="28">
        <v>0</v>
      </c>
      <c r="H19" s="28">
        <v>0</v>
      </c>
      <c r="I19" s="29">
        <f t="shared" si="3"/>
        <v>0</v>
      </c>
      <c r="J19" s="28">
        <v>0</v>
      </c>
      <c r="K19" s="28">
        <v>0</v>
      </c>
      <c r="L19" s="28">
        <v>0</v>
      </c>
      <c r="M19" s="29">
        <f t="shared" si="0"/>
        <v>0</v>
      </c>
      <c r="N19" s="28">
        <v>0</v>
      </c>
      <c r="O19" s="28">
        <v>0</v>
      </c>
      <c r="P19" s="28">
        <v>0</v>
      </c>
      <c r="Q19" s="29">
        <f t="shared" si="4"/>
        <v>0</v>
      </c>
      <c r="R19" s="28">
        <v>0</v>
      </c>
      <c r="S19" s="28">
        <v>0</v>
      </c>
      <c r="T19" s="28">
        <v>0</v>
      </c>
      <c r="U19" s="29">
        <f t="shared" si="1"/>
        <v>0</v>
      </c>
      <c r="V19" s="28">
        <v>0</v>
      </c>
      <c r="W19" s="28">
        <v>0</v>
      </c>
      <c r="X19" s="28">
        <v>0</v>
      </c>
      <c r="Y19" s="29">
        <f t="shared" si="2"/>
        <v>0</v>
      </c>
      <c r="Z19" s="30">
        <f t="shared" si="5"/>
        <v>0</v>
      </c>
    </row>
    <row r="20" spans="1:26" ht="15.75" customHeight="1" x14ac:dyDescent="0.25">
      <c r="A20" s="1" t="s">
        <v>185</v>
      </c>
      <c r="B20" s="13" t="s">
        <v>186</v>
      </c>
      <c r="C20" s="1" t="s">
        <v>15</v>
      </c>
      <c r="D20" s="31">
        <v>1</v>
      </c>
      <c r="E20" s="3" t="s">
        <v>16</v>
      </c>
      <c r="F20" s="28">
        <v>0</v>
      </c>
      <c r="G20" s="28">
        <v>0</v>
      </c>
      <c r="H20" s="28">
        <v>0</v>
      </c>
      <c r="I20" s="29">
        <f t="shared" si="3"/>
        <v>0</v>
      </c>
      <c r="J20" s="28">
        <v>0</v>
      </c>
      <c r="K20" s="28">
        <v>0</v>
      </c>
      <c r="L20" s="28">
        <v>0</v>
      </c>
      <c r="M20" s="29">
        <f t="shared" si="0"/>
        <v>0</v>
      </c>
      <c r="N20" s="28">
        <v>0</v>
      </c>
      <c r="O20" s="28">
        <v>0</v>
      </c>
      <c r="P20" s="28">
        <v>0</v>
      </c>
      <c r="Q20" s="29">
        <f t="shared" si="4"/>
        <v>0</v>
      </c>
      <c r="R20" s="28">
        <v>0</v>
      </c>
      <c r="S20" s="28">
        <v>0</v>
      </c>
      <c r="T20" s="28">
        <v>0</v>
      </c>
      <c r="U20" s="29">
        <f t="shared" si="1"/>
        <v>0</v>
      </c>
      <c r="V20" s="28">
        <v>0</v>
      </c>
      <c r="W20" s="28">
        <v>0</v>
      </c>
      <c r="X20" s="28">
        <v>0</v>
      </c>
      <c r="Y20" s="29">
        <f t="shared" si="2"/>
        <v>0</v>
      </c>
      <c r="Z20" s="30">
        <f t="shared" si="5"/>
        <v>0</v>
      </c>
    </row>
    <row r="21" spans="1:26" ht="15.75" customHeight="1" x14ac:dyDescent="0.25">
      <c r="A21" s="1" t="s">
        <v>191</v>
      </c>
      <c r="B21" s="13" t="s">
        <v>192</v>
      </c>
      <c r="C21" s="1" t="s">
        <v>15</v>
      </c>
      <c r="D21" s="31">
        <v>1</v>
      </c>
      <c r="E21" s="3" t="s">
        <v>16</v>
      </c>
      <c r="F21" s="28">
        <v>0</v>
      </c>
      <c r="G21" s="28">
        <v>0</v>
      </c>
      <c r="H21" s="28">
        <v>0</v>
      </c>
      <c r="I21" s="29">
        <f t="shared" si="3"/>
        <v>0</v>
      </c>
      <c r="J21" s="28">
        <v>0</v>
      </c>
      <c r="K21" s="28">
        <v>0</v>
      </c>
      <c r="L21" s="28">
        <v>0</v>
      </c>
      <c r="M21" s="29">
        <f t="shared" si="0"/>
        <v>0</v>
      </c>
      <c r="N21" s="28">
        <v>0</v>
      </c>
      <c r="O21" s="28">
        <v>0</v>
      </c>
      <c r="P21" s="28">
        <v>0</v>
      </c>
      <c r="Q21" s="29">
        <f t="shared" si="4"/>
        <v>0</v>
      </c>
      <c r="R21" s="28">
        <v>0</v>
      </c>
      <c r="S21" s="28">
        <v>0</v>
      </c>
      <c r="T21" s="28">
        <v>0</v>
      </c>
      <c r="U21" s="29">
        <f t="shared" si="1"/>
        <v>0</v>
      </c>
      <c r="V21" s="28">
        <v>0</v>
      </c>
      <c r="W21" s="28">
        <v>0</v>
      </c>
      <c r="X21" s="28">
        <v>0</v>
      </c>
      <c r="Y21" s="29">
        <f t="shared" si="2"/>
        <v>0</v>
      </c>
      <c r="Z21" s="30">
        <f t="shared" si="5"/>
        <v>0</v>
      </c>
    </row>
    <row r="22" spans="1:26" ht="15.75" customHeight="1" x14ac:dyDescent="0.25">
      <c r="A22" s="1" t="s">
        <v>189</v>
      </c>
      <c r="B22" s="13" t="s">
        <v>190</v>
      </c>
      <c r="C22" s="1" t="s">
        <v>15</v>
      </c>
      <c r="D22" s="31">
        <v>1</v>
      </c>
      <c r="E22" s="3" t="s">
        <v>16</v>
      </c>
      <c r="F22" s="28">
        <v>0</v>
      </c>
      <c r="G22" s="28">
        <v>0</v>
      </c>
      <c r="H22" s="28">
        <v>0</v>
      </c>
      <c r="I22" s="29">
        <f t="shared" si="3"/>
        <v>0</v>
      </c>
      <c r="J22" s="28">
        <v>0</v>
      </c>
      <c r="K22" s="28">
        <v>0</v>
      </c>
      <c r="L22" s="28">
        <v>0</v>
      </c>
      <c r="M22" s="29">
        <f t="shared" si="0"/>
        <v>0</v>
      </c>
      <c r="N22" s="28">
        <v>0</v>
      </c>
      <c r="O22" s="28">
        <v>0</v>
      </c>
      <c r="P22" s="28">
        <v>0</v>
      </c>
      <c r="Q22" s="29">
        <f t="shared" si="4"/>
        <v>0</v>
      </c>
      <c r="R22" s="28">
        <v>0</v>
      </c>
      <c r="S22" s="28">
        <v>0</v>
      </c>
      <c r="T22" s="28">
        <v>0</v>
      </c>
      <c r="U22" s="29">
        <f t="shared" si="1"/>
        <v>0</v>
      </c>
      <c r="V22" s="28">
        <v>0</v>
      </c>
      <c r="W22" s="28">
        <v>0</v>
      </c>
      <c r="X22" s="28">
        <v>0</v>
      </c>
      <c r="Y22" s="29">
        <f t="shared" si="2"/>
        <v>0</v>
      </c>
      <c r="Z22" s="30">
        <f t="shared" si="5"/>
        <v>0</v>
      </c>
    </row>
    <row r="23" spans="1:26" ht="15.75" customHeight="1" x14ac:dyDescent="0.25">
      <c r="A23" s="1" t="s">
        <v>195</v>
      </c>
      <c r="B23" s="13" t="s">
        <v>196</v>
      </c>
      <c r="C23" s="1" t="s">
        <v>15</v>
      </c>
      <c r="D23" s="31">
        <v>1</v>
      </c>
      <c r="E23" s="3" t="s">
        <v>33</v>
      </c>
      <c r="F23" s="28">
        <v>0</v>
      </c>
      <c r="G23" s="28">
        <v>0</v>
      </c>
      <c r="H23" s="28">
        <v>0</v>
      </c>
      <c r="I23" s="29">
        <f t="shared" ref="I23:I40" si="6">AVERAGE(F23:H23)</f>
        <v>0</v>
      </c>
      <c r="J23" s="28">
        <v>0</v>
      </c>
      <c r="K23" s="28">
        <v>0</v>
      </c>
      <c r="L23" s="28">
        <v>0</v>
      </c>
      <c r="M23" s="29">
        <f t="shared" ref="M23:M40" si="7">AVERAGE(J23:L23)</f>
        <v>0</v>
      </c>
      <c r="N23" s="28">
        <v>0</v>
      </c>
      <c r="O23" s="28">
        <v>0</v>
      </c>
      <c r="P23" s="28">
        <v>0</v>
      </c>
      <c r="Q23" s="29">
        <f t="shared" ref="Q23:Q40" si="8">AVERAGE(N23:P23)</f>
        <v>0</v>
      </c>
      <c r="R23" s="28">
        <v>0</v>
      </c>
      <c r="S23" s="28">
        <v>0</v>
      </c>
      <c r="T23" s="28">
        <v>0</v>
      </c>
      <c r="U23" s="29">
        <f t="shared" ref="U23:U40" si="9">AVERAGE(R23:T23)</f>
        <v>0</v>
      </c>
      <c r="V23" s="28">
        <v>0</v>
      </c>
      <c r="W23" s="28">
        <v>0</v>
      </c>
      <c r="X23" s="28">
        <v>0</v>
      </c>
      <c r="Y23" s="29">
        <f t="shared" ref="Y23:Y40" si="10">AVERAGE(V23:X23)</f>
        <v>0</v>
      </c>
      <c r="Z23" s="30">
        <f t="shared" ref="Z23:Z40" si="11">AVERAGE(I23,M23,Q23,U23,Y23)</f>
        <v>0</v>
      </c>
    </row>
    <row r="24" spans="1:26" ht="15.75" customHeight="1" x14ac:dyDescent="0.25">
      <c r="A24" s="1" t="s">
        <v>165</v>
      </c>
      <c r="B24" s="13" t="s">
        <v>166</v>
      </c>
      <c r="C24" s="1" t="s">
        <v>15</v>
      </c>
      <c r="D24" s="31">
        <v>1</v>
      </c>
      <c r="E24" s="3" t="s">
        <v>33</v>
      </c>
      <c r="F24" s="28">
        <v>0</v>
      </c>
      <c r="G24" s="28">
        <v>0</v>
      </c>
      <c r="H24" s="28">
        <v>0</v>
      </c>
      <c r="I24" s="29">
        <f t="shared" si="6"/>
        <v>0</v>
      </c>
      <c r="J24" s="28">
        <v>0</v>
      </c>
      <c r="K24" s="28">
        <v>0</v>
      </c>
      <c r="L24" s="28">
        <v>0</v>
      </c>
      <c r="M24" s="29">
        <f t="shared" si="7"/>
        <v>0</v>
      </c>
      <c r="N24" s="28">
        <v>0</v>
      </c>
      <c r="O24" s="28">
        <v>0</v>
      </c>
      <c r="P24" s="28">
        <v>0</v>
      </c>
      <c r="Q24" s="29">
        <f t="shared" si="8"/>
        <v>0</v>
      </c>
      <c r="R24" s="28">
        <v>0</v>
      </c>
      <c r="S24" s="28">
        <v>0</v>
      </c>
      <c r="T24" s="28">
        <v>0</v>
      </c>
      <c r="U24" s="29">
        <f t="shared" si="9"/>
        <v>0</v>
      </c>
      <c r="V24" s="28">
        <v>0</v>
      </c>
      <c r="W24" s="28">
        <v>0</v>
      </c>
      <c r="X24" s="28">
        <v>0</v>
      </c>
      <c r="Y24" s="29">
        <f t="shared" si="10"/>
        <v>0</v>
      </c>
      <c r="Z24" s="30">
        <f t="shared" si="11"/>
        <v>0</v>
      </c>
    </row>
    <row r="25" spans="1:26" ht="15.75" customHeight="1" x14ac:dyDescent="0.25">
      <c r="A25" s="1" t="s">
        <v>161</v>
      </c>
      <c r="B25" s="13" t="s">
        <v>162</v>
      </c>
      <c r="C25" s="1" t="s">
        <v>15</v>
      </c>
      <c r="D25" s="31">
        <v>1</v>
      </c>
      <c r="E25" s="3" t="s">
        <v>33</v>
      </c>
      <c r="F25" s="28">
        <v>0</v>
      </c>
      <c r="G25" s="28">
        <v>0</v>
      </c>
      <c r="H25" s="28">
        <v>0</v>
      </c>
      <c r="I25" s="29">
        <f t="shared" si="6"/>
        <v>0</v>
      </c>
      <c r="J25" s="28">
        <v>0</v>
      </c>
      <c r="K25" s="28">
        <v>0</v>
      </c>
      <c r="L25" s="28">
        <v>0</v>
      </c>
      <c r="M25" s="29">
        <f t="shared" si="7"/>
        <v>0</v>
      </c>
      <c r="N25" s="28">
        <v>0</v>
      </c>
      <c r="O25" s="28">
        <v>0</v>
      </c>
      <c r="P25" s="28">
        <v>0</v>
      </c>
      <c r="Q25" s="29">
        <f t="shared" si="8"/>
        <v>0</v>
      </c>
      <c r="R25" s="28">
        <v>0</v>
      </c>
      <c r="S25" s="28">
        <v>0</v>
      </c>
      <c r="T25" s="28">
        <v>0</v>
      </c>
      <c r="U25" s="29">
        <f t="shared" si="9"/>
        <v>0</v>
      </c>
      <c r="V25" s="28">
        <v>0</v>
      </c>
      <c r="W25" s="28">
        <v>0</v>
      </c>
      <c r="X25" s="28">
        <v>0</v>
      </c>
      <c r="Y25" s="29">
        <f t="shared" si="10"/>
        <v>0</v>
      </c>
      <c r="Z25" s="30">
        <f t="shared" si="11"/>
        <v>0</v>
      </c>
    </row>
    <row r="26" spans="1:26" ht="15.75" customHeight="1" x14ac:dyDescent="0.25">
      <c r="A26" s="1" t="s">
        <v>167</v>
      </c>
      <c r="B26" s="13" t="s">
        <v>168</v>
      </c>
      <c r="C26" s="1" t="s">
        <v>15</v>
      </c>
      <c r="D26" s="31">
        <v>1</v>
      </c>
      <c r="E26" s="3" t="s">
        <v>33</v>
      </c>
      <c r="F26" s="28">
        <v>0</v>
      </c>
      <c r="G26" s="28">
        <v>0</v>
      </c>
      <c r="H26" s="28">
        <v>0</v>
      </c>
      <c r="I26" s="29">
        <f t="shared" si="6"/>
        <v>0</v>
      </c>
      <c r="J26" s="28">
        <v>0</v>
      </c>
      <c r="K26" s="28">
        <v>0</v>
      </c>
      <c r="L26" s="28">
        <v>0</v>
      </c>
      <c r="M26" s="29">
        <f t="shared" si="7"/>
        <v>0</v>
      </c>
      <c r="N26" s="28">
        <v>0</v>
      </c>
      <c r="O26" s="28">
        <v>0</v>
      </c>
      <c r="P26" s="28">
        <v>0</v>
      </c>
      <c r="Q26" s="29">
        <f t="shared" si="8"/>
        <v>0</v>
      </c>
      <c r="R26" s="28">
        <v>0</v>
      </c>
      <c r="S26" s="28">
        <v>0</v>
      </c>
      <c r="T26" s="28">
        <v>0</v>
      </c>
      <c r="U26" s="29">
        <f t="shared" si="9"/>
        <v>0</v>
      </c>
      <c r="V26" s="28">
        <v>0</v>
      </c>
      <c r="W26" s="28">
        <v>0</v>
      </c>
      <c r="X26" s="28">
        <v>0</v>
      </c>
      <c r="Y26" s="29">
        <f t="shared" si="10"/>
        <v>0</v>
      </c>
      <c r="Z26" s="30">
        <f t="shared" si="11"/>
        <v>0</v>
      </c>
    </row>
    <row r="27" spans="1:26" ht="15.75" customHeight="1" x14ac:dyDescent="0.25">
      <c r="A27" s="1" t="s">
        <v>171</v>
      </c>
      <c r="B27" s="13" t="s">
        <v>172</v>
      </c>
      <c r="C27" s="1" t="s">
        <v>15</v>
      </c>
      <c r="D27" s="31">
        <v>1</v>
      </c>
      <c r="E27" s="3" t="s">
        <v>33</v>
      </c>
      <c r="F27" s="28">
        <v>0</v>
      </c>
      <c r="G27" s="28">
        <v>0</v>
      </c>
      <c r="H27" s="28">
        <v>0</v>
      </c>
      <c r="I27" s="29">
        <f t="shared" si="6"/>
        <v>0</v>
      </c>
      <c r="J27" s="28">
        <v>0</v>
      </c>
      <c r="K27" s="28">
        <v>0</v>
      </c>
      <c r="L27" s="28">
        <v>0</v>
      </c>
      <c r="M27" s="29">
        <f t="shared" si="7"/>
        <v>0</v>
      </c>
      <c r="N27" s="28">
        <v>0</v>
      </c>
      <c r="O27" s="28">
        <v>0</v>
      </c>
      <c r="P27" s="28">
        <v>0</v>
      </c>
      <c r="Q27" s="29">
        <f t="shared" si="8"/>
        <v>0</v>
      </c>
      <c r="R27" s="28">
        <v>0</v>
      </c>
      <c r="S27" s="28">
        <v>0</v>
      </c>
      <c r="T27" s="28">
        <v>0</v>
      </c>
      <c r="U27" s="29">
        <f t="shared" si="9"/>
        <v>0</v>
      </c>
      <c r="V27" s="28">
        <v>0</v>
      </c>
      <c r="W27" s="28">
        <v>0</v>
      </c>
      <c r="X27" s="28">
        <v>0</v>
      </c>
      <c r="Y27" s="29">
        <f t="shared" si="10"/>
        <v>0</v>
      </c>
      <c r="Z27" s="30">
        <f t="shared" si="11"/>
        <v>0</v>
      </c>
    </row>
    <row r="28" spans="1:26" ht="15.75" customHeight="1" x14ac:dyDescent="0.25">
      <c r="A28" s="1" t="s">
        <v>199</v>
      </c>
      <c r="B28" s="13" t="s">
        <v>200</v>
      </c>
      <c r="C28" s="1" t="s">
        <v>15</v>
      </c>
      <c r="D28" s="31">
        <v>1</v>
      </c>
      <c r="E28" s="3" t="s">
        <v>33</v>
      </c>
      <c r="F28" s="28">
        <v>0</v>
      </c>
      <c r="G28" s="28">
        <v>0</v>
      </c>
      <c r="H28" s="28">
        <v>0</v>
      </c>
      <c r="I28" s="29">
        <f t="shared" si="6"/>
        <v>0</v>
      </c>
      <c r="J28" s="28">
        <v>0</v>
      </c>
      <c r="K28" s="28">
        <v>0</v>
      </c>
      <c r="L28" s="28">
        <v>0</v>
      </c>
      <c r="M28" s="29">
        <f t="shared" si="7"/>
        <v>0</v>
      </c>
      <c r="N28" s="28">
        <v>0</v>
      </c>
      <c r="O28" s="28">
        <v>0</v>
      </c>
      <c r="P28" s="28">
        <v>0</v>
      </c>
      <c r="Q28" s="29">
        <f t="shared" si="8"/>
        <v>0</v>
      </c>
      <c r="R28" s="28">
        <v>0</v>
      </c>
      <c r="S28" s="28">
        <v>0</v>
      </c>
      <c r="T28" s="28">
        <v>0</v>
      </c>
      <c r="U28" s="29">
        <f t="shared" si="9"/>
        <v>0</v>
      </c>
      <c r="V28" s="28">
        <v>0</v>
      </c>
      <c r="W28" s="28">
        <v>0</v>
      </c>
      <c r="X28" s="28">
        <v>0</v>
      </c>
      <c r="Y28" s="29">
        <f t="shared" si="10"/>
        <v>0</v>
      </c>
      <c r="Z28" s="30">
        <f t="shared" si="11"/>
        <v>0</v>
      </c>
    </row>
    <row r="29" spans="1:26" ht="15.75" customHeight="1" x14ac:dyDescent="0.25">
      <c r="A29" s="1" t="s">
        <v>137</v>
      </c>
      <c r="B29" s="14" t="s">
        <v>138</v>
      </c>
      <c r="C29" s="1" t="s">
        <v>15</v>
      </c>
      <c r="D29" s="31">
        <v>1</v>
      </c>
      <c r="E29" s="3" t="s">
        <v>33</v>
      </c>
      <c r="F29" s="28">
        <v>0</v>
      </c>
      <c r="G29" s="28">
        <v>0</v>
      </c>
      <c r="H29" s="28">
        <v>0</v>
      </c>
      <c r="I29" s="29">
        <f t="shared" si="6"/>
        <v>0</v>
      </c>
      <c r="J29" s="28">
        <v>0</v>
      </c>
      <c r="K29" s="28">
        <v>0</v>
      </c>
      <c r="L29" s="28">
        <v>0</v>
      </c>
      <c r="M29" s="29">
        <f t="shared" si="7"/>
        <v>0</v>
      </c>
      <c r="N29" s="28">
        <v>0</v>
      </c>
      <c r="O29" s="28">
        <v>0</v>
      </c>
      <c r="P29" s="28">
        <v>0</v>
      </c>
      <c r="Q29" s="29">
        <f t="shared" si="8"/>
        <v>0</v>
      </c>
      <c r="R29" s="28">
        <v>0</v>
      </c>
      <c r="S29" s="28">
        <v>0</v>
      </c>
      <c r="T29" s="28">
        <v>0</v>
      </c>
      <c r="U29" s="29">
        <f t="shared" si="9"/>
        <v>0</v>
      </c>
      <c r="V29" s="28">
        <v>0</v>
      </c>
      <c r="W29" s="28">
        <v>0</v>
      </c>
      <c r="X29" s="28">
        <v>0</v>
      </c>
      <c r="Y29" s="29">
        <f t="shared" si="10"/>
        <v>0</v>
      </c>
      <c r="Z29" s="30">
        <f t="shared" si="11"/>
        <v>0</v>
      </c>
    </row>
    <row r="30" spans="1:26" ht="15.75" customHeight="1" x14ac:dyDescent="0.25">
      <c r="A30" s="1" t="s">
        <v>147</v>
      </c>
      <c r="B30" s="13" t="s">
        <v>148</v>
      </c>
      <c r="C30" s="1" t="s">
        <v>15</v>
      </c>
      <c r="D30" s="31">
        <v>1</v>
      </c>
      <c r="E30" s="3" t="s">
        <v>33</v>
      </c>
      <c r="F30" s="28">
        <v>0</v>
      </c>
      <c r="G30" s="28">
        <v>0</v>
      </c>
      <c r="H30" s="28">
        <v>0</v>
      </c>
      <c r="I30" s="29">
        <f t="shared" si="6"/>
        <v>0</v>
      </c>
      <c r="J30" s="28">
        <v>0</v>
      </c>
      <c r="K30" s="28">
        <v>0</v>
      </c>
      <c r="L30" s="28">
        <v>0</v>
      </c>
      <c r="M30" s="29">
        <f t="shared" si="7"/>
        <v>0</v>
      </c>
      <c r="N30" s="28">
        <v>0</v>
      </c>
      <c r="O30" s="28">
        <v>0</v>
      </c>
      <c r="P30" s="28">
        <v>0</v>
      </c>
      <c r="Q30" s="29">
        <f t="shared" si="8"/>
        <v>0</v>
      </c>
      <c r="R30" s="28">
        <v>0</v>
      </c>
      <c r="S30" s="28">
        <v>0</v>
      </c>
      <c r="T30" s="28">
        <v>0</v>
      </c>
      <c r="U30" s="29">
        <f t="shared" si="9"/>
        <v>0</v>
      </c>
      <c r="V30" s="28">
        <v>0</v>
      </c>
      <c r="W30" s="28">
        <v>0</v>
      </c>
      <c r="X30" s="28">
        <v>0</v>
      </c>
      <c r="Y30" s="29">
        <f t="shared" si="10"/>
        <v>0</v>
      </c>
      <c r="Z30" s="30">
        <f t="shared" si="11"/>
        <v>0</v>
      </c>
    </row>
    <row r="31" spans="1:26" ht="15.75" customHeight="1" x14ac:dyDescent="0.25">
      <c r="A31" s="1" t="s">
        <v>175</v>
      </c>
      <c r="B31" s="13" t="s">
        <v>176</v>
      </c>
      <c r="C31" s="1" t="s">
        <v>15</v>
      </c>
      <c r="D31" s="31">
        <v>1</v>
      </c>
      <c r="E31" s="3" t="s">
        <v>33</v>
      </c>
      <c r="F31" s="28">
        <v>0</v>
      </c>
      <c r="G31" s="28">
        <v>0</v>
      </c>
      <c r="H31" s="28">
        <v>0</v>
      </c>
      <c r="I31" s="29">
        <f t="shared" si="6"/>
        <v>0</v>
      </c>
      <c r="J31" s="28">
        <v>0</v>
      </c>
      <c r="K31" s="28">
        <v>0</v>
      </c>
      <c r="L31" s="28">
        <v>0</v>
      </c>
      <c r="M31" s="29">
        <f t="shared" si="7"/>
        <v>0</v>
      </c>
      <c r="N31" s="28">
        <v>0</v>
      </c>
      <c r="O31" s="28">
        <v>0</v>
      </c>
      <c r="P31" s="28">
        <v>0</v>
      </c>
      <c r="Q31" s="29">
        <f t="shared" si="8"/>
        <v>0</v>
      </c>
      <c r="R31" s="28">
        <v>0</v>
      </c>
      <c r="S31" s="28">
        <v>0</v>
      </c>
      <c r="T31" s="28">
        <v>0</v>
      </c>
      <c r="U31" s="29">
        <f t="shared" si="9"/>
        <v>0</v>
      </c>
      <c r="V31" s="28">
        <v>0</v>
      </c>
      <c r="W31" s="28">
        <v>0</v>
      </c>
      <c r="X31" s="28">
        <v>0</v>
      </c>
      <c r="Y31" s="29">
        <f t="shared" si="10"/>
        <v>0</v>
      </c>
      <c r="Z31" s="30">
        <f t="shared" si="11"/>
        <v>0</v>
      </c>
    </row>
    <row r="32" spans="1:26" ht="15.75" customHeight="1" x14ac:dyDescent="0.25">
      <c r="A32" s="1" t="s">
        <v>173</v>
      </c>
      <c r="B32" s="13" t="s">
        <v>174</v>
      </c>
      <c r="C32" s="1" t="s">
        <v>15</v>
      </c>
      <c r="D32" s="31">
        <v>1</v>
      </c>
      <c r="E32" s="3" t="s">
        <v>33</v>
      </c>
      <c r="F32" s="28">
        <v>0</v>
      </c>
      <c r="G32" s="28">
        <v>0</v>
      </c>
      <c r="H32" s="28">
        <v>0</v>
      </c>
      <c r="I32" s="29">
        <f t="shared" si="6"/>
        <v>0</v>
      </c>
      <c r="J32" s="28">
        <v>0</v>
      </c>
      <c r="K32" s="28">
        <v>0</v>
      </c>
      <c r="L32" s="28">
        <v>0</v>
      </c>
      <c r="M32" s="29">
        <f t="shared" si="7"/>
        <v>0</v>
      </c>
      <c r="N32" s="28">
        <v>0</v>
      </c>
      <c r="O32" s="28">
        <v>0</v>
      </c>
      <c r="P32" s="28">
        <v>0</v>
      </c>
      <c r="Q32" s="29">
        <f t="shared" si="8"/>
        <v>0</v>
      </c>
      <c r="R32" s="28">
        <v>0</v>
      </c>
      <c r="S32" s="28">
        <v>0</v>
      </c>
      <c r="T32" s="28">
        <v>0</v>
      </c>
      <c r="U32" s="29">
        <f t="shared" si="9"/>
        <v>0</v>
      </c>
      <c r="V32" s="28">
        <v>0</v>
      </c>
      <c r="W32" s="28">
        <v>0</v>
      </c>
      <c r="X32" s="28">
        <v>0</v>
      </c>
      <c r="Y32" s="29">
        <f t="shared" si="10"/>
        <v>0</v>
      </c>
      <c r="Z32" s="30">
        <f t="shared" si="11"/>
        <v>0</v>
      </c>
    </row>
    <row r="33" spans="1:26" ht="15.75" customHeight="1" x14ac:dyDescent="0.25">
      <c r="A33" s="1" t="s">
        <v>177</v>
      </c>
      <c r="B33" s="13" t="s">
        <v>178</v>
      </c>
      <c r="C33" s="1" t="s">
        <v>15</v>
      </c>
      <c r="D33" s="31">
        <v>1</v>
      </c>
      <c r="E33" s="3" t="s">
        <v>33</v>
      </c>
      <c r="F33" s="28">
        <v>0</v>
      </c>
      <c r="G33" s="28">
        <v>0</v>
      </c>
      <c r="H33" s="28">
        <v>0</v>
      </c>
      <c r="I33" s="29">
        <f t="shared" si="6"/>
        <v>0</v>
      </c>
      <c r="J33" s="28">
        <v>0</v>
      </c>
      <c r="K33" s="28">
        <v>0</v>
      </c>
      <c r="L33" s="28">
        <v>0</v>
      </c>
      <c r="M33" s="29">
        <f t="shared" si="7"/>
        <v>0</v>
      </c>
      <c r="N33" s="28">
        <v>0</v>
      </c>
      <c r="O33" s="28">
        <v>0</v>
      </c>
      <c r="P33" s="28">
        <v>0</v>
      </c>
      <c r="Q33" s="29">
        <f t="shared" si="8"/>
        <v>0</v>
      </c>
      <c r="R33" s="28">
        <v>0</v>
      </c>
      <c r="S33" s="28">
        <v>0</v>
      </c>
      <c r="T33" s="28">
        <v>0</v>
      </c>
      <c r="U33" s="29">
        <f t="shared" si="9"/>
        <v>0</v>
      </c>
      <c r="V33" s="28">
        <v>0</v>
      </c>
      <c r="W33" s="28">
        <v>0</v>
      </c>
      <c r="X33" s="28">
        <v>0</v>
      </c>
      <c r="Y33" s="29">
        <f t="shared" si="10"/>
        <v>0</v>
      </c>
      <c r="Z33" s="30">
        <f t="shared" si="11"/>
        <v>0</v>
      </c>
    </row>
    <row r="34" spans="1:26" ht="15.75" customHeight="1" x14ac:dyDescent="0.25">
      <c r="A34" s="2" t="s">
        <v>163</v>
      </c>
      <c r="B34" s="3" t="s">
        <v>164</v>
      </c>
      <c r="C34" s="1" t="s">
        <v>15</v>
      </c>
      <c r="D34" s="31">
        <v>1</v>
      </c>
      <c r="E34" s="3" t="s">
        <v>33</v>
      </c>
      <c r="F34" s="28">
        <v>0</v>
      </c>
      <c r="G34" s="28">
        <v>0</v>
      </c>
      <c r="H34" s="28">
        <v>0</v>
      </c>
      <c r="I34" s="29">
        <f t="shared" si="6"/>
        <v>0</v>
      </c>
      <c r="J34" s="28">
        <v>0</v>
      </c>
      <c r="K34" s="28">
        <v>0</v>
      </c>
      <c r="L34" s="28">
        <v>0</v>
      </c>
      <c r="M34" s="29">
        <f t="shared" si="7"/>
        <v>0</v>
      </c>
      <c r="N34" s="28">
        <v>0</v>
      </c>
      <c r="O34" s="28">
        <v>0</v>
      </c>
      <c r="P34" s="28">
        <v>0</v>
      </c>
      <c r="Q34" s="29">
        <f t="shared" si="8"/>
        <v>0</v>
      </c>
      <c r="R34" s="28">
        <v>0</v>
      </c>
      <c r="S34" s="28">
        <v>0</v>
      </c>
      <c r="T34" s="28">
        <v>0</v>
      </c>
      <c r="U34" s="29">
        <f t="shared" si="9"/>
        <v>0</v>
      </c>
      <c r="V34" s="28">
        <v>0</v>
      </c>
      <c r="W34" s="28">
        <v>0</v>
      </c>
      <c r="X34" s="28">
        <v>0</v>
      </c>
      <c r="Y34" s="29">
        <f t="shared" si="10"/>
        <v>0</v>
      </c>
      <c r="Z34" s="30">
        <f t="shared" si="11"/>
        <v>0</v>
      </c>
    </row>
    <row r="35" spans="1:26" ht="15.75" customHeight="1" x14ac:dyDescent="0.25">
      <c r="A35" s="1" t="s">
        <v>157</v>
      </c>
      <c r="B35" s="13" t="s">
        <v>158</v>
      </c>
      <c r="C35" s="1" t="s">
        <v>15</v>
      </c>
      <c r="D35" s="31">
        <v>1</v>
      </c>
      <c r="E35" s="3" t="s">
        <v>33</v>
      </c>
      <c r="F35" s="28">
        <v>0</v>
      </c>
      <c r="G35" s="28">
        <v>0</v>
      </c>
      <c r="H35" s="28">
        <v>0</v>
      </c>
      <c r="I35" s="29">
        <f t="shared" si="6"/>
        <v>0</v>
      </c>
      <c r="J35" s="28">
        <v>0</v>
      </c>
      <c r="K35" s="28">
        <v>0</v>
      </c>
      <c r="L35" s="28">
        <v>0</v>
      </c>
      <c r="M35" s="29">
        <f t="shared" si="7"/>
        <v>0</v>
      </c>
      <c r="N35" s="28">
        <v>0</v>
      </c>
      <c r="O35" s="28">
        <v>0</v>
      </c>
      <c r="P35" s="28">
        <v>0</v>
      </c>
      <c r="Q35" s="29">
        <f t="shared" si="8"/>
        <v>0</v>
      </c>
      <c r="R35" s="28">
        <v>0</v>
      </c>
      <c r="S35" s="28">
        <v>0</v>
      </c>
      <c r="T35" s="28">
        <v>0</v>
      </c>
      <c r="U35" s="29">
        <f t="shared" si="9"/>
        <v>0</v>
      </c>
      <c r="V35" s="28">
        <v>0</v>
      </c>
      <c r="W35" s="28">
        <v>0</v>
      </c>
      <c r="X35" s="28">
        <v>0</v>
      </c>
      <c r="Y35" s="29">
        <f t="shared" si="10"/>
        <v>0</v>
      </c>
      <c r="Z35" s="30">
        <f t="shared" si="11"/>
        <v>0</v>
      </c>
    </row>
    <row r="36" spans="1:26" ht="15.75" customHeight="1" x14ac:dyDescent="0.25">
      <c r="A36" s="1" t="s">
        <v>159</v>
      </c>
      <c r="B36" s="13" t="s">
        <v>160</v>
      </c>
      <c r="C36" s="1" t="s">
        <v>15</v>
      </c>
      <c r="D36" s="31">
        <v>1</v>
      </c>
      <c r="E36" s="3" t="s">
        <v>33</v>
      </c>
      <c r="F36" s="28">
        <v>0</v>
      </c>
      <c r="G36" s="28">
        <v>0</v>
      </c>
      <c r="H36" s="28">
        <v>0</v>
      </c>
      <c r="I36" s="29">
        <f t="shared" si="6"/>
        <v>0</v>
      </c>
      <c r="J36" s="28">
        <v>0</v>
      </c>
      <c r="K36" s="28">
        <v>0</v>
      </c>
      <c r="L36" s="28">
        <v>0</v>
      </c>
      <c r="M36" s="29">
        <f t="shared" si="7"/>
        <v>0</v>
      </c>
      <c r="N36" s="28">
        <v>0</v>
      </c>
      <c r="O36" s="28">
        <v>0</v>
      </c>
      <c r="P36" s="28">
        <v>0</v>
      </c>
      <c r="Q36" s="29">
        <f t="shared" si="8"/>
        <v>0</v>
      </c>
      <c r="R36" s="28">
        <v>0</v>
      </c>
      <c r="S36" s="28">
        <v>0</v>
      </c>
      <c r="T36" s="28">
        <v>0</v>
      </c>
      <c r="U36" s="29">
        <f t="shared" si="9"/>
        <v>0</v>
      </c>
      <c r="V36" s="28">
        <v>0</v>
      </c>
      <c r="W36" s="28">
        <v>0</v>
      </c>
      <c r="X36" s="28">
        <v>0</v>
      </c>
      <c r="Y36" s="29">
        <f t="shared" si="10"/>
        <v>0</v>
      </c>
      <c r="Z36" s="30">
        <f t="shared" si="11"/>
        <v>0</v>
      </c>
    </row>
    <row r="37" spans="1:26" x14ac:dyDescent="0.25">
      <c r="A37" s="1" t="s">
        <v>155</v>
      </c>
      <c r="B37" s="13" t="s">
        <v>156</v>
      </c>
      <c r="C37" s="1" t="s">
        <v>15</v>
      </c>
      <c r="D37" s="31">
        <v>1</v>
      </c>
      <c r="E37" s="3" t="s">
        <v>33</v>
      </c>
      <c r="F37" s="28">
        <v>0</v>
      </c>
      <c r="G37" s="28">
        <v>0</v>
      </c>
      <c r="H37" s="28">
        <v>0</v>
      </c>
      <c r="I37" s="29">
        <f t="shared" si="6"/>
        <v>0</v>
      </c>
      <c r="J37" s="28">
        <v>0</v>
      </c>
      <c r="K37" s="28">
        <v>0</v>
      </c>
      <c r="L37" s="28">
        <v>0</v>
      </c>
      <c r="M37" s="29">
        <f t="shared" si="7"/>
        <v>0</v>
      </c>
      <c r="N37" s="28">
        <v>0</v>
      </c>
      <c r="O37" s="28">
        <v>0</v>
      </c>
      <c r="P37" s="28">
        <v>0</v>
      </c>
      <c r="Q37" s="29">
        <f t="shared" si="8"/>
        <v>0</v>
      </c>
      <c r="R37" s="28">
        <v>0</v>
      </c>
      <c r="S37" s="28">
        <v>0</v>
      </c>
      <c r="T37" s="28">
        <v>0</v>
      </c>
      <c r="U37" s="29">
        <f t="shared" si="9"/>
        <v>0</v>
      </c>
      <c r="V37" s="28">
        <v>0</v>
      </c>
      <c r="W37" s="28">
        <v>0</v>
      </c>
      <c r="X37" s="28">
        <v>0</v>
      </c>
      <c r="Y37" s="29">
        <f t="shared" si="10"/>
        <v>0</v>
      </c>
      <c r="Z37" s="30">
        <f t="shared" si="11"/>
        <v>0</v>
      </c>
    </row>
    <row r="38" spans="1:26" x14ac:dyDescent="0.25">
      <c r="A38" s="1" t="s">
        <v>143</v>
      </c>
      <c r="B38" s="13" t="s">
        <v>144</v>
      </c>
      <c r="C38" s="1" t="s">
        <v>15</v>
      </c>
      <c r="D38" s="31">
        <v>1</v>
      </c>
      <c r="E38" s="3" t="s">
        <v>33</v>
      </c>
      <c r="F38" s="28">
        <v>0</v>
      </c>
      <c r="G38" s="28">
        <v>0</v>
      </c>
      <c r="H38" s="28">
        <v>0</v>
      </c>
      <c r="I38" s="29">
        <f t="shared" si="6"/>
        <v>0</v>
      </c>
      <c r="J38" s="28">
        <v>0</v>
      </c>
      <c r="K38" s="28">
        <v>0</v>
      </c>
      <c r="L38" s="28">
        <v>0</v>
      </c>
      <c r="M38" s="29">
        <f t="shared" si="7"/>
        <v>0</v>
      </c>
      <c r="N38" s="28">
        <v>0</v>
      </c>
      <c r="O38" s="28">
        <v>0</v>
      </c>
      <c r="P38" s="28">
        <v>0</v>
      </c>
      <c r="Q38" s="29">
        <f t="shared" si="8"/>
        <v>0</v>
      </c>
      <c r="R38" s="28">
        <v>0</v>
      </c>
      <c r="S38" s="28">
        <v>0</v>
      </c>
      <c r="T38" s="28">
        <v>0</v>
      </c>
      <c r="U38" s="29">
        <f t="shared" si="9"/>
        <v>0</v>
      </c>
      <c r="V38" s="28">
        <v>0</v>
      </c>
      <c r="W38" s="28">
        <v>0</v>
      </c>
      <c r="X38" s="28">
        <v>0</v>
      </c>
      <c r="Y38" s="29">
        <f t="shared" si="10"/>
        <v>0</v>
      </c>
      <c r="Z38" s="30">
        <f t="shared" si="11"/>
        <v>0</v>
      </c>
    </row>
    <row r="39" spans="1:26" x14ac:dyDescent="0.25">
      <c r="A39" s="1" t="s">
        <v>153</v>
      </c>
      <c r="B39" s="13" t="s">
        <v>154</v>
      </c>
      <c r="C39" s="1" t="s">
        <v>15</v>
      </c>
      <c r="D39" s="31">
        <v>1</v>
      </c>
      <c r="E39" s="3" t="s">
        <v>33</v>
      </c>
      <c r="F39" s="28">
        <v>0</v>
      </c>
      <c r="G39" s="28">
        <v>0</v>
      </c>
      <c r="H39" s="28">
        <v>0</v>
      </c>
      <c r="I39" s="29">
        <f t="shared" si="6"/>
        <v>0</v>
      </c>
      <c r="J39" s="28">
        <v>0</v>
      </c>
      <c r="K39" s="28">
        <v>0</v>
      </c>
      <c r="L39" s="28">
        <v>0</v>
      </c>
      <c r="M39" s="29">
        <f t="shared" si="7"/>
        <v>0</v>
      </c>
      <c r="N39" s="28">
        <v>0</v>
      </c>
      <c r="O39" s="28">
        <v>0</v>
      </c>
      <c r="P39" s="28">
        <v>0</v>
      </c>
      <c r="Q39" s="29">
        <f t="shared" si="8"/>
        <v>0</v>
      </c>
      <c r="R39" s="28">
        <v>0</v>
      </c>
      <c r="S39" s="28">
        <v>0</v>
      </c>
      <c r="T39" s="28">
        <v>0</v>
      </c>
      <c r="U39" s="29">
        <f t="shared" si="9"/>
        <v>0</v>
      </c>
      <c r="V39" s="28">
        <v>0</v>
      </c>
      <c r="W39" s="28">
        <v>0</v>
      </c>
      <c r="X39" s="28">
        <v>0</v>
      </c>
      <c r="Y39" s="29">
        <f t="shared" si="10"/>
        <v>0</v>
      </c>
      <c r="Z39" s="30">
        <f t="shared" si="11"/>
        <v>0</v>
      </c>
    </row>
    <row r="40" spans="1:26" x14ac:dyDescent="0.25">
      <c r="A40" s="1" t="s">
        <v>169</v>
      </c>
      <c r="B40" s="13" t="s">
        <v>170</v>
      </c>
      <c r="C40" s="1" t="s">
        <v>15</v>
      </c>
      <c r="D40" s="31">
        <v>1</v>
      </c>
      <c r="E40" s="3" t="s">
        <v>33</v>
      </c>
      <c r="F40" s="28">
        <v>0</v>
      </c>
      <c r="G40" s="28">
        <v>0</v>
      </c>
      <c r="H40" s="28">
        <v>0</v>
      </c>
      <c r="I40" s="29">
        <f t="shared" si="6"/>
        <v>0</v>
      </c>
      <c r="J40" s="28">
        <v>0</v>
      </c>
      <c r="K40" s="28">
        <v>0</v>
      </c>
      <c r="L40" s="28">
        <v>0</v>
      </c>
      <c r="M40" s="29">
        <f t="shared" si="7"/>
        <v>0</v>
      </c>
      <c r="N40" s="28">
        <v>0</v>
      </c>
      <c r="O40" s="28">
        <v>0</v>
      </c>
      <c r="P40" s="28">
        <v>0</v>
      </c>
      <c r="Q40" s="29">
        <f t="shared" si="8"/>
        <v>0</v>
      </c>
      <c r="R40" s="28">
        <v>0</v>
      </c>
      <c r="S40" s="28">
        <v>0</v>
      </c>
      <c r="T40" s="28">
        <v>0</v>
      </c>
      <c r="U40" s="29">
        <f t="shared" si="9"/>
        <v>0</v>
      </c>
      <c r="V40" s="28">
        <v>0</v>
      </c>
      <c r="W40" s="28">
        <v>0</v>
      </c>
      <c r="X40" s="28">
        <v>0</v>
      </c>
      <c r="Y40" s="29">
        <f t="shared" si="10"/>
        <v>0</v>
      </c>
      <c r="Z40" s="30">
        <f t="shared" si="11"/>
        <v>0</v>
      </c>
    </row>
  </sheetData>
  <sortState xmlns:xlrd2="http://schemas.microsoft.com/office/spreadsheetml/2017/richdata2" ref="A3:E40">
    <sortCondition ref="E1:E40"/>
  </sortState>
  <mergeCells count="5">
    <mergeCell ref="N1:Q1"/>
    <mergeCell ref="R1:U1"/>
    <mergeCell ref="V1:Y1"/>
    <mergeCell ref="F1:I1"/>
    <mergeCell ref="J1:M1"/>
  </mergeCells>
  <conditionalFormatting sqref="F3:H40">
    <cfRule type="cellIs" dxfId="972" priority="53" operator="lessThan">
      <formula>7.9</formula>
    </cfRule>
  </conditionalFormatting>
  <conditionalFormatting sqref="F3:H40">
    <cfRule type="cellIs" dxfId="971" priority="54" operator="lessThan">
      <formula>7.4</formula>
    </cfRule>
  </conditionalFormatting>
  <conditionalFormatting sqref="F5:H6">
    <cfRule type="cellIs" dxfId="970" priority="55" operator="lessThan">
      <formula>6.9</formula>
    </cfRule>
  </conditionalFormatting>
  <conditionalFormatting sqref="I3:I40">
    <cfRule type="cellIs" dxfId="969" priority="56" operator="lessThan">
      <formula>7.9</formula>
    </cfRule>
    <cfRule type="cellIs" dxfId="968" priority="65" operator="lessThan">
      <formula>6.9</formula>
    </cfRule>
    <cfRule type="cellIs" dxfId="967" priority="66" operator="lessThan">
      <formula>7.4</formula>
    </cfRule>
    <cfRule type="cellIs" dxfId="966" priority="67" operator="lessThan">
      <formula>7.9</formula>
    </cfRule>
  </conditionalFormatting>
  <conditionalFormatting sqref="I3:I40">
    <cfRule type="cellIs" dxfId="965" priority="57" operator="lessThan">
      <formula>6.9</formula>
    </cfRule>
    <cfRule type="cellIs" dxfId="964" priority="58" operator="lessThan">
      <formula>7.4</formula>
    </cfRule>
    <cfRule type="cellIs" dxfId="963" priority="59" operator="lessThan">
      <formula>7.9</formula>
    </cfRule>
    <cfRule type="cellIs" dxfId="962" priority="60" operator="lessThan">
      <formula>6.9</formula>
    </cfRule>
    <cfRule type="cellIs" dxfId="961" priority="61" operator="lessThan">
      <formula>7.9</formula>
    </cfRule>
    <cfRule type="cellIs" dxfId="960" priority="62" operator="lessThan">
      <formula>7.4</formula>
    </cfRule>
    <cfRule type="cellIs" dxfId="959" priority="63" operator="lessThan">
      <formula>6.9</formula>
    </cfRule>
    <cfRule type="cellIs" dxfId="958" priority="64" operator="lessThan">
      <formula>7.9</formula>
    </cfRule>
  </conditionalFormatting>
  <conditionalFormatting sqref="M3:M40">
    <cfRule type="cellIs" dxfId="957" priority="68" operator="lessThan">
      <formula>7.9</formula>
    </cfRule>
    <cfRule type="cellIs" dxfId="956" priority="69" operator="lessThan">
      <formula>6.9</formula>
    </cfRule>
    <cfRule type="cellIs" dxfId="955" priority="70" operator="lessThan">
      <formula>7.4</formula>
    </cfRule>
    <cfRule type="cellIs" dxfId="954" priority="71" operator="lessThan">
      <formula>7.9</formula>
    </cfRule>
    <cfRule type="cellIs" dxfId="953" priority="72" operator="lessThan">
      <formula>6.9</formula>
    </cfRule>
    <cfRule type="cellIs" dxfId="952" priority="73" operator="lessThan">
      <formula>7.9</formula>
    </cfRule>
    <cfRule type="cellIs" dxfId="951" priority="74" operator="lessThan">
      <formula>7.4</formula>
    </cfRule>
    <cfRule type="cellIs" dxfId="950" priority="75" operator="lessThan">
      <formula>6.9</formula>
    </cfRule>
    <cfRule type="cellIs" dxfId="949" priority="76" operator="lessThan">
      <formula>7.9</formula>
    </cfRule>
    <cfRule type="cellIs" dxfId="948" priority="77" operator="lessThan">
      <formula>6.9</formula>
    </cfRule>
    <cfRule type="cellIs" dxfId="947" priority="78" operator="lessThan">
      <formula>7.4</formula>
    </cfRule>
    <cfRule type="cellIs" dxfId="946" priority="79" operator="lessThan">
      <formula>6.9</formula>
    </cfRule>
    <cfRule type="cellIs" dxfId="945" priority="80" operator="lessThan">
      <formula>7.4</formula>
    </cfRule>
    <cfRule type="cellIs" dxfId="944" priority="81" operator="lessThan">
      <formula>7.9</formula>
    </cfRule>
  </conditionalFormatting>
  <conditionalFormatting sqref="J3:L40">
    <cfRule type="cellIs" dxfId="943" priority="50" operator="lessThan">
      <formula>7.9</formula>
    </cfRule>
  </conditionalFormatting>
  <conditionalFormatting sqref="J3:L40">
    <cfRule type="cellIs" dxfId="942" priority="51" operator="lessThan">
      <formula>7.4</formula>
    </cfRule>
  </conditionalFormatting>
  <conditionalFormatting sqref="J5:L6">
    <cfRule type="cellIs" dxfId="941" priority="52" operator="lessThan">
      <formula>6.9</formula>
    </cfRule>
  </conditionalFormatting>
  <conditionalFormatting sqref="N3:P40">
    <cfRule type="cellIs" dxfId="940" priority="21" operator="lessThan">
      <formula>7.9</formula>
    </cfRule>
  </conditionalFormatting>
  <conditionalFormatting sqref="N3:P40">
    <cfRule type="cellIs" dxfId="939" priority="22" operator="lessThan">
      <formula>7.4</formula>
    </cfRule>
  </conditionalFormatting>
  <conditionalFormatting sqref="N5:P6">
    <cfRule type="cellIs" dxfId="938" priority="23" operator="lessThan">
      <formula>6.9</formula>
    </cfRule>
  </conditionalFormatting>
  <conditionalFormatting sqref="Q3:Q40">
    <cfRule type="cellIs" dxfId="937" priority="24" operator="lessThan">
      <formula>7.9</formula>
    </cfRule>
    <cfRule type="cellIs" dxfId="936" priority="33" operator="lessThan">
      <formula>6.9</formula>
    </cfRule>
    <cfRule type="cellIs" dxfId="935" priority="34" operator="lessThan">
      <formula>7.4</formula>
    </cfRule>
    <cfRule type="cellIs" dxfId="934" priority="35" operator="lessThan">
      <formula>7.9</formula>
    </cfRule>
  </conditionalFormatting>
  <conditionalFormatting sqref="Q3:Q40">
    <cfRule type="cellIs" dxfId="933" priority="25" operator="lessThan">
      <formula>6.9</formula>
    </cfRule>
    <cfRule type="cellIs" dxfId="932" priority="26" operator="lessThan">
      <formula>7.4</formula>
    </cfRule>
    <cfRule type="cellIs" dxfId="931" priority="27" operator="lessThan">
      <formula>7.9</formula>
    </cfRule>
    <cfRule type="cellIs" dxfId="930" priority="28" operator="lessThan">
      <formula>6.9</formula>
    </cfRule>
    <cfRule type="cellIs" dxfId="929" priority="29" operator="lessThan">
      <formula>7.9</formula>
    </cfRule>
    <cfRule type="cellIs" dxfId="928" priority="30" operator="lessThan">
      <formula>7.4</formula>
    </cfRule>
    <cfRule type="cellIs" dxfId="927" priority="31" operator="lessThan">
      <formula>6.9</formula>
    </cfRule>
    <cfRule type="cellIs" dxfId="926" priority="32" operator="lessThan">
      <formula>7.9</formula>
    </cfRule>
  </conditionalFormatting>
  <conditionalFormatting sqref="U3:U40">
    <cfRule type="cellIs" dxfId="925" priority="36" operator="lessThan">
      <formula>7.9</formula>
    </cfRule>
    <cfRule type="cellIs" dxfId="924" priority="37" operator="lessThan">
      <formula>6.9</formula>
    </cfRule>
    <cfRule type="cellIs" dxfId="923" priority="38" operator="lessThan">
      <formula>7.4</formula>
    </cfRule>
    <cfRule type="cellIs" dxfId="922" priority="39" operator="lessThan">
      <formula>7.9</formula>
    </cfRule>
    <cfRule type="cellIs" dxfId="921" priority="40" operator="lessThan">
      <formula>6.9</formula>
    </cfRule>
    <cfRule type="cellIs" dxfId="920" priority="41" operator="lessThan">
      <formula>7.9</formula>
    </cfRule>
    <cfRule type="cellIs" dxfId="919" priority="42" operator="lessThan">
      <formula>7.4</formula>
    </cfRule>
    <cfRule type="cellIs" dxfId="918" priority="43" operator="lessThan">
      <formula>6.9</formula>
    </cfRule>
    <cfRule type="cellIs" dxfId="917" priority="44" operator="lessThan">
      <formula>7.9</formula>
    </cfRule>
    <cfRule type="cellIs" dxfId="916" priority="45" operator="lessThan">
      <formula>6.9</formula>
    </cfRule>
    <cfRule type="cellIs" dxfId="915" priority="46" operator="lessThan">
      <formula>7.4</formula>
    </cfRule>
    <cfRule type="cellIs" dxfId="914" priority="47" operator="lessThan">
      <formula>6.9</formula>
    </cfRule>
    <cfRule type="cellIs" dxfId="913" priority="48" operator="lessThan">
      <formula>7.4</formula>
    </cfRule>
    <cfRule type="cellIs" dxfId="912" priority="49" operator="lessThan">
      <formula>7.9</formula>
    </cfRule>
  </conditionalFormatting>
  <conditionalFormatting sqref="R3:T40">
    <cfRule type="cellIs" dxfId="911" priority="18" operator="lessThan">
      <formula>7.9</formula>
    </cfRule>
  </conditionalFormatting>
  <conditionalFormatting sqref="R3:T40">
    <cfRule type="cellIs" dxfId="910" priority="19" operator="lessThan">
      <formula>7.4</formula>
    </cfRule>
  </conditionalFormatting>
  <conditionalFormatting sqref="R5:T6">
    <cfRule type="cellIs" dxfId="909" priority="20" operator="lessThan">
      <formula>6.9</formula>
    </cfRule>
  </conditionalFormatting>
  <conditionalFormatting sqref="Y3:Y40">
    <cfRule type="cellIs" dxfId="908" priority="4" operator="lessThan">
      <formula>7.9</formula>
    </cfRule>
    <cfRule type="cellIs" dxfId="907" priority="5" operator="lessThan">
      <formula>6.9</formula>
    </cfRule>
    <cfRule type="cellIs" dxfId="906" priority="6" operator="lessThan">
      <formula>7.4</formula>
    </cfRule>
    <cfRule type="cellIs" dxfId="905" priority="7" operator="lessThan">
      <formula>7.9</formula>
    </cfRule>
    <cfRule type="cellIs" dxfId="904" priority="8" operator="lessThan">
      <formula>6.9</formula>
    </cfRule>
    <cfRule type="cellIs" dxfId="903" priority="9" operator="lessThan">
      <formula>7.9</formula>
    </cfRule>
    <cfRule type="cellIs" dxfId="902" priority="10" operator="lessThan">
      <formula>7.4</formula>
    </cfRule>
    <cfRule type="cellIs" dxfId="901" priority="11" operator="lessThan">
      <formula>6.9</formula>
    </cfRule>
    <cfRule type="cellIs" dxfId="900" priority="12" operator="lessThan">
      <formula>7.9</formula>
    </cfRule>
    <cfRule type="cellIs" dxfId="899" priority="13" operator="lessThan">
      <formula>6.9</formula>
    </cfRule>
    <cfRule type="cellIs" dxfId="898" priority="14" operator="lessThan">
      <formula>7.4</formula>
    </cfRule>
    <cfRule type="cellIs" dxfId="897" priority="15" operator="lessThan">
      <formula>6.9</formula>
    </cfRule>
    <cfRule type="cellIs" dxfId="896" priority="16" operator="lessThan">
      <formula>7.4</formula>
    </cfRule>
    <cfRule type="cellIs" dxfId="895" priority="17" operator="lessThan">
      <formula>7.9</formula>
    </cfRule>
  </conditionalFormatting>
  <conditionalFormatting sqref="V3:X40">
    <cfRule type="cellIs" dxfId="894" priority="1" operator="lessThan">
      <formula>7.9</formula>
    </cfRule>
  </conditionalFormatting>
  <conditionalFormatting sqref="V3:X40">
    <cfRule type="cellIs" dxfId="893" priority="2" operator="lessThan">
      <formula>7.4</formula>
    </cfRule>
  </conditionalFormatting>
  <conditionalFormatting sqref="V5:X6">
    <cfRule type="cellIs" dxfId="892" priority="3" operator="lessThan">
      <formula>6.9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30"/>
  <sheetViews>
    <sheetView topLeftCell="K1" workbookViewId="0">
      <selection activeCell="F2" sqref="F1:Z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7" max="31" width="3.140625" customWidth="1"/>
  </cols>
  <sheetData>
    <row r="1" spans="1:31" ht="15" x14ac:dyDescent="0.2">
      <c r="A1" s="1"/>
      <c r="B1" s="1"/>
      <c r="C1" s="1"/>
      <c r="D1" s="1"/>
      <c r="E1" s="1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1" t="s">
        <v>122</v>
      </c>
      <c r="O1" s="22"/>
      <c r="P1" s="22"/>
      <c r="Q1" s="23"/>
      <c r="R1" s="21" t="s">
        <v>123</v>
      </c>
      <c r="S1" s="22"/>
      <c r="T1" s="22"/>
      <c r="U1" s="23"/>
      <c r="V1" s="21" t="s">
        <v>124</v>
      </c>
      <c r="W1" s="22"/>
      <c r="X1" s="22"/>
      <c r="Y1" s="23"/>
      <c r="Z1" s="24" t="s">
        <v>2</v>
      </c>
      <c r="AA1" s="11"/>
      <c r="AB1" s="11"/>
      <c r="AC1" s="11"/>
      <c r="AD1" s="11"/>
      <c r="AE1" s="11"/>
    </row>
    <row r="2" spans="1:31" x14ac:dyDescent="0.2">
      <c r="A2" s="1" t="s">
        <v>3</v>
      </c>
      <c r="B2" s="1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5" t="s">
        <v>8</v>
      </c>
      <c r="O2" s="25" t="s">
        <v>9</v>
      </c>
      <c r="P2" s="25" t="s">
        <v>10</v>
      </c>
      <c r="Q2" s="26" t="s">
        <v>11</v>
      </c>
      <c r="R2" s="25" t="s">
        <v>8</v>
      </c>
      <c r="S2" s="25" t="s">
        <v>9</v>
      </c>
      <c r="T2" s="25" t="s">
        <v>10</v>
      </c>
      <c r="U2" s="26" t="s">
        <v>11</v>
      </c>
      <c r="V2" s="25" t="s">
        <v>8</v>
      </c>
      <c r="W2" s="25" t="s">
        <v>9</v>
      </c>
      <c r="X2" s="25" t="s">
        <v>10</v>
      </c>
      <c r="Y2" s="26" t="s">
        <v>11</v>
      </c>
      <c r="Z2" s="24" t="s">
        <v>12</v>
      </c>
      <c r="AA2" s="5"/>
      <c r="AB2" s="5"/>
      <c r="AC2" s="5"/>
      <c r="AD2" s="5"/>
      <c r="AE2" s="5"/>
    </row>
    <row r="3" spans="1:31" ht="15.75" customHeight="1" x14ac:dyDescent="0.25">
      <c r="A3" s="1" t="s">
        <v>238</v>
      </c>
      <c r="B3" s="13" t="s">
        <v>239</v>
      </c>
      <c r="C3" s="1" t="s">
        <v>15</v>
      </c>
      <c r="D3" s="31">
        <v>2</v>
      </c>
      <c r="E3" s="3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30" si="0">AVERAGE(J3:L3)</f>
        <v>0</v>
      </c>
      <c r="N3" s="28">
        <v>0</v>
      </c>
      <c r="O3" s="28">
        <v>0</v>
      </c>
      <c r="P3" s="28">
        <v>0</v>
      </c>
      <c r="Q3" s="29">
        <f>AVERAGE(N3:P3)</f>
        <v>0</v>
      </c>
      <c r="R3" s="28">
        <v>0</v>
      </c>
      <c r="S3" s="28">
        <v>0</v>
      </c>
      <c r="T3" s="28">
        <v>0</v>
      </c>
      <c r="U3" s="29">
        <f t="shared" ref="U3:U30" si="1">AVERAGE(R3:T3)</f>
        <v>0</v>
      </c>
      <c r="V3" s="28">
        <v>0</v>
      </c>
      <c r="W3" s="28">
        <v>0</v>
      </c>
      <c r="X3" s="28">
        <v>0</v>
      </c>
      <c r="Y3" s="29">
        <f t="shared" ref="Y3:Y30" si="2">AVERAGE(V3:X3)</f>
        <v>0</v>
      </c>
      <c r="Z3" s="30">
        <f>AVERAGE(I3,M3,Q3,U3,Y3)</f>
        <v>0</v>
      </c>
      <c r="AA3" s="6"/>
      <c r="AB3" s="6"/>
      <c r="AC3" s="7"/>
      <c r="AD3" s="6"/>
      <c r="AE3" s="7"/>
    </row>
    <row r="4" spans="1:31" ht="15.75" customHeight="1" x14ac:dyDescent="0.25">
      <c r="A4" s="1" t="s">
        <v>215</v>
      </c>
      <c r="B4" s="13" t="s">
        <v>216</v>
      </c>
      <c r="C4" s="1" t="s">
        <v>15</v>
      </c>
      <c r="D4" s="31">
        <v>2</v>
      </c>
      <c r="E4" s="3" t="s">
        <v>16</v>
      </c>
      <c r="F4" s="28">
        <v>0</v>
      </c>
      <c r="G4" s="28">
        <v>0</v>
      </c>
      <c r="H4" s="28">
        <v>0</v>
      </c>
      <c r="I4" s="29">
        <f t="shared" ref="I4:I30" si="3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28">
        <v>0</v>
      </c>
      <c r="O4" s="28">
        <v>0</v>
      </c>
      <c r="P4" s="28">
        <v>0</v>
      </c>
      <c r="Q4" s="29">
        <f t="shared" ref="Q4:Q30" si="4">AVERAGE(N4:P4)</f>
        <v>0</v>
      </c>
      <c r="R4" s="28">
        <v>0</v>
      </c>
      <c r="S4" s="28">
        <v>0</v>
      </c>
      <c r="T4" s="28">
        <v>0</v>
      </c>
      <c r="U4" s="29">
        <f t="shared" si="1"/>
        <v>0</v>
      </c>
      <c r="V4" s="28">
        <v>0</v>
      </c>
      <c r="W4" s="28">
        <v>0</v>
      </c>
      <c r="X4" s="28">
        <v>0</v>
      </c>
      <c r="Y4" s="29">
        <f t="shared" si="2"/>
        <v>0</v>
      </c>
      <c r="Z4" s="30">
        <f t="shared" ref="Z4:Z30" si="5">AVERAGE(I4,M4,Q4,U4,Y4)</f>
        <v>0</v>
      </c>
      <c r="AA4" s="7"/>
      <c r="AB4" s="7"/>
      <c r="AC4" s="7"/>
      <c r="AD4" s="7"/>
      <c r="AE4" s="7"/>
    </row>
    <row r="5" spans="1:31" ht="15.75" customHeight="1" x14ac:dyDescent="0.25">
      <c r="A5" s="1" t="s">
        <v>258</v>
      </c>
      <c r="B5" s="13" t="s">
        <v>259</v>
      </c>
      <c r="C5" s="1" t="s">
        <v>15</v>
      </c>
      <c r="D5" s="31">
        <v>2</v>
      </c>
      <c r="E5" s="3" t="s">
        <v>16</v>
      </c>
      <c r="F5" s="28">
        <v>0</v>
      </c>
      <c r="G5" s="28">
        <v>0</v>
      </c>
      <c r="H5" s="28">
        <v>0</v>
      </c>
      <c r="I5" s="29">
        <f t="shared" si="3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28">
        <v>0</v>
      </c>
      <c r="O5" s="28">
        <v>0</v>
      </c>
      <c r="P5" s="28">
        <v>0</v>
      </c>
      <c r="Q5" s="29">
        <f t="shared" si="4"/>
        <v>0</v>
      </c>
      <c r="R5" s="28">
        <v>0</v>
      </c>
      <c r="S5" s="28">
        <v>0</v>
      </c>
      <c r="T5" s="28">
        <v>0</v>
      </c>
      <c r="U5" s="29">
        <f t="shared" si="1"/>
        <v>0</v>
      </c>
      <c r="V5" s="28">
        <v>0</v>
      </c>
      <c r="W5" s="28">
        <v>0</v>
      </c>
      <c r="X5" s="28">
        <v>0</v>
      </c>
      <c r="Y5" s="29">
        <f t="shared" si="2"/>
        <v>0</v>
      </c>
      <c r="Z5" s="30">
        <f t="shared" si="5"/>
        <v>0</v>
      </c>
      <c r="AA5" s="7"/>
      <c r="AB5" s="7"/>
      <c r="AC5" s="7"/>
      <c r="AD5" s="8"/>
      <c r="AE5" s="7"/>
    </row>
    <row r="6" spans="1:31" ht="15.75" customHeight="1" x14ac:dyDescent="0.25">
      <c r="A6" s="1" t="s">
        <v>248</v>
      </c>
      <c r="B6" s="13" t="s">
        <v>249</v>
      </c>
      <c r="C6" s="1" t="s">
        <v>15</v>
      </c>
      <c r="D6" s="31">
        <v>2</v>
      </c>
      <c r="E6" s="3" t="s">
        <v>16</v>
      </c>
      <c r="F6" s="28">
        <v>0</v>
      </c>
      <c r="G6" s="28">
        <v>0</v>
      </c>
      <c r="H6" s="28">
        <v>0</v>
      </c>
      <c r="I6" s="29">
        <f t="shared" si="3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28">
        <v>0</v>
      </c>
      <c r="O6" s="28">
        <v>0</v>
      </c>
      <c r="P6" s="28">
        <v>0</v>
      </c>
      <c r="Q6" s="29">
        <f t="shared" si="4"/>
        <v>0</v>
      </c>
      <c r="R6" s="28">
        <v>0</v>
      </c>
      <c r="S6" s="28">
        <v>0</v>
      </c>
      <c r="T6" s="28">
        <v>0</v>
      </c>
      <c r="U6" s="29">
        <f t="shared" si="1"/>
        <v>0</v>
      </c>
      <c r="V6" s="28">
        <v>0</v>
      </c>
      <c r="W6" s="28">
        <v>0</v>
      </c>
      <c r="X6" s="28">
        <v>0</v>
      </c>
      <c r="Y6" s="29">
        <f t="shared" si="2"/>
        <v>0</v>
      </c>
      <c r="Z6" s="30">
        <f t="shared" si="5"/>
        <v>0</v>
      </c>
      <c r="AA6" s="7"/>
      <c r="AB6" s="7"/>
      <c r="AC6" s="7"/>
      <c r="AD6" s="8"/>
      <c r="AE6" s="7"/>
    </row>
    <row r="7" spans="1:31" ht="15.75" customHeight="1" x14ac:dyDescent="0.25">
      <c r="A7" s="1" t="s">
        <v>242</v>
      </c>
      <c r="B7" s="13" t="s">
        <v>243</v>
      </c>
      <c r="C7" s="1" t="s">
        <v>15</v>
      </c>
      <c r="D7" s="31">
        <v>2</v>
      </c>
      <c r="E7" s="3" t="s">
        <v>16</v>
      </c>
      <c r="F7" s="28">
        <v>0</v>
      </c>
      <c r="G7" s="28">
        <v>0</v>
      </c>
      <c r="H7" s="28">
        <v>0</v>
      </c>
      <c r="I7" s="29">
        <f t="shared" si="3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28">
        <v>0</v>
      </c>
      <c r="O7" s="28">
        <v>0</v>
      </c>
      <c r="P7" s="28">
        <v>0</v>
      </c>
      <c r="Q7" s="29">
        <f t="shared" si="4"/>
        <v>0</v>
      </c>
      <c r="R7" s="28">
        <v>0</v>
      </c>
      <c r="S7" s="28">
        <v>0</v>
      </c>
      <c r="T7" s="28">
        <v>0</v>
      </c>
      <c r="U7" s="29">
        <f t="shared" si="1"/>
        <v>0</v>
      </c>
      <c r="V7" s="28">
        <v>0</v>
      </c>
      <c r="W7" s="28">
        <v>0</v>
      </c>
      <c r="X7" s="28">
        <v>0</v>
      </c>
      <c r="Y7" s="29">
        <f t="shared" si="2"/>
        <v>0</v>
      </c>
      <c r="Z7" s="30">
        <f t="shared" si="5"/>
        <v>0</v>
      </c>
      <c r="AA7" s="9"/>
      <c r="AB7" s="9"/>
      <c r="AC7" s="6"/>
      <c r="AD7" s="6"/>
      <c r="AE7" s="7"/>
    </row>
    <row r="8" spans="1:31" ht="15.75" customHeight="1" x14ac:dyDescent="0.25">
      <c r="A8" s="1" t="s">
        <v>211</v>
      </c>
      <c r="B8" s="14" t="s">
        <v>212</v>
      </c>
      <c r="C8" s="1" t="s">
        <v>15</v>
      </c>
      <c r="D8" s="31">
        <v>2</v>
      </c>
      <c r="E8" s="3" t="s">
        <v>16</v>
      </c>
      <c r="F8" s="28">
        <v>0</v>
      </c>
      <c r="G8" s="28">
        <v>0</v>
      </c>
      <c r="H8" s="28">
        <v>0</v>
      </c>
      <c r="I8" s="29">
        <f t="shared" si="3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28">
        <v>0</v>
      </c>
      <c r="O8" s="28">
        <v>0</v>
      </c>
      <c r="P8" s="28">
        <v>0</v>
      </c>
      <c r="Q8" s="29">
        <f t="shared" si="4"/>
        <v>0</v>
      </c>
      <c r="R8" s="28">
        <v>0</v>
      </c>
      <c r="S8" s="28">
        <v>0</v>
      </c>
      <c r="T8" s="28">
        <v>0</v>
      </c>
      <c r="U8" s="29">
        <f t="shared" si="1"/>
        <v>0</v>
      </c>
      <c r="V8" s="28">
        <v>0</v>
      </c>
      <c r="W8" s="28">
        <v>0</v>
      </c>
      <c r="X8" s="28">
        <v>0</v>
      </c>
      <c r="Y8" s="29">
        <f t="shared" si="2"/>
        <v>0</v>
      </c>
      <c r="Z8" s="30">
        <f t="shared" si="5"/>
        <v>0</v>
      </c>
      <c r="AA8" s="7"/>
      <c r="AB8" s="7"/>
      <c r="AC8" s="6"/>
      <c r="AD8" s="6"/>
      <c r="AE8" s="7"/>
    </row>
    <row r="9" spans="1:31" ht="15.75" customHeight="1" x14ac:dyDescent="0.25">
      <c r="A9" s="1" t="s">
        <v>203</v>
      </c>
      <c r="B9" s="13" t="s">
        <v>204</v>
      </c>
      <c r="C9" s="1" t="s">
        <v>15</v>
      </c>
      <c r="D9" s="31">
        <v>2</v>
      </c>
      <c r="E9" s="3" t="s">
        <v>16</v>
      </c>
      <c r="F9" s="28">
        <v>0</v>
      </c>
      <c r="G9" s="28">
        <v>0</v>
      </c>
      <c r="H9" s="28">
        <v>0</v>
      </c>
      <c r="I9" s="29">
        <f t="shared" si="3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28">
        <v>0</v>
      </c>
      <c r="O9" s="28">
        <v>0</v>
      </c>
      <c r="P9" s="28">
        <v>0</v>
      </c>
      <c r="Q9" s="29">
        <f t="shared" si="4"/>
        <v>0</v>
      </c>
      <c r="R9" s="28">
        <v>0</v>
      </c>
      <c r="S9" s="28">
        <v>0</v>
      </c>
      <c r="T9" s="28">
        <v>0</v>
      </c>
      <c r="U9" s="29">
        <f t="shared" si="1"/>
        <v>0</v>
      </c>
      <c r="V9" s="28">
        <v>0</v>
      </c>
      <c r="W9" s="28">
        <v>0</v>
      </c>
      <c r="X9" s="28">
        <v>0</v>
      </c>
      <c r="Y9" s="29">
        <f t="shared" si="2"/>
        <v>0</v>
      </c>
      <c r="Z9" s="30">
        <f t="shared" si="5"/>
        <v>0</v>
      </c>
      <c r="AA9" s="6"/>
      <c r="AB9" s="6"/>
      <c r="AC9" s="10"/>
      <c r="AD9" s="8"/>
      <c r="AE9" s="7"/>
    </row>
    <row r="10" spans="1:31" ht="15.75" customHeight="1" x14ac:dyDescent="0.25">
      <c r="A10" s="1" t="s">
        <v>230</v>
      </c>
      <c r="B10" s="13" t="s">
        <v>231</v>
      </c>
      <c r="C10" s="1" t="s">
        <v>15</v>
      </c>
      <c r="D10" s="31">
        <v>2</v>
      </c>
      <c r="E10" s="3" t="s">
        <v>16</v>
      </c>
      <c r="F10" s="28">
        <v>0</v>
      </c>
      <c r="G10" s="28">
        <v>0</v>
      </c>
      <c r="H10" s="28">
        <v>0</v>
      </c>
      <c r="I10" s="29">
        <f t="shared" si="3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28">
        <v>0</v>
      </c>
      <c r="O10" s="28">
        <v>0</v>
      </c>
      <c r="P10" s="28">
        <v>0</v>
      </c>
      <c r="Q10" s="29">
        <f t="shared" si="4"/>
        <v>0</v>
      </c>
      <c r="R10" s="28">
        <v>0</v>
      </c>
      <c r="S10" s="28">
        <v>0</v>
      </c>
      <c r="T10" s="28">
        <v>0</v>
      </c>
      <c r="U10" s="29">
        <f t="shared" si="1"/>
        <v>0</v>
      </c>
      <c r="V10" s="28">
        <v>0</v>
      </c>
      <c r="W10" s="28">
        <v>0</v>
      </c>
      <c r="X10" s="28">
        <v>0</v>
      </c>
      <c r="Y10" s="29">
        <f t="shared" si="2"/>
        <v>0</v>
      </c>
      <c r="Z10" s="30">
        <f t="shared" si="5"/>
        <v>0</v>
      </c>
      <c r="AA10" s="7"/>
      <c r="AB10" s="7"/>
      <c r="AC10" s="7"/>
      <c r="AD10" s="7"/>
      <c r="AE10" s="7"/>
    </row>
    <row r="11" spans="1:31" ht="15.75" customHeight="1" x14ac:dyDescent="0.25">
      <c r="A11" s="1" t="s">
        <v>232</v>
      </c>
      <c r="B11" s="13" t="s">
        <v>233</v>
      </c>
      <c r="C11" s="1" t="s">
        <v>15</v>
      </c>
      <c r="D11" s="31">
        <v>2</v>
      </c>
      <c r="E11" s="3" t="s">
        <v>16</v>
      </c>
      <c r="F11" s="28">
        <v>0</v>
      </c>
      <c r="G11" s="28">
        <v>0</v>
      </c>
      <c r="H11" s="28">
        <v>0</v>
      </c>
      <c r="I11" s="29">
        <f t="shared" si="3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28">
        <v>0</v>
      </c>
      <c r="O11" s="28">
        <v>0</v>
      </c>
      <c r="P11" s="28">
        <v>0</v>
      </c>
      <c r="Q11" s="29">
        <f t="shared" si="4"/>
        <v>0</v>
      </c>
      <c r="R11" s="28">
        <v>0</v>
      </c>
      <c r="S11" s="28">
        <v>0</v>
      </c>
      <c r="T11" s="28">
        <v>0</v>
      </c>
      <c r="U11" s="29">
        <f t="shared" si="1"/>
        <v>0</v>
      </c>
      <c r="V11" s="28">
        <v>0</v>
      </c>
      <c r="W11" s="28">
        <v>0</v>
      </c>
      <c r="X11" s="28">
        <v>0</v>
      </c>
      <c r="Y11" s="29">
        <f t="shared" si="2"/>
        <v>0</v>
      </c>
      <c r="Z11" s="30">
        <f t="shared" si="5"/>
        <v>0</v>
      </c>
      <c r="AA11" s="8"/>
      <c r="AB11" s="8"/>
      <c r="AC11" s="6"/>
      <c r="AD11" s="6"/>
      <c r="AE11" s="7"/>
    </row>
    <row r="12" spans="1:31" ht="15.75" customHeight="1" x14ac:dyDescent="0.25">
      <c r="A12" s="1" t="s">
        <v>246</v>
      </c>
      <c r="B12" s="13" t="s">
        <v>247</v>
      </c>
      <c r="C12" s="1" t="s">
        <v>15</v>
      </c>
      <c r="D12" s="31">
        <v>2</v>
      </c>
      <c r="E12" s="3" t="s">
        <v>16</v>
      </c>
      <c r="F12" s="28">
        <v>0</v>
      </c>
      <c r="G12" s="28">
        <v>0</v>
      </c>
      <c r="H12" s="28">
        <v>0</v>
      </c>
      <c r="I12" s="29">
        <f t="shared" si="3"/>
        <v>0</v>
      </c>
      <c r="J12" s="28">
        <v>0</v>
      </c>
      <c r="K12" s="28">
        <v>0</v>
      </c>
      <c r="L12" s="28">
        <v>0</v>
      </c>
      <c r="M12" s="29">
        <f t="shared" si="0"/>
        <v>0</v>
      </c>
      <c r="N12" s="28">
        <v>0</v>
      </c>
      <c r="O12" s="28">
        <v>0</v>
      </c>
      <c r="P12" s="28">
        <v>0</v>
      </c>
      <c r="Q12" s="29">
        <f t="shared" si="4"/>
        <v>0</v>
      </c>
      <c r="R12" s="28">
        <v>0</v>
      </c>
      <c r="S12" s="28">
        <v>0</v>
      </c>
      <c r="T12" s="28">
        <v>0</v>
      </c>
      <c r="U12" s="29">
        <f t="shared" si="1"/>
        <v>0</v>
      </c>
      <c r="V12" s="28">
        <v>0</v>
      </c>
      <c r="W12" s="28">
        <v>0</v>
      </c>
      <c r="X12" s="28">
        <v>0</v>
      </c>
      <c r="Y12" s="29">
        <f t="shared" si="2"/>
        <v>0</v>
      </c>
      <c r="Z12" s="30">
        <f t="shared" si="5"/>
        <v>0</v>
      </c>
      <c r="AA12" s="8"/>
      <c r="AB12" s="6"/>
      <c r="AC12" s="6"/>
      <c r="AD12" s="10"/>
      <c r="AE12" s="7"/>
    </row>
    <row r="13" spans="1:31" ht="15.75" customHeight="1" x14ac:dyDescent="0.25">
      <c r="A13" s="1" t="s">
        <v>234</v>
      </c>
      <c r="B13" s="13" t="s">
        <v>235</v>
      </c>
      <c r="C13" s="1" t="s">
        <v>15</v>
      </c>
      <c r="D13" s="31">
        <v>2</v>
      </c>
      <c r="E13" s="3" t="s">
        <v>16</v>
      </c>
      <c r="F13" s="28">
        <v>0</v>
      </c>
      <c r="G13" s="28">
        <v>0</v>
      </c>
      <c r="H13" s="28">
        <v>0</v>
      </c>
      <c r="I13" s="29">
        <f t="shared" si="3"/>
        <v>0</v>
      </c>
      <c r="J13" s="28">
        <v>0</v>
      </c>
      <c r="K13" s="28">
        <v>0</v>
      </c>
      <c r="L13" s="28">
        <v>0</v>
      </c>
      <c r="M13" s="29">
        <f t="shared" si="0"/>
        <v>0</v>
      </c>
      <c r="N13" s="28">
        <v>0</v>
      </c>
      <c r="O13" s="28">
        <v>0</v>
      </c>
      <c r="P13" s="28">
        <v>0</v>
      </c>
      <c r="Q13" s="29">
        <f t="shared" si="4"/>
        <v>0</v>
      </c>
      <c r="R13" s="28">
        <v>0</v>
      </c>
      <c r="S13" s="28">
        <v>0</v>
      </c>
      <c r="T13" s="28">
        <v>0</v>
      </c>
      <c r="U13" s="29">
        <f t="shared" si="1"/>
        <v>0</v>
      </c>
      <c r="V13" s="28">
        <v>0</v>
      </c>
      <c r="W13" s="28">
        <v>0</v>
      </c>
      <c r="X13" s="28">
        <v>0</v>
      </c>
      <c r="Y13" s="29">
        <f t="shared" si="2"/>
        <v>0</v>
      </c>
      <c r="Z13" s="30">
        <f t="shared" si="5"/>
        <v>0</v>
      </c>
      <c r="AA13" s="8"/>
      <c r="AB13" s="7"/>
      <c r="AC13" s="7"/>
      <c r="AD13" s="8"/>
      <c r="AE13" s="7"/>
    </row>
    <row r="14" spans="1:31" ht="15.75" customHeight="1" x14ac:dyDescent="0.25">
      <c r="A14" s="1" t="s">
        <v>209</v>
      </c>
      <c r="B14" s="14" t="s">
        <v>210</v>
      </c>
      <c r="C14" s="1" t="s">
        <v>15</v>
      </c>
      <c r="D14" s="31">
        <v>2</v>
      </c>
      <c r="E14" s="3" t="s">
        <v>16</v>
      </c>
      <c r="F14" s="28">
        <v>0</v>
      </c>
      <c r="G14" s="28">
        <v>0</v>
      </c>
      <c r="H14" s="28">
        <v>0</v>
      </c>
      <c r="I14" s="29">
        <f t="shared" si="3"/>
        <v>0</v>
      </c>
      <c r="J14" s="28">
        <v>0</v>
      </c>
      <c r="K14" s="28">
        <v>0</v>
      </c>
      <c r="L14" s="28">
        <v>0</v>
      </c>
      <c r="M14" s="29">
        <f t="shared" si="0"/>
        <v>0</v>
      </c>
      <c r="N14" s="28">
        <v>0</v>
      </c>
      <c r="O14" s="28">
        <v>0</v>
      </c>
      <c r="P14" s="28">
        <v>0</v>
      </c>
      <c r="Q14" s="29">
        <f t="shared" si="4"/>
        <v>0</v>
      </c>
      <c r="R14" s="28">
        <v>0</v>
      </c>
      <c r="S14" s="28">
        <v>0</v>
      </c>
      <c r="T14" s="28">
        <v>0</v>
      </c>
      <c r="U14" s="29">
        <f t="shared" si="1"/>
        <v>0</v>
      </c>
      <c r="V14" s="28">
        <v>0</v>
      </c>
      <c r="W14" s="28">
        <v>0</v>
      </c>
      <c r="X14" s="28">
        <v>0</v>
      </c>
      <c r="Y14" s="29">
        <f t="shared" si="2"/>
        <v>0</v>
      </c>
      <c r="Z14" s="30">
        <f t="shared" si="5"/>
        <v>0</v>
      </c>
      <c r="AA14" s="8"/>
      <c r="AB14" s="8"/>
      <c r="AC14" s="7"/>
      <c r="AD14" s="7"/>
      <c r="AE14" s="7"/>
    </row>
    <row r="15" spans="1:31" ht="15.75" customHeight="1" x14ac:dyDescent="0.25">
      <c r="A15" s="1" t="s">
        <v>236</v>
      </c>
      <c r="B15" s="13" t="s">
        <v>237</v>
      </c>
      <c r="C15" s="1" t="s">
        <v>15</v>
      </c>
      <c r="D15" s="31">
        <v>2</v>
      </c>
      <c r="E15" s="3" t="s">
        <v>16</v>
      </c>
      <c r="F15" s="28">
        <v>0</v>
      </c>
      <c r="G15" s="28">
        <v>0</v>
      </c>
      <c r="H15" s="28">
        <v>0</v>
      </c>
      <c r="I15" s="29">
        <f t="shared" si="3"/>
        <v>0</v>
      </c>
      <c r="J15" s="28">
        <v>0</v>
      </c>
      <c r="K15" s="28">
        <v>0</v>
      </c>
      <c r="L15" s="28">
        <v>0</v>
      </c>
      <c r="M15" s="29">
        <f t="shared" si="0"/>
        <v>0</v>
      </c>
      <c r="N15" s="28">
        <v>0</v>
      </c>
      <c r="O15" s="28">
        <v>0</v>
      </c>
      <c r="P15" s="28">
        <v>0</v>
      </c>
      <c r="Q15" s="29">
        <f t="shared" si="4"/>
        <v>0</v>
      </c>
      <c r="R15" s="28">
        <v>0</v>
      </c>
      <c r="S15" s="28">
        <v>0</v>
      </c>
      <c r="T15" s="28">
        <v>0</v>
      </c>
      <c r="U15" s="29">
        <f t="shared" si="1"/>
        <v>0</v>
      </c>
      <c r="V15" s="28">
        <v>0</v>
      </c>
      <c r="W15" s="28">
        <v>0</v>
      </c>
      <c r="X15" s="28">
        <v>0</v>
      </c>
      <c r="Y15" s="29">
        <f t="shared" si="2"/>
        <v>0</v>
      </c>
      <c r="Z15" s="30">
        <f t="shared" si="5"/>
        <v>0</v>
      </c>
      <c r="AA15" s="10"/>
      <c r="AB15" s="8"/>
      <c r="AC15" s="8"/>
      <c r="AD15" s="6"/>
      <c r="AE15" s="7"/>
    </row>
    <row r="16" spans="1:31" ht="15.75" customHeight="1" x14ac:dyDescent="0.25">
      <c r="A16" s="1" t="s">
        <v>205</v>
      </c>
      <c r="B16" s="13" t="s">
        <v>206</v>
      </c>
      <c r="C16" s="1" t="s">
        <v>15</v>
      </c>
      <c r="D16" s="31">
        <v>2</v>
      </c>
      <c r="E16" s="3" t="s">
        <v>16</v>
      </c>
      <c r="F16" s="28">
        <v>0</v>
      </c>
      <c r="G16" s="28">
        <v>0</v>
      </c>
      <c r="H16" s="28">
        <v>0</v>
      </c>
      <c r="I16" s="29">
        <f t="shared" si="3"/>
        <v>0</v>
      </c>
      <c r="J16" s="28">
        <v>0</v>
      </c>
      <c r="K16" s="28">
        <v>0</v>
      </c>
      <c r="L16" s="28">
        <v>0</v>
      </c>
      <c r="M16" s="29">
        <f t="shared" si="0"/>
        <v>0</v>
      </c>
      <c r="N16" s="28">
        <v>0</v>
      </c>
      <c r="O16" s="28">
        <v>0</v>
      </c>
      <c r="P16" s="28">
        <v>0</v>
      </c>
      <c r="Q16" s="29">
        <f t="shared" si="4"/>
        <v>0</v>
      </c>
      <c r="R16" s="28">
        <v>0</v>
      </c>
      <c r="S16" s="28">
        <v>0</v>
      </c>
      <c r="T16" s="28">
        <v>0</v>
      </c>
      <c r="U16" s="29">
        <f t="shared" si="1"/>
        <v>0</v>
      </c>
      <c r="V16" s="28">
        <v>0</v>
      </c>
      <c r="W16" s="28">
        <v>0</v>
      </c>
      <c r="X16" s="28">
        <v>0</v>
      </c>
      <c r="Y16" s="29">
        <f t="shared" si="2"/>
        <v>0</v>
      </c>
      <c r="Z16" s="30">
        <f t="shared" si="5"/>
        <v>0</v>
      </c>
      <c r="AA16" s="6"/>
      <c r="AB16" s="6"/>
      <c r="AC16" s="7"/>
      <c r="AD16" s="7"/>
      <c r="AE16" s="7"/>
    </row>
    <row r="17" spans="1:31" ht="15.75" customHeight="1" x14ac:dyDescent="0.25">
      <c r="A17" s="1" t="s">
        <v>256</v>
      </c>
      <c r="B17" s="13" t="s">
        <v>257</v>
      </c>
      <c r="C17" s="1" t="s">
        <v>15</v>
      </c>
      <c r="D17" s="31">
        <v>2</v>
      </c>
      <c r="E17" s="3" t="s">
        <v>33</v>
      </c>
      <c r="F17" s="28">
        <v>0</v>
      </c>
      <c r="G17" s="28">
        <v>0</v>
      </c>
      <c r="H17" s="28">
        <v>0</v>
      </c>
      <c r="I17" s="29">
        <f t="shared" si="3"/>
        <v>0</v>
      </c>
      <c r="J17" s="28">
        <v>0</v>
      </c>
      <c r="K17" s="28">
        <v>0</v>
      </c>
      <c r="L17" s="28">
        <v>0</v>
      </c>
      <c r="M17" s="29">
        <f t="shared" si="0"/>
        <v>0</v>
      </c>
      <c r="N17" s="28">
        <v>0</v>
      </c>
      <c r="O17" s="28">
        <v>0</v>
      </c>
      <c r="P17" s="28">
        <v>0</v>
      </c>
      <c r="Q17" s="29">
        <f t="shared" si="4"/>
        <v>0</v>
      </c>
      <c r="R17" s="28">
        <v>0</v>
      </c>
      <c r="S17" s="28">
        <v>0</v>
      </c>
      <c r="T17" s="28">
        <v>0</v>
      </c>
      <c r="U17" s="29">
        <f t="shared" si="1"/>
        <v>0</v>
      </c>
      <c r="V17" s="28">
        <v>0</v>
      </c>
      <c r="W17" s="28">
        <v>0</v>
      </c>
      <c r="X17" s="28">
        <v>0</v>
      </c>
      <c r="Y17" s="29">
        <f t="shared" si="2"/>
        <v>0</v>
      </c>
      <c r="Z17" s="30">
        <f t="shared" si="5"/>
        <v>0</v>
      </c>
      <c r="AA17" s="6"/>
      <c r="AB17" s="6"/>
      <c r="AC17" s="6"/>
      <c r="AD17" s="6"/>
      <c r="AE17" s="7"/>
    </row>
    <row r="18" spans="1:31" ht="15.75" customHeight="1" x14ac:dyDescent="0.25">
      <c r="A18" s="1" t="s">
        <v>252</v>
      </c>
      <c r="B18" s="13" t="s">
        <v>253</v>
      </c>
      <c r="C18" s="1" t="s">
        <v>15</v>
      </c>
      <c r="D18" s="31">
        <v>2</v>
      </c>
      <c r="E18" s="3" t="s">
        <v>33</v>
      </c>
      <c r="F18" s="28">
        <v>0</v>
      </c>
      <c r="G18" s="28">
        <v>0</v>
      </c>
      <c r="H18" s="28">
        <v>0</v>
      </c>
      <c r="I18" s="29">
        <f t="shared" si="3"/>
        <v>0</v>
      </c>
      <c r="J18" s="28">
        <v>0</v>
      </c>
      <c r="K18" s="28">
        <v>0</v>
      </c>
      <c r="L18" s="28">
        <v>0</v>
      </c>
      <c r="M18" s="29">
        <f t="shared" si="0"/>
        <v>0</v>
      </c>
      <c r="N18" s="28">
        <v>0</v>
      </c>
      <c r="O18" s="28">
        <v>0</v>
      </c>
      <c r="P18" s="28">
        <v>0</v>
      </c>
      <c r="Q18" s="29">
        <f t="shared" si="4"/>
        <v>0</v>
      </c>
      <c r="R18" s="28">
        <v>0</v>
      </c>
      <c r="S18" s="28">
        <v>0</v>
      </c>
      <c r="T18" s="28">
        <v>0</v>
      </c>
      <c r="U18" s="29">
        <f t="shared" si="1"/>
        <v>0</v>
      </c>
      <c r="V18" s="28">
        <v>0</v>
      </c>
      <c r="W18" s="28">
        <v>0</v>
      </c>
      <c r="X18" s="28">
        <v>0</v>
      </c>
      <c r="Y18" s="29">
        <f t="shared" si="2"/>
        <v>0</v>
      </c>
      <c r="Z18" s="30">
        <f t="shared" si="5"/>
        <v>0</v>
      </c>
    </row>
    <row r="19" spans="1:31" ht="15.75" customHeight="1" x14ac:dyDescent="0.25">
      <c r="A19" s="1" t="s">
        <v>207</v>
      </c>
      <c r="B19" s="14" t="s">
        <v>208</v>
      </c>
      <c r="C19" s="1" t="s">
        <v>15</v>
      </c>
      <c r="D19" s="31">
        <v>2</v>
      </c>
      <c r="E19" s="3" t="s">
        <v>33</v>
      </c>
      <c r="F19" s="28">
        <v>0</v>
      </c>
      <c r="G19" s="28">
        <v>0</v>
      </c>
      <c r="H19" s="28">
        <v>0</v>
      </c>
      <c r="I19" s="29">
        <f t="shared" si="3"/>
        <v>0</v>
      </c>
      <c r="J19" s="28">
        <v>0</v>
      </c>
      <c r="K19" s="28">
        <v>0</v>
      </c>
      <c r="L19" s="28">
        <v>0</v>
      </c>
      <c r="M19" s="29">
        <f t="shared" si="0"/>
        <v>0</v>
      </c>
      <c r="N19" s="28">
        <v>0</v>
      </c>
      <c r="O19" s="28">
        <v>0</v>
      </c>
      <c r="P19" s="28">
        <v>0</v>
      </c>
      <c r="Q19" s="29">
        <f t="shared" si="4"/>
        <v>0</v>
      </c>
      <c r="R19" s="28">
        <v>0</v>
      </c>
      <c r="S19" s="28">
        <v>0</v>
      </c>
      <c r="T19" s="28">
        <v>0</v>
      </c>
      <c r="U19" s="29">
        <f t="shared" si="1"/>
        <v>0</v>
      </c>
      <c r="V19" s="28">
        <v>0</v>
      </c>
      <c r="W19" s="28">
        <v>0</v>
      </c>
      <c r="X19" s="28">
        <v>0</v>
      </c>
      <c r="Y19" s="29">
        <f t="shared" si="2"/>
        <v>0</v>
      </c>
      <c r="Z19" s="30">
        <f t="shared" si="5"/>
        <v>0</v>
      </c>
    </row>
    <row r="20" spans="1:31" ht="15.75" customHeight="1" x14ac:dyDescent="0.25">
      <c r="A20" s="1" t="s">
        <v>250</v>
      </c>
      <c r="B20" s="13" t="s">
        <v>251</v>
      </c>
      <c r="C20" s="1" t="s">
        <v>15</v>
      </c>
      <c r="D20" s="31">
        <v>2</v>
      </c>
      <c r="E20" s="3" t="s">
        <v>33</v>
      </c>
      <c r="F20" s="28">
        <v>0</v>
      </c>
      <c r="G20" s="28">
        <v>0</v>
      </c>
      <c r="H20" s="28">
        <v>0</v>
      </c>
      <c r="I20" s="29">
        <f t="shared" si="3"/>
        <v>0</v>
      </c>
      <c r="J20" s="28">
        <v>0</v>
      </c>
      <c r="K20" s="28">
        <v>0</v>
      </c>
      <c r="L20" s="28">
        <v>0</v>
      </c>
      <c r="M20" s="29">
        <f t="shared" si="0"/>
        <v>0</v>
      </c>
      <c r="N20" s="28">
        <v>0</v>
      </c>
      <c r="O20" s="28">
        <v>0</v>
      </c>
      <c r="P20" s="28">
        <v>0</v>
      </c>
      <c r="Q20" s="29">
        <f t="shared" si="4"/>
        <v>0</v>
      </c>
      <c r="R20" s="28">
        <v>0</v>
      </c>
      <c r="S20" s="28">
        <v>0</v>
      </c>
      <c r="T20" s="28">
        <v>0</v>
      </c>
      <c r="U20" s="29">
        <f t="shared" si="1"/>
        <v>0</v>
      </c>
      <c r="V20" s="28">
        <v>0</v>
      </c>
      <c r="W20" s="28">
        <v>0</v>
      </c>
      <c r="X20" s="28">
        <v>0</v>
      </c>
      <c r="Y20" s="29">
        <f t="shared" si="2"/>
        <v>0</v>
      </c>
      <c r="Z20" s="30">
        <f t="shared" si="5"/>
        <v>0</v>
      </c>
    </row>
    <row r="21" spans="1:31" ht="15.75" customHeight="1" x14ac:dyDescent="0.25">
      <c r="A21" s="1" t="s">
        <v>226</v>
      </c>
      <c r="B21" s="13" t="s">
        <v>227</v>
      </c>
      <c r="C21" s="1" t="s">
        <v>15</v>
      </c>
      <c r="D21" s="31">
        <v>2</v>
      </c>
      <c r="E21" s="3" t="s">
        <v>33</v>
      </c>
      <c r="F21" s="28">
        <v>0</v>
      </c>
      <c r="G21" s="28">
        <v>0</v>
      </c>
      <c r="H21" s="28">
        <v>0</v>
      </c>
      <c r="I21" s="29">
        <f t="shared" si="3"/>
        <v>0</v>
      </c>
      <c r="J21" s="28">
        <v>0</v>
      </c>
      <c r="K21" s="28">
        <v>0</v>
      </c>
      <c r="L21" s="28">
        <v>0</v>
      </c>
      <c r="M21" s="29">
        <f t="shared" si="0"/>
        <v>0</v>
      </c>
      <c r="N21" s="28">
        <v>0</v>
      </c>
      <c r="O21" s="28">
        <v>0</v>
      </c>
      <c r="P21" s="28">
        <v>0</v>
      </c>
      <c r="Q21" s="29">
        <f t="shared" si="4"/>
        <v>0</v>
      </c>
      <c r="R21" s="28">
        <v>0</v>
      </c>
      <c r="S21" s="28">
        <v>0</v>
      </c>
      <c r="T21" s="28">
        <v>0</v>
      </c>
      <c r="U21" s="29">
        <f t="shared" si="1"/>
        <v>0</v>
      </c>
      <c r="V21" s="28">
        <v>0</v>
      </c>
      <c r="W21" s="28">
        <v>0</v>
      </c>
      <c r="X21" s="28">
        <v>0</v>
      </c>
      <c r="Y21" s="29">
        <f t="shared" si="2"/>
        <v>0</v>
      </c>
      <c r="Z21" s="30">
        <f t="shared" si="5"/>
        <v>0</v>
      </c>
    </row>
    <row r="22" spans="1:31" ht="15.75" customHeight="1" x14ac:dyDescent="0.25">
      <c r="A22" s="1" t="s">
        <v>213</v>
      </c>
      <c r="B22" s="14" t="s">
        <v>214</v>
      </c>
      <c r="C22" s="1" t="s">
        <v>15</v>
      </c>
      <c r="D22" s="31">
        <v>2</v>
      </c>
      <c r="E22" s="3" t="s">
        <v>33</v>
      </c>
      <c r="F22" s="28">
        <v>0</v>
      </c>
      <c r="G22" s="28">
        <v>0</v>
      </c>
      <c r="H22" s="28">
        <v>0</v>
      </c>
      <c r="I22" s="29">
        <f t="shared" si="3"/>
        <v>0</v>
      </c>
      <c r="J22" s="28">
        <v>0</v>
      </c>
      <c r="K22" s="28">
        <v>0</v>
      </c>
      <c r="L22" s="28">
        <v>0</v>
      </c>
      <c r="M22" s="29">
        <f t="shared" si="0"/>
        <v>0</v>
      </c>
      <c r="N22" s="28">
        <v>0</v>
      </c>
      <c r="O22" s="28">
        <v>0</v>
      </c>
      <c r="P22" s="28">
        <v>0</v>
      </c>
      <c r="Q22" s="29">
        <f t="shared" si="4"/>
        <v>0</v>
      </c>
      <c r="R22" s="28">
        <v>0</v>
      </c>
      <c r="S22" s="28">
        <v>0</v>
      </c>
      <c r="T22" s="28">
        <v>0</v>
      </c>
      <c r="U22" s="29">
        <f t="shared" si="1"/>
        <v>0</v>
      </c>
      <c r="V22" s="28">
        <v>0</v>
      </c>
      <c r="W22" s="28">
        <v>0</v>
      </c>
      <c r="X22" s="28">
        <v>0</v>
      </c>
      <c r="Y22" s="29">
        <f t="shared" si="2"/>
        <v>0</v>
      </c>
      <c r="Z22" s="30">
        <f t="shared" si="5"/>
        <v>0</v>
      </c>
    </row>
    <row r="23" spans="1:31" ht="15.75" customHeight="1" x14ac:dyDescent="0.25">
      <c r="A23" s="1" t="s">
        <v>240</v>
      </c>
      <c r="B23" s="13" t="s">
        <v>241</v>
      </c>
      <c r="C23" s="1" t="s">
        <v>15</v>
      </c>
      <c r="D23" s="31">
        <v>2</v>
      </c>
      <c r="E23" s="3" t="s">
        <v>33</v>
      </c>
      <c r="F23" s="28">
        <v>0</v>
      </c>
      <c r="G23" s="28">
        <v>0</v>
      </c>
      <c r="H23" s="28">
        <v>0</v>
      </c>
      <c r="I23" s="29">
        <f t="shared" si="3"/>
        <v>0</v>
      </c>
      <c r="J23" s="28">
        <v>0</v>
      </c>
      <c r="K23" s="28">
        <v>0</v>
      </c>
      <c r="L23" s="28">
        <v>0</v>
      </c>
      <c r="M23" s="29">
        <f t="shared" si="0"/>
        <v>0</v>
      </c>
      <c r="N23" s="28">
        <v>0</v>
      </c>
      <c r="O23" s="28">
        <v>0</v>
      </c>
      <c r="P23" s="28">
        <v>0</v>
      </c>
      <c r="Q23" s="29">
        <f t="shared" si="4"/>
        <v>0</v>
      </c>
      <c r="R23" s="28">
        <v>0</v>
      </c>
      <c r="S23" s="28">
        <v>0</v>
      </c>
      <c r="T23" s="28">
        <v>0</v>
      </c>
      <c r="U23" s="29">
        <f t="shared" si="1"/>
        <v>0</v>
      </c>
      <c r="V23" s="28">
        <v>0</v>
      </c>
      <c r="W23" s="28">
        <v>0</v>
      </c>
      <c r="X23" s="28">
        <v>0</v>
      </c>
      <c r="Y23" s="29">
        <f t="shared" si="2"/>
        <v>0</v>
      </c>
      <c r="Z23" s="30">
        <f t="shared" si="5"/>
        <v>0</v>
      </c>
    </row>
    <row r="24" spans="1:31" ht="15.75" customHeight="1" x14ac:dyDescent="0.25">
      <c r="A24" s="1" t="s">
        <v>224</v>
      </c>
      <c r="B24" s="17" t="s">
        <v>225</v>
      </c>
      <c r="C24" s="1" t="s">
        <v>15</v>
      </c>
      <c r="D24" s="31">
        <v>2</v>
      </c>
      <c r="E24" s="3" t="s">
        <v>33</v>
      </c>
      <c r="F24" s="28">
        <v>0</v>
      </c>
      <c r="G24" s="28">
        <v>0</v>
      </c>
      <c r="H24" s="28">
        <v>0</v>
      </c>
      <c r="I24" s="29">
        <f t="shared" si="3"/>
        <v>0</v>
      </c>
      <c r="J24" s="28">
        <v>0</v>
      </c>
      <c r="K24" s="28">
        <v>0</v>
      </c>
      <c r="L24" s="28">
        <v>0</v>
      </c>
      <c r="M24" s="29">
        <f t="shared" si="0"/>
        <v>0</v>
      </c>
      <c r="N24" s="28">
        <v>0</v>
      </c>
      <c r="O24" s="28">
        <v>0</v>
      </c>
      <c r="P24" s="28">
        <v>0</v>
      </c>
      <c r="Q24" s="29">
        <f t="shared" si="4"/>
        <v>0</v>
      </c>
      <c r="R24" s="28">
        <v>0</v>
      </c>
      <c r="S24" s="28">
        <v>0</v>
      </c>
      <c r="T24" s="28">
        <v>0</v>
      </c>
      <c r="U24" s="29">
        <f t="shared" si="1"/>
        <v>0</v>
      </c>
      <c r="V24" s="28">
        <v>0</v>
      </c>
      <c r="W24" s="28">
        <v>0</v>
      </c>
      <c r="X24" s="28">
        <v>0</v>
      </c>
      <c r="Y24" s="29">
        <f t="shared" si="2"/>
        <v>0</v>
      </c>
      <c r="Z24" s="30">
        <f t="shared" si="5"/>
        <v>0</v>
      </c>
    </row>
    <row r="25" spans="1:31" ht="15.75" customHeight="1" x14ac:dyDescent="0.25">
      <c r="A25" s="1" t="s">
        <v>228</v>
      </c>
      <c r="B25" s="13" t="s">
        <v>229</v>
      </c>
      <c r="C25" s="1" t="s">
        <v>15</v>
      </c>
      <c r="D25" s="31">
        <v>2</v>
      </c>
      <c r="E25" s="3" t="s">
        <v>33</v>
      </c>
      <c r="F25" s="28">
        <v>0</v>
      </c>
      <c r="G25" s="28">
        <v>0</v>
      </c>
      <c r="H25" s="28">
        <v>0</v>
      </c>
      <c r="I25" s="29">
        <f t="shared" si="3"/>
        <v>0</v>
      </c>
      <c r="J25" s="28">
        <v>0</v>
      </c>
      <c r="K25" s="28">
        <v>0</v>
      </c>
      <c r="L25" s="28">
        <v>0</v>
      </c>
      <c r="M25" s="29">
        <f t="shared" si="0"/>
        <v>0</v>
      </c>
      <c r="N25" s="28">
        <v>0</v>
      </c>
      <c r="O25" s="28">
        <v>0</v>
      </c>
      <c r="P25" s="28">
        <v>0</v>
      </c>
      <c r="Q25" s="29">
        <f t="shared" si="4"/>
        <v>0</v>
      </c>
      <c r="R25" s="28">
        <v>0</v>
      </c>
      <c r="S25" s="28">
        <v>0</v>
      </c>
      <c r="T25" s="28">
        <v>0</v>
      </c>
      <c r="U25" s="29">
        <f t="shared" si="1"/>
        <v>0</v>
      </c>
      <c r="V25" s="28">
        <v>0</v>
      </c>
      <c r="W25" s="28">
        <v>0</v>
      </c>
      <c r="X25" s="28">
        <v>0</v>
      </c>
      <c r="Y25" s="29">
        <f t="shared" si="2"/>
        <v>0</v>
      </c>
      <c r="Z25" s="30">
        <f t="shared" si="5"/>
        <v>0</v>
      </c>
    </row>
    <row r="26" spans="1:31" ht="15.75" customHeight="1" x14ac:dyDescent="0.25">
      <c r="A26" s="1" t="s">
        <v>220</v>
      </c>
      <c r="B26" s="14" t="s">
        <v>221</v>
      </c>
      <c r="C26" s="1" t="s">
        <v>15</v>
      </c>
      <c r="D26" s="31">
        <v>2</v>
      </c>
      <c r="E26" s="3" t="s">
        <v>33</v>
      </c>
      <c r="F26" s="28">
        <v>0</v>
      </c>
      <c r="G26" s="28">
        <v>0</v>
      </c>
      <c r="H26" s="28">
        <v>0</v>
      </c>
      <c r="I26" s="29">
        <f t="shared" si="3"/>
        <v>0</v>
      </c>
      <c r="J26" s="28">
        <v>0</v>
      </c>
      <c r="K26" s="28">
        <v>0</v>
      </c>
      <c r="L26" s="28">
        <v>0</v>
      </c>
      <c r="M26" s="29">
        <f t="shared" si="0"/>
        <v>0</v>
      </c>
      <c r="N26" s="28">
        <v>0</v>
      </c>
      <c r="O26" s="28">
        <v>0</v>
      </c>
      <c r="P26" s="28">
        <v>0</v>
      </c>
      <c r="Q26" s="29">
        <f t="shared" si="4"/>
        <v>0</v>
      </c>
      <c r="R26" s="28">
        <v>0</v>
      </c>
      <c r="S26" s="28">
        <v>0</v>
      </c>
      <c r="T26" s="28">
        <v>0</v>
      </c>
      <c r="U26" s="29">
        <f t="shared" si="1"/>
        <v>0</v>
      </c>
      <c r="V26" s="28">
        <v>0</v>
      </c>
      <c r="W26" s="28">
        <v>0</v>
      </c>
      <c r="X26" s="28">
        <v>0</v>
      </c>
      <c r="Y26" s="29">
        <f t="shared" si="2"/>
        <v>0</v>
      </c>
      <c r="Z26" s="30">
        <f t="shared" si="5"/>
        <v>0</v>
      </c>
    </row>
    <row r="27" spans="1:31" ht="15.75" customHeight="1" x14ac:dyDescent="0.25">
      <c r="A27" s="1" t="s">
        <v>254</v>
      </c>
      <c r="B27" s="13" t="s">
        <v>255</v>
      </c>
      <c r="C27" s="1" t="s">
        <v>15</v>
      </c>
      <c r="D27" s="31">
        <v>2</v>
      </c>
      <c r="E27" s="3" t="s">
        <v>33</v>
      </c>
      <c r="F27" s="28">
        <v>0</v>
      </c>
      <c r="G27" s="28">
        <v>0</v>
      </c>
      <c r="H27" s="28">
        <v>0</v>
      </c>
      <c r="I27" s="29">
        <f t="shared" si="3"/>
        <v>0</v>
      </c>
      <c r="J27" s="28">
        <v>0</v>
      </c>
      <c r="K27" s="28">
        <v>0</v>
      </c>
      <c r="L27" s="28">
        <v>0</v>
      </c>
      <c r="M27" s="29">
        <f t="shared" si="0"/>
        <v>0</v>
      </c>
      <c r="N27" s="28">
        <v>0</v>
      </c>
      <c r="O27" s="28">
        <v>0</v>
      </c>
      <c r="P27" s="28">
        <v>0</v>
      </c>
      <c r="Q27" s="29">
        <f t="shared" si="4"/>
        <v>0</v>
      </c>
      <c r="R27" s="28">
        <v>0</v>
      </c>
      <c r="S27" s="28">
        <v>0</v>
      </c>
      <c r="T27" s="28">
        <v>0</v>
      </c>
      <c r="U27" s="29">
        <f t="shared" si="1"/>
        <v>0</v>
      </c>
      <c r="V27" s="28">
        <v>0</v>
      </c>
      <c r="W27" s="28">
        <v>0</v>
      </c>
      <c r="X27" s="28">
        <v>0</v>
      </c>
      <c r="Y27" s="29">
        <f t="shared" si="2"/>
        <v>0</v>
      </c>
      <c r="Z27" s="30">
        <f t="shared" si="5"/>
        <v>0</v>
      </c>
    </row>
    <row r="28" spans="1:31" ht="15.75" customHeight="1" x14ac:dyDescent="0.25">
      <c r="A28" s="1" t="s">
        <v>222</v>
      </c>
      <c r="B28" s="14" t="s">
        <v>223</v>
      </c>
      <c r="C28" s="1" t="s">
        <v>15</v>
      </c>
      <c r="D28" s="31">
        <v>2</v>
      </c>
      <c r="E28" s="3" t="s">
        <v>33</v>
      </c>
      <c r="F28" s="28">
        <v>0</v>
      </c>
      <c r="G28" s="28">
        <v>0</v>
      </c>
      <c r="H28" s="28">
        <v>0</v>
      </c>
      <c r="I28" s="29">
        <f t="shared" si="3"/>
        <v>0</v>
      </c>
      <c r="J28" s="28">
        <v>0</v>
      </c>
      <c r="K28" s="28">
        <v>0</v>
      </c>
      <c r="L28" s="28">
        <v>0</v>
      </c>
      <c r="M28" s="29">
        <f t="shared" si="0"/>
        <v>0</v>
      </c>
      <c r="N28" s="28">
        <v>0</v>
      </c>
      <c r="O28" s="28">
        <v>0</v>
      </c>
      <c r="P28" s="28">
        <v>0</v>
      </c>
      <c r="Q28" s="29">
        <f t="shared" si="4"/>
        <v>0</v>
      </c>
      <c r="R28" s="28">
        <v>0</v>
      </c>
      <c r="S28" s="28">
        <v>0</v>
      </c>
      <c r="T28" s="28">
        <v>0</v>
      </c>
      <c r="U28" s="29">
        <f t="shared" si="1"/>
        <v>0</v>
      </c>
      <c r="V28" s="28">
        <v>0</v>
      </c>
      <c r="W28" s="28">
        <v>0</v>
      </c>
      <c r="X28" s="28">
        <v>0</v>
      </c>
      <c r="Y28" s="29">
        <f t="shared" si="2"/>
        <v>0</v>
      </c>
      <c r="Z28" s="30">
        <f t="shared" si="5"/>
        <v>0</v>
      </c>
    </row>
    <row r="29" spans="1:31" ht="15.75" customHeight="1" x14ac:dyDescent="0.25">
      <c r="A29" s="1" t="s">
        <v>218</v>
      </c>
      <c r="B29" s="14" t="s">
        <v>219</v>
      </c>
      <c r="C29" s="1" t="s">
        <v>15</v>
      </c>
      <c r="D29" s="31">
        <v>2</v>
      </c>
      <c r="E29" s="3" t="s">
        <v>33</v>
      </c>
      <c r="F29" s="28">
        <v>0</v>
      </c>
      <c r="G29" s="28">
        <v>0</v>
      </c>
      <c r="H29" s="28">
        <v>0</v>
      </c>
      <c r="I29" s="29">
        <f t="shared" si="3"/>
        <v>0</v>
      </c>
      <c r="J29" s="28">
        <v>0</v>
      </c>
      <c r="K29" s="28">
        <v>0</v>
      </c>
      <c r="L29" s="28">
        <v>0</v>
      </c>
      <c r="M29" s="29">
        <f t="shared" si="0"/>
        <v>0</v>
      </c>
      <c r="N29" s="28">
        <v>0</v>
      </c>
      <c r="O29" s="28">
        <v>0</v>
      </c>
      <c r="P29" s="28">
        <v>0</v>
      </c>
      <c r="Q29" s="29">
        <f t="shared" si="4"/>
        <v>0</v>
      </c>
      <c r="R29" s="28">
        <v>0</v>
      </c>
      <c r="S29" s="28">
        <v>0</v>
      </c>
      <c r="T29" s="28">
        <v>0</v>
      </c>
      <c r="U29" s="29">
        <f t="shared" si="1"/>
        <v>0</v>
      </c>
      <c r="V29" s="28">
        <v>0</v>
      </c>
      <c r="W29" s="28">
        <v>0</v>
      </c>
      <c r="X29" s="28">
        <v>0</v>
      </c>
      <c r="Y29" s="29">
        <f t="shared" si="2"/>
        <v>0</v>
      </c>
      <c r="Z29" s="30">
        <f t="shared" si="5"/>
        <v>0</v>
      </c>
    </row>
    <row r="30" spans="1:31" ht="15.75" customHeight="1" x14ac:dyDescent="0.25">
      <c r="A30" s="1" t="s">
        <v>244</v>
      </c>
      <c r="B30" s="13" t="s">
        <v>245</v>
      </c>
      <c r="C30" s="1" t="s">
        <v>15</v>
      </c>
      <c r="D30" s="31">
        <v>2</v>
      </c>
      <c r="E30" s="3" t="s">
        <v>33</v>
      </c>
      <c r="F30" s="28">
        <v>0</v>
      </c>
      <c r="G30" s="28">
        <v>0</v>
      </c>
      <c r="H30" s="28">
        <v>0</v>
      </c>
      <c r="I30" s="29">
        <f t="shared" si="3"/>
        <v>0</v>
      </c>
      <c r="J30" s="28">
        <v>0</v>
      </c>
      <c r="K30" s="28">
        <v>0</v>
      </c>
      <c r="L30" s="28">
        <v>0</v>
      </c>
      <c r="M30" s="29">
        <f t="shared" si="0"/>
        <v>0</v>
      </c>
      <c r="N30" s="28">
        <v>0</v>
      </c>
      <c r="O30" s="28">
        <v>0</v>
      </c>
      <c r="P30" s="28">
        <v>0</v>
      </c>
      <c r="Q30" s="29">
        <f t="shared" si="4"/>
        <v>0</v>
      </c>
      <c r="R30" s="28">
        <v>0</v>
      </c>
      <c r="S30" s="28">
        <v>0</v>
      </c>
      <c r="T30" s="28">
        <v>0</v>
      </c>
      <c r="U30" s="29">
        <f t="shared" si="1"/>
        <v>0</v>
      </c>
      <c r="V30" s="28">
        <v>0</v>
      </c>
      <c r="W30" s="28">
        <v>0</v>
      </c>
      <c r="X30" s="28">
        <v>0</v>
      </c>
      <c r="Y30" s="29">
        <f t="shared" si="2"/>
        <v>0</v>
      </c>
      <c r="Z30" s="30">
        <f t="shared" si="5"/>
        <v>0</v>
      </c>
    </row>
  </sheetData>
  <sortState xmlns:xlrd2="http://schemas.microsoft.com/office/spreadsheetml/2017/richdata2" ref="A3:Z30">
    <sortCondition ref="B3:B30"/>
  </sortState>
  <mergeCells count="5">
    <mergeCell ref="F1:I1"/>
    <mergeCell ref="J1:M1"/>
    <mergeCell ref="N1:Q1"/>
    <mergeCell ref="R1:U1"/>
    <mergeCell ref="V1:Y1"/>
  </mergeCells>
  <conditionalFormatting sqref="F3:H30">
    <cfRule type="cellIs" dxfId="891" priority="53" operator="lessThan">
      <formula>7.9</formula>
    </cfRule>
  </conditionalFormatting>
  <conditionalFormatting sqref="F3:H30">
    <cfRule type="cellIs" dxfId="890" priority="54" operator="lessThan">
      <formula>7.4</formula>
    </cfRule>
  </conditionalFormatting>
  <conditionalFormatting sqref="F5:H6">
    <cfRule type="cellIs" dxfId="889" priority="55" operator="lessThan">
      <formula>6.9</formula>
    </cfRule>
  </conditionalFormatting>
  <conditionalFormatting sqref="I3:I30">
    <cfRule type="cellIs" dxfId="888" priority="56" operator="lessThan">
      <formula>7.9</formula>
    </cfRule>
    <cfRule type="cellIs" dxfId="887" priority="65" operator="lessThan">
      <formula>6.9</formula>
    </cfRule>
    <cfRule type="cellIs" dxfId="886" priority="66" operator="lessThan">
      <formula>7.4</formula>
    </cfRule>
    <cfRule type="cellIs" dxfId="885" priority="67" operator="lessThan">
      <formula>7.9</formula>
    </cfRule>
  </conditionalFormatting>
  <conditionalFormatting sqref="I3:I30">
    <cfRule type="cellIs" dxfId="884" priority="57" operator="lessThan">
      <formula>6.9</formula>
    </cfRule>
    <cfRule type="cellIs" dxfId="883" priority="58" operator="lessThan">
      <formula>7.4</formula>
    </cfRule>
    <cfRule type="cellIs" dxfId="882" priority="59" operator="lessThan">
      <formula>7.9</formula>
    </cfRule>
    <cfRule type="cellIs" dxfId="881" priority="60" operator="lessThan">
      <formula>6.9</formula>
    </cfRule>
    <cfRule type="cellIs" dxfId="880" priority="61" operator="lessThan">
      <formula>7.9</formula>
    </cfRule>
    <cfRule type="cellIs" dxfId="879" priority="62" operator="lessThan">
      <formula>7.4</formula>
    </cfRule>
    <cfRule type="cellIs" dxfId="878" priority="63" operator="lessThan">
      <formula>6.9</formula>
    </cfRule>
    <cfRule type="cellIs" dxfId="877" priority="64" operator="lessThan">
      <formula>7.9</formula>
    </cfRule>
  </conditionalFormatting>
  <conditionalFormatting sqref="M3:M30">
    <cfRule type="cellIs" dxfId="876" priority="68" operator="lessThan">
      <formula>7.9</formula>
    </cfRule>
    <cfRule type="cellIs" dxfId="875" priority="69" operator="lessThan">
      <formula>6.9</formula>
    </cfRule>
    <cfRule type="cellIs" dxfId="874" priority="70" operator="lessThan">
      <formula>7.4</formula>
    </cfRule>
    <cfRule type="cellIs" dxfId="873" priority="71" operator="lessThan">
      <formula>7.9</formula>
    </cfRule>
    <cfRule type="cellIs" dxfId="872" priority="72" operator="lessThan">
      <formula>6.9</formula>
    </cfRule>
    <cfRule type="cellIs" dxfId="871" priority="73" operator="lessThan">
      <formula>7.9</formula>
    </cfRule>
    <cfRule type="cellIs" dxfId="870" priority="74" operator="lessThan">
      <formula>7.4</formula>
    </cfRule>
    <cfRule type="cellIs" dxfId="869" priority="75" operator="lessThan">
      <formula>6.9</formula>
    </cfRule>
    <cfRule type="cellIs" dxfId="868" priority="76" operator="lessThan">
      <formula>7.9</formula>
    </cfRule>
    <cfRule type="cellIs" dxfId="867" priority="77" operator="lessThan">
      <formula>6.9</formula>
    </cfRule>
    <cfRule type="cellIs" dxfId="866" priority="78" operator="lessThan">
      <formula>7.4</formula>
    </cfRule>
    <cfRule type="cellIs" dxfId="865" priority="79" operator="lessThan">
      <formula>6.9</formula>
    </cfRule>
    <cfRule type="cellIs" dxfId="864" priority="80" operator="lessThan">
      <formula>7.4</formula>
    </cfRule>
    <cfRule type="cellIs" dxfId="863" priority="81" operator="lessThan">
      <formula>7.9</formula>
    </cfRule>
  </conditionalFormatting>
  <conditionalFormatting sqref="J3:L30">
    <cfRule type="cellIs" dxfId="862" priority="50" operator="lessThan">
      <formula>7.9</formula>
    </cfRule>
  </conditionalFormatting>
  <conditionalFormatting sqref="J3:L30">
    <cfRule type="cellIs" dxfId="861" priority="51" operator="lessThan">
      <formula>7.4</formula>
    </cfRule>
  </conditionalFormatting>
  <conditionalFormatting sqref="J5:L6">
    <cfRule type="cellIs" dxfId="860" priority="52" operator="lessThan">
      <formula>6.9</formula>
    </cfRule>
  </conditionalFormatting>
  <conditionalFormatting sqref="N3:P30">
    <cfRule type="cellIs" dxfId="859" priority="21" operator="lessThan">
      <formula>7.9</formula>
    </cfRule>
  </conditionalFormatting>
  <conditionalFormatting sqref="N3:P30">
    <cfRule type="cellIs" dxfId="858" priority="22" operator="lessThan">
      <formula>7.4</formula>
    </cfRule>
  </conditionalFormatting>
  <conditionalFormatting sqref="N5:P6">
    <cfRule type="cellIs" dxfId="857" priority="23" operator="lessThan">
      <formula>6.9</formula>
    </cfRule>
  </conditionalFormatting>
  <conditionalFormatting sqref="Q3:Q30">
    <cfRule type="cellIs" dxfId="856" priority="24" operator="lessThan">
      <formula>7.9</formula>
    </cfRule>
    <cfRule type="cellIs" dxfId="855" priority="33" operator="lessThan">
      <formula>6.9</formula>
    </cfRule>
    <cfRule type="cellIs" dxfId="854" priority="34" operator="lessThan">
      <formula>7.4</formula>
    </cfRule>
    <cfRule type="cellIs" dxfId="853" priority="35" operator="lessThan">
      <formula>7.9</formula>
    </cfRule>
  </conditionalFormatting>
  <conditionalFormatting sqref="Q3:Q30">
    <cfRule type="cellIs" dxfId="852" priority="25" operator="lessThan">
      <formula>6.9</formula>
    </cfRule>
    <cfRule type="cellIs" dxfId="851" priority="26" operator="lessThan">
      <formula>7.4</formula>
    </cfRule>
    <cfRule type="cellIs" dxfId="850" priority="27" operator="lessThan">
      <formula>7.9</formula>
    </cfRule>
    <cfRule type="cellIs" dxfId="849" priority="28" operator="lessThan">
      <formula>6.9</formula>
    </cfRule>
    <cfRule type="cellIs" dxfId="848" priority="29" operator="lessThan">
      <formula>7.9</formula>
    </cfRule>
    <cfRule type="cellIs" dxfId="847" priority="30" operator="lessThan">
      <formula>7.4</formula>
    </cfRule>
    <cfRule type="cellIs" dxfId="846" priority="31" operator="lessThan">
      <formula>6.9</formula>
    </cfRule>
    <cfRule type="cellIs" dxfId="845" priority="32" operator="lessThan">
      <formula>7.9</formula>
    </cfRule>
  </conditionalFormatting>
  <conditionalFormatting sqref="U3:U30">
    <cfRule type="cellIs" dxfId="844" priority="36" operator="lessThan">
      <formula>7.9</formula>
    </cfRule>
    <cfRule type="cellIs" dxfId="843" priority="37" operator="lessThan">
      <formula>6.9</formula>
    </cfRule>
    <cfRule type="cellIs" dxfId="842" priority="38" operator="lessThan">
      <formula>7.4</formula>
    </cfRule>
    <cfRule type="cellIs" dxfId="841" priority="39" operator="lessThan">
      <formula>7.9</formula>
    </cfRule>
    <cfRule type="cellIs" dxfId="840" priority="40" operator="lessThan">
      <formula>6.9</formula>
    </cfRule>
    <cfRule type="cellIs" dxfId="839" priority="41" operator="lessThan">
      <formula>7.9</formula>
    </cfRule>
    <cfRule type="cellIs" dxfId="838" priority="42" operator="lessThan">
      <formula>7.4</formula>
    </cfRule>
    <cfRule type="cellIs" dxfId="837" priority="43" operator="lessThan">
      <formula>6.9</formula>
    </cfRule>
    <cfRule type="cellIs" dxfId="836" priority="44" operator="lessThan">
      <formula>7.9</formula>
    </cfRule>
    <cfRule type="cellIs" dxfId="835" priority="45" operator="lessThan">
      <formula>6.9</formula>
    </cfRule>
    <cfRule type="cellIs" dxfId="834" priority="46" operator="lessThan">
      <formula>7.4</formula>
    </cfRule>
    <cfRule type="cellIs" dxfId="833" priority="47" operator="lessThan">
      <formula>6.9</formula>
    </cfRule>
    <cfRule type="cellIs" dxfId="832" priority="48" operator="lessThan">
      <formula>7.4</formula>
    </cfRule>
    <cfRule type="cellIs" dxfId="831" priority="49" operator="lessThan">
      <formula>7.9</formula>
    </cfRule>
  </conditionalFormatting>
  <conditionalFormatting sqref="R3:T30">
    <cfRule type="cellIs" dxfId="830" priority="18" operator="lessThan">
      <formula>7.9</formula>
    </cfRule>
  </conditionalFormatting>
  <conditionalFormatting sqref="R3:T30">
    <cfRule type="cellIs" dxfId="829" priority="19" operator="lessThan">
      <formula>7.4</formula>
    </cfRule>
  </conditionalFormatting>
  <conditionalFormatting sqref="R5:T6">
    <cfRule type="cellIs" dxfId="828" priority="20" operator="lessThan">
      <formula>6.9</formula>
    </cfRule>
  </conditionalFormatting>
  <conditionalFormatting sqref="Y3:Y30">
    <cfRule type="cellIs" dxfId="827" priority="4" operator="lessThan">
      <formula>7.9</formula>
    </cfRule>
    <cfRule type="cellIs" dxfId="826" priority="5" operator="lessThan">
      <formula>6.9</formula>
    </cfRule>
    <cfRule type="cellIs" dxfId="825" priority="6" operator="lessThan">
      <formula>7.4</formula>
    </cfRule>
    <cfRule type="cellIs" dxfId="824" priority="7" operator="lessThan">
      <formula>7.9</formula>
    </cfRule>
    <cfRule type="cellIs" dxfId="823" priority="8" operator="lessThan">
      <formula>6.9</formula>
    </cfRule>
    <cfRule type="cellIs" dxfId="822" priority="9" operator="lessThan">
      <formula>7.9</formula>
    </cfRule>
    <cfRule type="cellIs" dxfId="821" priority="10" operator="lessThan">
      <formula>7.4</formula>
    </cfRule>
    <cfRule type="cellIs" dxfId="820" priority="11" operator="lessThan">
      <formula>6.9</formula>
    </cfRule>
    <cfRule type="cellIs" dxfId="819" priority="12" operator="lessThan">
      <formula>7.9</formula>
    </cfRule>
    <cfRule type="cellIs" dxfId="818" priority="13" operator="lessThan">
      <formula>6.9</formula>
    </cfRule>
    <cfRule type="cellIs" dxfId="817" priority="14" operator="lessThan">
      <formula>7.4</formula>
    </cfRule>
    <cfRule type="cellIs" dxfId="816" priority="15" operator="lessThan">
      <formula>6.9</formula>
    </cfRule>
    <cfRule type="cellIs" dxfId="815" priority="16" operator="lessThan">
      <formula>7.4</formula>
    </cfRule>
    <cfRule type="cellIs" dxfId="814" priority="17" operator="lessThan">
      <formula>7.9</formula>
    </cfRule>
  </conditionalFormatting>
  <conditionalFormatting sqref="V3:X30">
    <cfRule type="cellIs" dxfId="813" priority="1" operator="lessThan">
      <formula>7.9</formula>
    </cfRule>
  </conditionalFormatting>
  <conditionalFormatting sqref="V3:X30">
    <cfRule type="cellIs" dxfId="812" priority="2" operator="lessThan">
      <formula>7.4</formula>
    </cfRule>
  </conditionalFormatting>
  <conditionalFormatting sqref="V5:X6">
    <cfRule type="cellIs" dxfId="811" priority="3" operator="lessThan">
      <formula>6.9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46"/>
  <sheetViews>
    <sheetView topLeftCell="J1" workbookViewId="0">
      <selection activeCell="F2" sqref="F1:Z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7" max="31" width="3.140625" customWidth="1"/>
  </cols>
  <sheetData>
    <row r="1" spans="1:31" ht="15" x14ac:dyDescent="0.2">
      <c r="A1" s="1"/>
      <c r="B1" s="1"/>
      <c r="C1" s="1"/>
      <c r="D1" s="1"/>
      <c r="E1" s="1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1" t="s">
        <v>122</v>
      </c>
      <c r="O1" s="22"/>
      <c r="P1" s="22"/>
      <c r="Q1" s="23"/>
      <c r="R1" s="21" t="s">
        <v>123</v>
      </c>
      <c r="S1" s="22"/>
      <c r="T1" s="22"/>
      <c r="U1" s="23"/>
      <c r="V1" s="21" t="s">
        <v>124</v>
      </c>
      <c r="W1" s="22"/>
      <c r="X1" s="22"/>
      <c r="Y1" s="23"/>
      <c r="Z1" s="24" t="s">
        <v>2</v>
      </c>
      <c r="AA1" s="11"/>
      <c r="AB1" s="11"/>
      <c r="AC1" s="11"/>
      <c r="AD1" s="11"/>
      <c r="AE1" s="11"/>
    </row>
    <row r="2" spans="1:31" x14ac:dyDescent="0.2">
      <c r="A2" s="1" t="s">
        <v>3</v>
      </c>
      <c r="B2" s="1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5" t="s">
        <v>8</v>
      </c>
      <c r="O2" s="25" t="s">
        <v>9</v>
      </c>
      <c r="P2" s="25" t="s">
        <v>10</v>
      </c>
      <c r="Q2" s="26" t="s">
        <v>11</v>
      </c>
      <c r="R2" s="25" t="s">
        <v>8</v>
      </c>
      <c r="S2" s="25" t="s">
        <v>9</v>
      </c>
      <c r="T2" s="25" t="s">
        <v>10</v>
      </c>
      <c r="U2" s="26" t="s">
        <v>11</v>
      </c>
      <c r="V2" s="25" t="s">
        <v>8</v>
      </c>
      <c r="W2" s="25" t="s">
        <v>9</v>
      </c>
      <c r="X2" s="25" t="s">
        <v>10</v>
      </c>
      <c r="Y2" s="26" t="s">
        <v>11</v>
      </c>
      <c r="Z2" s="24" t="s">
        <v>12</v>
      </c>
      <c r="AA2" s="5"/>
      <c r="AB2" s="5"/>
      <c r="AC2" s="5"/>
      <c r="AD2" s="5"/>
      <c r="AE2" s="5"/>
    </row>
    <row r="3" spans="1:31" ht="15.75" customHeight="1" x14ac:dyDescent="0.25">
      <c r="A3" s="2" t="s">
        <v>276</v>
      </c>
      <c r="B3" s="3" t="s">
        <v>277</v>
      </c>
      <c r="C3" s="2" t="s">
        <v>15</v>
      </c>
      <c r="D3" s="31">
        <v>3</v>
      </c>
      <c r="E3" s="3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30" si="0">AVERAGE(J3:L3)</f>
        <v>0</v>
      </c>
      <c r="N3" s="28">
        <v>0</v>
      </c>
      <c r="O3" s="28">
        <v>0</v>
      </c>
      <c r="P3" s="28">
        <v>0</v>
      </c>
      <c r="Q3" s="29">
        <f>AVERAGE(N3:P3)</f>
        <v>0</v>
      </c>
      <c r="R3" s="28">
        <v>0</v>
      </c>
      <c r="S3" s="28">
        <v>0</v>
      </c>
      <c r="T3" s="28">
        <v>0</v>
      </c>
      <c r="U3" s="29">
        <f t="shared" ref="U3:U30" si="1">AVERAGE(R3:T3)</f>
        <v>0</v>
      </c>
      <c r="V3" s="28">
        <v>0</v>
      </c>
      <c r="W3" s="28">
        <v>0</v>
      </c>
      <c r="X3" s="28">
        <v>0</v>
      </c>
      <c r="Y3" s="29">
        <f t="shared" ref="Y3:Y30" si="2">AVERAGE(V3:X3)</f>
        <v>0</v>
      </c>
      <c r="Z3" s="30">
        <f>AVERAGE(I3,M3,Q3,U3,Y3)</f>
        <v>0</v>
      </c>
      <c r="AA3" s="6"/>
      <c r="AB3" s="6"/>
      <c r="AC3" s="7"/>
      <c r="AD3" s="6"/>
      <c r="AE3" s="7"/>
    </row>
    <row r="4" spans="1:31" ht="15.75" customHeight="1" x14ac:dyDescent="0.25">
      <c r="A4" s="2" t="s">
        <v>302</v>
      </c>
      <c r="B4" s="3" t="s">
        <v>303</v>
      </c>
      <c r="C4" s="2" t="s">
        <v>15</v>
      </c>
      <c r="D4" s="31">
        <v>3</v>
      </c>
      <c r="E4" s="3" t="s">
        <v>16</v>
      </c>
      <c r="F4" s="28">
        <v>0</v>
      </c>
      <c r="G4" s="28">
        <v>0</v>
      </c>
      <c r="H4" s="28">
        <v>0</v>
      </c>
      <c r="I4" s="29">
        <f t="shared" ref="I4:I30" si="3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28">
        <v>0</v>
      </c>
      <c r="O4" s="28">
        <v>0</v>
      </c>
      <c r="P4" s="28">
        <v>0</v>
      </c>
      <c r="Q4" s="29">
        <f t="shared" ref="Q4:Q30" si="4">AVERAGE(N4:P4)</f>
        <v>0</v>
      </c>
      <c r="R4" s="28">
        <v>0</v>
      </c>
      <c r="S4" s="28">
        <v>0</v>
      </c>
      <c r="T4" s="28">
        <v>0</v>
      </c>
      <c r="U4" s="29">
        <f t="shared" si="1"/>
        <v>0</v>
      </c>
      <c r="V4" s="28">
        <v>0</v>
      </c>
      <c r="W4" s="28">
        <v>0</v>
      </c>
      <c r="X4" s="28">
        <v>0</v>
      </c>
      <c r="Y4" s="29">
        <f t="shared" si="2"/>
        <v>0</v>
      </c>
      <c r="Z4" s="30">
        <f t="shared" ref="Z4:Z30" si="5">AVERAGE(I4,M4,Q4,U4,Y4)</f>
        <v>0</v>
      </c>
      <c r="AA4" s="7"/>
      <c r="AB4" s="7"/>
      <c r="AC4" s="7"/>
      <c r="AD4" s="7"/>
      <c r="AE4" s="7"/>
    </row>
    <row r="5" spans="1:31" ht="15.75" customHeight="1" x14ac:dyDescent="0.25">
      <c r="A5" s="2" t="s">
        <v>320</v>
      </c>
      <c r="B5" s="3" t="s">
        <v>321</v>
      </c>
      <c r="C5" s="2" t="s">
        <v>15</v>
      </c>
      <c r="D5" s="31">
        <v>3</v>
      </c>
      <c r="E5" s="3" t="s">
        <v>16</v>
      </c>
      <c r="F5" s="28">
        <v>0</v>
      </c>
      <c r="G5" s="28">
        <v>0</v>
      </c>
      <c r="H5" s="28">
        <v>0</v>
      </c>
      <c r="I5" s="29">
        <f t="shared" si="3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28">
        <v>0</v>
      </c>
      <c r="O5" s="28">
        <v>0</v>
      </c>
      <c r="P5" s="28">
        <v>0</v>
      </c>
      <c r="Q5" s="29">
        <f t="shared" si="4"/>
        <v>0</v>
      </c>
      <c r="R5" s="28">
        <v>0</v>
      </c>
      <c r="S5" s="28">
        <v>0</v>
      </c>
      <c r="T5" s="28">
        <v>0</v>
      </c>
      <c r="U5" s="29">
        <f t="shared" si="1"/>
        <v>0</v>
      </c>
      <c r="V5" s="28">
        <v>0</v>
      </c>
      <c r="W5" s="28">
        <v>0</v>
      </c>
      <c r="X5" s="28">
        <v>0</v>
      </c>
      <c r="Y5" s="29">
        <f t="shared" si="2"/>
        <v>0</v>
      </c>
      <c r="Z5" s="30">
        <f t="shared" si="5"/>
        <v>0</v>
      </c>
      <c r="AA5" s="7"/>
      <c r="AB5" s="7"/>
      <c r="AC5" s="7"/>
      <c r="AD5" s="8"/>
      <c r="AE5" s="7"/>
    </row>
    <row r="6" spans="1:31" ht="15.75" customHeight="1" x14ac:dyDescent="0.25">
      <c r="A6" s="2" t="s">
        <v>292</v>
      </c>
      <c r="B6" s="3" t="s">
        <v>293</v>
      </c>
      <c r="C6" s="2" t="s">
        <v>15</v>
      </c>
      <c r="D6" s="31">
        <v>3</v>
      </c>
      <c r="E6" s="3" t="s">
        <v>16</v>
      </c>
      <c r="F6" s="28">
        <v>0</v>
      </c>
      <c r="G6" s="28">
        <v>0</v>
      </c>
      <c r="H6" s="28">
        <v>0</v>
      </c>
      <c r="I6" s="29">
        <f t="shared" si="3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28">
        <v>0</v>
      </c>
      <c r="O6" s="28">
        <v>0</v>
      </c>
      <c r="P6" s="28">
        <v>0</v>
      </c>
      <c r="Q6" s="29">
        <f t="shared" si="4"/>
        <v>0</v>
      </c>
      <c r="R6" s="28">
        <v>0</v>
      </c>
      <c r="S6" s="28">
        <v>0</v>
      </c>
      <c r="T6" s="28">
        <v>0</v>
      </c>
      <c r="U6" s="29">
        <f t="shared" si="1"/>
        <v>0</v>
      </c>
      <c r="V6" s="28">
        <v>0</v>
      </c>
      <c r="W6" s="28">
        <v>0</v>
      </c>
      <c r="X6" s="28">
        <v>0</v>
      </c>
      <c r="Y6" s="29">
        <f t="shared" si="2"/>
        <v>0</v>
      </c>
      <c r="Z6" s="30">
        <f t="shared" si="5"/>
        <v>0</v>
      </c>
      <c r="AA6" s="7"/>
      <c r="AB6" s="7"/>
      <c r="AC6" s="7"/>
      <c r="AD6" s="8"/>
      <c r="AE6" s="7"/>
    </row>
    <row r="7" spans="1:31" ht="15.75" customHeight="1" x14ac:dyDescent="0.25">
      <c r="A7" s="2" t="s">
        <v>336</v>
      </c>
      <c r="B7" s="3" t="s">
        <v>337</v>
      </c>
      <c r="C7" s="2" t="s">
        <v>15</v>
      </c>
      <c r="D7" s="31">
        <v>3</v>
      </c>
      <c r="E7" s="3" t="s">
        <v>16</v>
      </c>
      <c r="F7" s="28">
        <v>0</v>
      </c>
      <c r="G7" s="28">
        <v>0</v>
      </c>
      <c r="H7" s="28">
        <v>0</v>
      </c>
      <c r="I7" s="29">
        <f t="shared" si="3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28">
        <v>0</v>
      </c>
      <c r="O7" s="28">
        <v>0</v>
      </c>
      <c r="P7" s="28">
        <v>0</v>
      </c>
      <c r="Q7" s="29">
        <f t="shared" si="4"/>
        <v>0</v>
      </c>
      <c r="R7" s="28">
        <v>0</v>
      </c>
      <c r="S7" s="28">
        <v>0</v>
      </c>
      <c r="T7" s="28">
        <v>0</v>
      </c>
      <c r="U7" s="29">
        <f t="shared" si="1"/>
        <v>0</v>
      </c>
      <c r="V7" s="28">
        <v>0</v>
      </c>
      <c r="W7" s="28">
        <v>0</v>
      </c>
      <c r="X7" s="28">
        <v>0</v>
      </c>
      <c r="Y7" s="29">
        <f t="shared" si="2"/>
        <v>0</v>
      </c>
      <c r="Z7" s="30">
        <f t="shared" si="5"/>
        <v>0</v>
      </c>
      <c r="AA7" s="9"/>
      <c r="AB7" s="9"/>
      <c r="AC7" s="6"/>
      <c r="AD7" s="6"/>
      <c r="AE7" s="7"/>
    </row>
    <row r="8" spans="1:31" ht="15.75" customHeight="1" x14ac:dyDescent="0.25">
      <c r="A8" s="2" t="s">
        <v>322</v>
      </c>
      <c r="B8" s="3" t="s">
        <v>323</v>
      </c>
      <c r="C8" s="2" t="s">
        <v>15</v>
      </c>
      <c r="D8" s="31">
        <v>3</v>
      </c>
      <c r="E8" s="3" t="s">
        <v>16</v>
      </c>
      <c r="F8" s="28">
        <v>0</v>
      </c>
      <c r="G8" s="28">
        <v>0</v>
      </c>
      <c r="H8" s="28">
        <v>0</v>
      </c>
      <c r="I8" s="29">
        <f t="shared" si="3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28">
        <v>0</v>
      </c>
      <c r="O8" s="28">
        <v>0</v>
      </c>
      <c r="P8" s="28">
        <v>0</v>
      </c>
      <c r="Q8" s="29">
        <f t="shared" si="4"/>
        <v>0</v>
      </c>
      <c r="R8" s="28">
        <v>0</v>
      </c>
      <c r="S8" s="28">
        <v>0</v>
      </c>
      <c r="T8" s="28">
        <v>0</v>
      </c>
      <c r="U8" s="29">
        <f t="shared" si="1"/>
        <v>0</v>
      </c>
      <c r="V8" s="28">
        <v>0</v>
      </c>
      <c r="W8" s="28">
        <v>0</v>
      </c>
      <c r="X8" s="28">
        <v>0</v>
      </c>
      <c r="Y8" s="29">
        <f t="shared" si="2"/>
        <v>0</v>
      </c>
      <c r="Z8" s="30">
        <f t="shared" si="5"/>
        <v>0</v>
      </c>
      <c r="AA8" s="7"/>
      <c r="AB8" s="7"/>
      <c r="AC8" s="6"/>
      <c r="AD8" s="6"/>
      <c r="AE8" s="7"/>
    </row>
    <row r="9" spans="1:31" ht="15.75" customHeight="1" x14ac:dyDescent="0.25">
      <c r="A9" s="18"/>
      <c r="B9" s="19" t="s">
        <v>127</v>
      </c>
      <c r="C9" s="2" t="s">
        <v>15</v>
      </c>
      <c r="D9" s="31">
        <v>3</v>
      </c>
      <c r="E9" s="3" t="s">
        <v>16</v>
      </c>
      <c r="F9" s="28">
        <v>0</v>
      </c>
      <c r="G9" s="28">
        <v>0</v>
      </c>
      <c r="H9" s="28">
        <v>0</v>
      </c>
      <c r="I9" s="29">
        <f t="shared" si="3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28">
        <v>0</v>
      </c>
      <c r="O9" s="28">
        <v>0</v>
      </c>
      <c r="P9" s="28">
        <v>0</v>
      </c>
      <c r="Q9" s="29">
        <f t="shared" si="4"/>
        <v>0</v>
      </c>
      <c r="R9" s="28">
        <v>0</v>
      </c>
      <c r="S9" s="28">
        <v>0</v>
      </c>
      <c r="T9" s="28">
        <v>0</v>
      </c>
      <c r="U9" s="29">
        <f t="shared" si="1"/>
        <v>0</v>
      </c>
      <c r="V9" s="28">
        <v>0</v>
      </c>
      <c r="W9" s="28">
        <v>0</v>
      </c>
      <c r="X9" s="28">
        <v>0</v>
      </c>
      <c r="Y9" s="29">
        <f t="shared" si="2"/>
        <v>0</v>
      </c>
      <c r="Z9" s="30">
        <f t="shared" si="5"/>
        <v>0</v>
      </c>
      <c r="AA9" s="6"/>
      <c r="AB9" s="6"/>
      <c r="AC9" s="10"/>
      <c r="AD9" s="8"/>
      <c r="AE9" s="7"/>
    </row>
    <row r="10" spans="1:31" ht="15.75" customHeight="1" x14ac:dyDescent="0.25">
      <c r="A10" s="2" t="s">
        <v>266</v>
      </c>
      <c r="B10" s="3" t="s">
        <v>267</v>
      </c>
      <c r="C10" s="2" t="s">
        <v>15</v>
      </c>
      <c r="D10" s="31">
        <v>3</v>
      </c>
      <c r="E10" s="3" t="s">
        <v>16</v>
      </c>
      <c r="F10" s="28">
        <v>0</v>
      </c>
      <c r="G10" s="28">
        <v>0</v>
      </c>
      <c r="H10" s="28">
        <v>0</v>
      </c>
      <c r="I10" s="29">
        <f t="shared" si="3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28">
        <v>0</v>
      </c>
      <c r="O10" s="28">
        <v>0</v>
      </c>
      <c r="P10" s="28">
        <v>0</v>
      </c>
      <c r="Q10" s="29">
        <f t="shared" si="4"/>
        <v>0</v>
      </c>
      <c r="R10" s="28">
        <v>0</v>
      </c>
      <c r="S10" s="28">
        <v>0</v>
      </c>
      <c r="T10" s="28">
        <v>0</v>
      </c>
      <c r="U10" s="29">
        <f t="shared" si="1"/>
        <v>0</v>
      </c>
      <c r="V10" s="28">
        <v>0</v>
      </c>
      <c r="W10" s="28">
        <v>0</v>
      </c>
      <c r="X10" s="28">
        <v>0</v>
      </c>
      <c r="Y10" s="29">
        <f t="shared" si="2"/>
        <v>0</v>
      </c>
      <c r="Z10" s="30">
        <f t="shared" si="5"/>
        <v>0</v>
      </c>
      <c r="AA10" s="7"/>
      <c r="AB10" s="7"/>
      <c r="AC10" s="7"/>
      <c r="AD10" s="7"/>
      <c r="AE10" s="7"/>
    </row>
    <row r="11" spans="1:31" ht="15.75" customHeight="1" x14ac:dyDescent="0.25">
      <c r="A11" s="2" t="s">
        <v>268</v>
      </c>
      <c r="B11" s="3" t="s">
        <v>269</v>
      </c>
      <c r="C11" s="2" t="s">
        <v>15</v>
      </c>
      <c r="D11" s="31">
        <v>3</v>
      </c>
      <c r="E11" s="3" t="s">
        <v>16</v>
      </c>
      <c r="F11" s="28">
        <v>0</v>
      </c>
      <c r="G11" s="28">
        <v>0</v>
      </c>
      <c r="H11" s="28">
        <v>0</v>
      </c>
      <c r="I11" s="29">
        <f t="shared" si="3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28">
        <v>0</v>
      </c>
      <c r="O11" s="28">
        <v>0</v>
      </c>
      <c r="P11" s="28">
        <v>0</v>
      </c>
      <c r="Q11" s="29">
        <f t="shared" si="4"/>
        <v>0</v>
      </c>
      <c r="R11" s="28">
        <v>0</v>
      </c>
      <c r="S11" s="28">
        <v>0</v>
      </c>
      <c r="T11" s="28">
        <v>0</v>
      </c>
      <c r="U11" s="29">
        <f t="shared" si="1"/>
        <v>0</v>
      </c>
      <c r="V11" s="28">
        <v>0</v>
      </c>
      <c r="W11" s="28">
        <v>0</v>
      </c>
      <c r="X11" s="28">
        <v>0</v>
      </c>
      <c r="Y11" s="29">
        <f t="shared" si="2"/>
        <v>0</v>
      </c>
      <c r="Z11" s="30">
        <f t="shared" si="5"/>
        <v>0</v>
      </c>
      <c r="AA11" s="8"/>
      <c r="AB11" s="8"/>
      <c r="AC11" s="6"/>
      <c r="AD11" s="6"/>
      <c r="AE11" s="7"/>
    </row>
    <row r="12" spans="1:31" ht="15.75" customHeight="1" x14ac:dyDescent="0.25">
      <c r="A12" s="2" t="s">
        <v>274</v>
      </c>
      <c r="B12" s="12" t="s">
        <v>275</v>
      </c>
      <c r="C12" s="2" t="s">
        <v>15</v>
      </c>
      <c r="D12" s="31">
        <v>3</v>
      </c>
      <c r="E12" s="3" t="s">
        <v>16</v>
      </c>
      <c r="F12" s="28">
        <v>0</v>
      </c>
      <c r="G12" s="28">
        <v>0</v>
      </c>
      <c r="H12" s="28">
        <v>0</v>
      </c>
      <c r="I12" s="29">
        <f t="shared" si="3"/>
        <v>0</v>
      </c>
      <c r="J12" s="28">
        <v>0</v>
      </c>
      <c r="K12" s="28">
        <v>0</v>
      </c>
      <c r="L12" s="28">
        <v>0</v>
      </c>
      <c r="M12" s="29">
        <f t="shared" si="0"/>
        <v>0</v>
      </c>
      <c r="N12" s="28">
        <v>0</v>
      </c>
      <c r="O12" s="28">
        <v>0</v>
      </c>
      <c r="P12" s="28">
        <v>0</v>
      </c>
      <c r="Q12" s="29">
        <f t="shared" si="4"/>
        <v>0</v>
      </c>
      <c r="R12" s="28">
        <v>0</v>
      </c>
      <c r="S12" s="28">
        <v>0</v>
      </c>
      <c r="T12" s="28">
        <v>0</v>
      </c>
      <c r="U12" s="29">
        <f t="shared" si="1"/>
        <v>0</v>
      </c>
      <c r="V12" s="28">
        <v>0</v>
      </c>
      <c r="W12" s="28">
        <v>0</v>
      </c>
      <c r="X12" s="28">
        <v>0</v>
      </c>
      <c r="Y12" s="29">
        <f t="shared" si="2"/>
        <v>0</v>
      </c>
      <c r="Z12" s="30">
        <f t="shared" si="5"/>
        <v>0</v>
      </c>
      <c r="AA12" s="8"/>
      <c r="AB12" s="6"/>
      <c r="AC12" s="6"/>
      <c r="AD12" s="10"/>
      <c r="AE12" s="7"/>
    </row>
    <row r="13" spans="1:31" ht="15.75" customHeight="1" x14ac:dyDescent="0.25">
      <c r="A13" s="2" t="s">
        <v>312</v>
      </c>
      <c r="B13" s="3" t="s">
        <v>313</v>
      </c>
      <c r="C13" s="2" t="s">
        <v>15</v>
      </c>
      <c r="D13" s="31">
        <v>3</v>
      </c>
      <c r="E13" s="3" t="s">
        <v>16</v>
      </c>
      <c r="F13" s="28">
        <v>0</v>
      </c>
      <c r="G13" s="28">
        <v>0</v>
      </c>
      <c r="H13" s="28">
        <v>0</v>
      </c>
      <c r="I13" s="29">
        <f t="shared" si="3"/>
        <v>0</v>
      </c>
      <c r="J13" s="28">
        <v>0</v>
      </c>
      <c r="K13" s="28">
        <v>0</v>
      </c>
      <c r="L13" s="28">
        <v>0</v>
      </c>
      <c r="M13" s="29">
        <f t="shared" si="0"/>
        <v>0</v>
      </c>
      <c r="N13" s="28">
        <v>0</v>
      </c>
      <c r="O13" s="28">
        <v>0</v>
      </c>
      <c r="P13" s="28">
        <v>0</v>
      </c>
      <c r="Q13" s="29">
        <f t="shared" si="4"/>
        <v>0</v>
      </c>
      <c r="R13" s="28">
        <v>0</v>
      </c>
      <c r="S13" s="28">
        <v>0</v>
      </c>
      <c r="T13" s="28">
        <v>0</v>
      </c>
      <c r="U13" s="29">
        <f t="shared" si="1"/>
        <v>0</v>
      </c>
      <c r="V13" s="28">
        <v>0</v>
      </c>
      <c r="W13" s="28">
        <v>0</v>
      </c>
      <c r="X13" s="28">
        <v>0</v>
      </c>
      <c r="Y13" s="29">
        <f t="shared" si="2"/>
        <v>0</v>
      </c>
      <c r="Z13" s="30">
        <f t="shared" si="5"/>
        <v>0</v>
      </c>
      <c r="AA13" s="8"/>
      <c r="AB13" s="7"/>
      <c r="AC13" s="7"/>
      <c r="AD13" s="8"/>
      <c r="AE13" s="7"/>
    </row>
    <row r="14" spans="1:31" ht="15.75" customHeight="1" x14ac:dyDescent="0.25">
      <c r="A14" s="2" t="s">
        <v>280</v>
      </c>
      <c r="B14" s="3" t="s">
        <v>281</v>
      </c>
      <c r="C14" s="2" t="s">
        <v>15</v>
      </c>
      <c r="D14" s="31">
        <v>3</v>
      </c>
      <c r="E14" s="3" t="s">
        <v>16</v>
      </c>
      <c r="F14" s="28">
        <v>0</v>
      </c>
      <c r="G14" s="28">
        <v>0</v>
      </c>
      <c r="H14" s="28">
        <v>0</v>
      </c>
      <c r="I14" s="29">
        <f t="shared" si="3"/>
        <v>0</v>
      </c>
      <c r="J14" s="28">
        <v>0</v>
      </c>
      <c r="K14" s="28">
        <v>0</v>
      </c>
      <c r="L14" s="28">
        <v>0</v>
      </c>
      <c r="M14" s="29">
        <f t="shared" si="0"/>
        <v>0</v>
      </c>
      <c r="N14" s="28">
        <v>0</v>
      </c>
      <c r="O14" s="28">
        <v>0</v>
      </c>
      <c r="P14" s="28">
        <v>0</v>
      </c>
      <c r="Q14" s="29">
        <f t="shared" si="4"/>
        <v>0</v>
      </c>
      <c r="R14" s="28">
        <v>0</v>
      </c>
      <c r="S14" s="28">
        <v>0</v>
      </c>
      <c r="T14" s="28">
        <v>0</v>
      </c>
      <c r="U14" s="29">
        <f t="shared" si="1"/>
        <v>0</v>
      </c>
      <c r="V14" s="28">
        <v>0</v>
      </c>
      <c r="W14" s="28">
        <v>0</v>
      </c>
      <c r="X14" s="28">
        <v>0</v>
      </c>
      <c r="Y14" s="29">
        <f t="shared" si="2"/>
        <v>0</v>
      </c>
      <c r="Z14" s="30">
        <f t="shared" si="5"/>
        <v>0</v>
      </c>
      <c r="AA14" s="8"/>
      <c r="AB14" s="8"/>
      <c r="AC14" s="7"/>
      <c r="AD14" s="7"/>
      <c r="AE14" s="7"/>
    </row>
    <row r="15" spans="1:31" ht="15.75" customHeight="1" x14ac:dyDescent="0.25">
      <c r="A15" s="2" t="s">
        <v>332</v>
      </c>
      <c r="B15" s="3" t="s">
        <v>333</v>
      </c>
      <c r="C15" s="2" t="s">
        <v>15</v>
      </c>
      <c r="D15" s="31">
        <v>3</v>
      </c>
      <c r="E15" s="3" t="s">
        <v>16</v>
      </c>
      <c r="F15" s="28">
        <v>0</v>
      </c>
      <c r="G15" s="28">
        <v>0</v>
      </c>
      <c r="H15" s="28">
        <v>0</v>
      </c>
      <c r="I15" s="29">
        <f t="shared" si="3"/>
        <v>0</v>
      </c>
      <c r="J15" s="28">
        <v>0</v>
      </c>
      <c r="K15" s="28">
        <v>0</v>
      </c>
      <c r="L15" s="28">
        <v>0</v>
      </c>
      <c r="M15" s="29">
        <f t="shared" si="0"/>
        <v>0</v>
      </c>
      <c r="N15" s="28">
        <v>0</v>
      </c>
      <c r="O15" s="28">
        <v>0</v>
      </c>
      <c r="P15" s="28">
        <v>0</v>
      </c>
      <c r="Q15" s="29">
        <f t="shared" si="4"/>
        <v>0</v>
      </c>
      <c r="R15" s="28">
        <v>0</v>
      </c>
      <c r="S15" s="28">
        <v>0</v>
      </c>
      <c r="T15" s="28">
        <v>0</v>
      </c>
      <c r="U15" s="29">
        <f t="shared" si="1"/>
        <v>0</v>
      </c>
      <c r="V15" s="28">
        <v>0</v>
      </c>
      <c r="W15" s="28">
        <v>0</v>
      </c>
      <c r="X15" s="28">
        <v>0</v>
      </c>
      <c r="Y15" s="29">
        <f t="shared" si="2"/>
        <v>0</v>
      </c>
      <c r="Z15" s="30">
        <f t="shared" si="5"/>
        <v>0</v>
      </c>
      <c r="AA15" s="10"/>
      <c r="AB15" s="8"/>
      <c r="AC15" s="8"/>
      <c r="AD15" s="6"/>
      <c r="AE15" s="7"/>
    </row>
    <row r="16" spans="1:31" ht="15.75" customHeight="1" x14ac:dyDescent="0.25">
      <c r="A16" s="2" t="s">
        <v>260</v>
      </c>
      <c r="B16" s="3" t="s">
        <v>261</v>
      </c>
      <c r="C16" s="2" t="s">
        <v>15</v>
      </c>
      <c r="D16" s="31">
        <v>3</v>
      </c>
      <c r="E16" s="3" t="s">
        <v>16</v>
      </c>
      <c r="F16" s="28">
        <v>0</v>
      </c>
      <c r="G16" s="28">
        <v>0</v>
      </c>
      <c r="H16" s="28">
        <v>0</v>
      </c>
      <c r="I16" s="29">
        <f t="shared" si="3"/>
        <v>0</v>
      </c>
      <c r="J16" s="28">
        <v>0</v>
      </c>
      <c r="K16" s="28">
        <v>0</v>
      </c>
      <c r="L16" s="28">
        <v>0</v>
      </c>
      <c r="M16" s="29">
        <f t="shared" si="0"/>
        <v>0</v>
      </c>
      <c r="N16" s="28">
        <v>0</v>
      </c>
      <c r="O16" s="28">
        <v>0</v>
      </c>
      <c r="P16" s="28">
        <v>0</v>
      </c>
      <c r="Q16" s="29">
        <f t="shared" si="4"/>
        <v>0</v>
      </c>
      <c r="R16" s="28">
        <v>0</v>
      </c>
      <c r="S16" s="28">
        <v>0</v>
      </c>
      <c r="T16" s="28">
        <v>0</v>
      </c>
      <c r="U16" s="29">
        <f t="shared" si="1"/>
        <v>0</v>
      </c>
      <c r="V16" s="28">
        <v>0</v>
      </c>
      <c r="W16" s="28">
        <v>0</v>
      </c>
      <c r="X16" s="28">
        <v>0</v>
      </c>
      <c r="Y16" s="29">
        <f t="shared" si="2"/>
        <v>0</v>
      </c>
      <c r="Z16" s="30">
        <f t="shared" si="5"/>
        <v>0</v>
      </c>
      <c r="AA16" s="6"/>
      <c r="AB16" s="6"/>
      <c r="AC16" s="7"/>
      <c r="AD16" s="7"/>
      <c r="AE16" s="7"/>
    </row>
    <row r="17" spans="1:31" ht="15.75" customHeight="1" x14ac:dyDescent="0.25">
      <c r="A17" s="2" t="s">
        <v>340</v>
      </c>
      <c r="B17" s="3" t="s">
        <v>341</v>
      </c>
      <c r="C17" s="2" t="s">
        <v>15</v>
      </c>
      <c r="D17" s="31">
        <v>3</v>
      </c>
      <c r="E17" s="3" t="s">
        <v>16</v>
      </c>
      <c r="F17" s="28">
        <v>0</v>
      </c>
      <c r="G17" s="28">
        <v>0</v>
      </c>
      <c r="H17" s="28">
        <v>0</v>
      </c>
      <c r="I17" s="29">
        <f t="shared" si="3"/>
        <v>0</v>
      </c>
      <c r="J17" s="28">
        <v>0</v>
      </c>
      <c r="K17" s="28">
        <v>0</v>
      </c>
      <c r="L17" s="28">
        <v>0</v>
      </c>
      <c r="M17" s="29">
        <f t="shared" si="0"/>
        <v>0</v>
      </c>
      <c r="N17" s="28">
        <v>0</v>
      </c>
      <c r="O17" s="28">
        <v>0</v>
      </c>
      <c r="P17" s="28">
        <v>0</v>
      </c>
      <c r="Q17" s="29">
        <f t="shared" si="4"/>
        <v>0</v>
      </c>
      <c r="R17" s="28">
        <v>0</v>
      </c>
      <c r="S17" s="28">
        <v>0</v>
      </c>
      <c r="T17" s="28">
        <v>0</v>
      </c>
      <c r="U17" s="29">
        <f t="shared" si="1"/>
        <v>0</v>
      </c>
      <c r="V17" s="28">
        <v>0</v>
      </c>
      <c r="W17" s="28">
        <v>0</v>
      </c>
      <c r="X17" s="28">
        <v>0</v>
      </c>
      <c r="Y17" s="29">
        <f t="shared" si="2"/>
        <v>0</v>
      </c>
      <c r="Z17" s="30">
        <f t="shared" si="5"/>
        <v>0</v>
      </c>
      <c r="AA17" s="6"/>
      <c r="AB17" s="6"/>
      <c r="AC17" s="6"/>
      <c r="AD17" s="6"/>
      <c r="AE17" s="7"/>
    </row>
    <row r="18" spans="1:31" ht="15.75" customHeight="1" x14ac:dyDescent="0.25">
      <c r="A18" s="2" t="s">
        <v>314</v>
      </c>
      <c r="B18" s="3" t="s">
        <v>315</v>
      </c>
      <c r="C18" s="2" t="s">
        <v>15</v>
      </c>
      <c r="D18" s="31">
        <v>3</v>
      </c>
      <c r="E18" s="3" t="s">
        <v>33</v>
      </c>
      <c r="F18" s="28">
        <v>0</v>
      </c>
      <c r="G18" s="28">
        <v>0</v>
      </c>
      <c r="H18" s="28">
        <v>0</v>
      </c>
      <c r="I18" s="29">
        <f t="shared" si="3"/>
        <v>0</v>
      </c>
      <c r="J18" s="28">
        <v>0</v>
      </c>
      <c r="K18" s="28">
        <v>0</v>
      </c>
      <c r="L18" s="28">
        <v>0</v>
      </c>
      <c r="M18" s="29">
        <f t="shared" si="0"/>
        <v>0</v>
      </c>
      <c r="N18" s="28">
        <v>0</v>
      </c>
      <c r="O18" s="28">
        <v>0</v>
      </c>
      <c r="P18" s="28">
        <v>0</v>
      </c>
      <c r="Q18" s="29">
        <f t="shared" si="4"/>
        <v>0</v>
      </c>
      <c r="R18" s="28">
        <v>0</v>
      </c>
      <c r="S18" s="28">
        <v>0</v>
      </c>
      <c r="T18" s="28">
        <v>0</v>
      </c>
      <c r="U18" s="29">
        <f t="shared" si="1"/>
        <v>0</v>
      </c>
      <c r="V18" s="28">
        <v>0</v>
      </c>
      <c r="W18" s="28">
        <v>0</v>
      </c>
      <c r="X18" s="28">
        <v>0</v>
      </c>
      <c r="Y18" s="29">
        <f t="shared" si="2"/>
        <v>0</v>
      </c>
      <c r="Z18" s="30">
        <f t="shared" si="5"/>
        <v>0</v>
      </c>
    </row>
    <row r="19" spans="1:31" ht="15.75" customHeight="1" x14ac:dyDescent="0.25">
      <c r="A19" s="2" t="s">
        <v>342</v>
      </c>
      <c r="B19" s="3" t="s">
        <v>343</v>
      </c>
      <c r="C19" s="2" t="s">
        <v>15</v>
      </c>
      <c r="D19" s="31">
        <v>3</v>
      </c>
      <c r="E19" s="3" t="s">
        <v>33</v>
      </c>
      <c r="F19" s="28">
        <v>0</v>
      </c>
      <c r="G19" s="28">
        <v>0</v>
      </c>
      <c r="H19" s="28">
        <v>0</v>
      </c>
      <c r="I19" s="29">
        <f t="shared" si="3"/>
        <v>0</v>
      </c>
      <c r="J19" s="28">
        <v>0</v>
      </c>
      <c r="K19" s="28">
        <v>0</v>
      </c>
      <c r="L19" s="28">
        <v>0</v>
      </c>
      <c r="M19" s="29">
        <f t="shared" si="0"/>
        <v>0</v>
      </c>
      <c r="N19" s="28">
        <v>0</v>
      </c>
      <c r="O19" s="28">
        <v>0</v>
      </c>
      <c r="P19" s="28">
        <v>0</v>
      </c>
      <c r="Q19" s="29">
        <f t="shared" si="4"/>
        <v>0</v>
      </c>
      <c r="R19" s="28">
        <v>0</v>
      </c>
      <c r="S19" s="28">
        <v>0</v>
      </c>
      <c r="T19" s="28">
        <v>0</v>
      </c>
      <c r="U19" s="29">
        <f t="shared" si="1"/>
        <v>0</v>
      </c>
      <c r="V19" s="28">
        <v>0</v>
      </c>
      <c r="W19" s="28">
        <v>0</v>
      </c>
      <c r="X19" s="28">
        <v>0</v>
      </c>
      <c r="Y19" s="29">
        <f t="shared" si="2"/>
        <v>0</v>
      </c>
      <c r="Z19" s="30">
        <f t="shared" si="5"/>
        <v>0</v>
      </c>
    </row>
    <row r="20" spans="1:31" ht="15.75" customHeight="1" x14ac:dyDescent="0.25">
      <c r="A20" s="2" t="s">
        <v>328</v>
      </c>
      <c r="B20" s="3" t="s">
        <v>329</v>
      </c>
      <c r="C20" s="2" t="s">
        <v>15</v>
      </c>
      <c r="D20" s="31">
        <v>3</v>
      </c>
      <c r="E20" s="3" t="s">
        <v>33</v>
      </c>
      <c r="F20" s="28">
        <v>0</v>
      </c>
      <c r="G20" s="28">
        <v>0</v>
      </c>
      <c r="H20" s="28">
        <v>0</v>
      </c>
      <c r="I20" s="29">
        <f t="shared" si="3"/>
        <v>0</v>
      </c>
      <c r="J20" s="28">
        <v>0</v>
      </c>
      <c r="K20" s="28">
        <v>0</v>
      </c>
      <c r="L20" s="28">
        <v>0</v>
      </c>
      <c r="M20" s="29">
        <f t="shared" si="0"/>
        <v>0</v>
      </c>
      <c r="N20" s="28">
        <v>0</v>
      </c>
      <c r="O20" s="28">
        <v>0</v>
      </c>
      <c r="P20" s="28">
        <v>0</v>
      </c>
      <c r="Q20" s="29">
        <f t="shared" si="4"/>
        <v>0</v>
      </c>
      <c r="R20" s="28">
        <v>0</v>
      </c>
      <c r="S20" s="28">
        <v>0</v>
      </c>
      <c r="T20" s="28">
        <v>0</v>
      </c>
      <c r="U20" s="29">
        <f t="shared" si="1"/>
        <v>0</v>
      </c>
      <c r="V20" s="28">
        <v>0</v>
      </c>
      <c r="W20" s="28">
        <v>0</v>
      </c>
      <c r="X20" s="28">
        <v>0</v>
      </c>
      <c r="Y20" s="29">
        <f t="shared" si="2"/>
        <v>0</v>
      </c>
      <c r="Z20" s="30">
        <f t="shared" si="5"/>
        <v>0</v>
      </c>
    </row>
    <row r="21" spans="1:31" ht="15.75" customHeight="1" x14ac:dyDescent="0.25">
      <c r="A21" s="2" t="s">
        <v>306</v>
      </c>
      <c r="B21" s="3" t="s">
        <v>307</v>
      </c>
      <c r="C21" s="2" t="s">
        <v>15</v>
      </c>
      <c r="D21" s="31">
        <v>3</v>
      </c>
      <c r="E21" s="3" t="s">
        <v>33</v>
      </c>
      <c r="F21" s="28">
        <v>0</v>
      </c>
      <c r="G21" s="28">
        <v>0</v>
      </c>
      <c r="H21" s="28">
        <v>0</v>
      </c>
      <c r="I21" s="29">
        <f t="shared" si="3"/>
        <v>0</v>
      </c>
      <c r="J21" s="28">
        <v>0</v>
      </c>
      <c r="K21" s="28">
        <v>0</v>
      </c>
      <c r="L21" s="28">
        <v>0</v>
      </c>
      <c r="M21" s="29">
        <f t="shared" si="0"/>
        <v>0</v>
      </c>
      <c r="N21" s="28">
        <v>0</v>
      </c>
      <c r="O21" s="28">
        <v>0</v>
      </c>
      <c r="P21" s="28">
        <v>0</v>
      </c>
      <c r="Q21" s="29">
        <f t="shared" si="4"/>
        <v>0</v>
      </c>
      <c r="R21" s="28">
        <v>0</v>
      </c>
      <c r="S21" s="28">
        <v>0</v>
      </c>
      <c r="T21" s="28">
        <v>0</v>
      </c>
      <c r="U21" s="29">
        <f t="shared" si="1"/>
        <v>0</v>
      </c>
      <c r="V21" s="28">
        <v>0</v>
      </c>
      <c r="W21" s="28">
        <v>0</v>
      </c>
      <c r="X21" s="28">
        <v>0</v>
      </c>
      <c r="Y21" s="29">
        <f t="shared" si="2"/>
        <v>0</v>
      </c>
      <c r="Z21" s="30">
        <f t="shared" si="5"/>
        <v>0</v>
      </c>
    </row>
    <row r="22" spans="1:31" ht="15.75" customHeight="1" x14ac:dyDescent="0.25">
      <c r="A22" s="2" t="s">
        <v>334</v>
      </c>
      <c r="B22" s="3" t="s">
        <v>335</v>
      </c>
      <c r="C22" s="2" t="s">
        <v>15</v>
      </c>
      <c r="D22" s="31">
        <v>3</v>
      </c>
      <c r="E22" s="3" t="s">
        <v>33</v>
      </c>
      <c r="F22" s="28">
        <v>0</v>
      </c>
      <c r="G22" s="28">
        <v>0</v>
      </c>
      <c r="H22" s="28">
        <v>0</v>
      </c>
      <c r="I22" s="29">
        <f t="shared" si="3"/>
        <v>0</v>
      </c>
      <c r="J22" s="28">
        <v>0</v>
      </c>
      <c r="K22" s="28">
        <v>0</v>
      </c>
      <c r="L22" s="28">
        <v>0</v>
      </c>
      <c r="M22" s="29">
        <f t="shared" si="0"/>
        <v>0</v>
      </c>
      <c r="N22" s="28">
        <v>0</v>
      </c>
      <c r="O22" s="28">
        <v>0</v>
      </c>
      <c r="P22" s="28">
        <v>0</v>
      </c>
      <c r="Q22" s="29">
        <f t="shared" si="4"/>
        <v>0</v>
      </c>
      <c r="R22" s="28">
        <v>0</v>
      </c>
      <c r="S22" s="28">
        <v>0</v>
      </c>
      <c r="T22" s="28">
        <v>0</v>
      </c>
      <c r="U22" s="29">
        <f t="shared" si="1"/>
        <v>0</v>
      </c>
      <c r="V22" s="28">
        <v>0</v>
      </c>
      <c r="W22" s="28">
        <v>0</v>
      </c>
      <c r="X22" s="28">
        <v>0</v>
      </c>
      <c r="Y22" s="29">
        <f t="shared" si="2"/>
        <v>0</v>
      </c>
      <c r="Z22" s="30">
        <f t="shared" si="5"/>
        <v>0</v>
      </c>
    </row>
    <row r="23" spans="1:31" ht="15.75" customHeight="1" x14ac:dyDescent="0.25">
      <c r="A23" s="2" t="s">
        <v>294</v>
      </c>
      <c r="B23" s="3" t="s">
        <v>295</v>
      </c>
      <c r="C23" s="2" t="s">
        <v>15</v>
      </c>
      <c r="D23" s="31">
        <v>3</v>
      </c>
      <c r="E23" s="3" t="s">
        <v>33</v>
      </c>
      <c r="F23" s="28">
        <v>0</v>
      </c>
      <c r="G23" s="28">
        <v>0</v>
      </c>
      <c r="H23" s="28">
        <v>0</v>
      </c>
      <c r="I23" s="29">
        <f t="shared" si="3"/>
        <v>0</v>
      </c>
      <c r="J23" s="28">
        <v>0</v>
      </c>
      <c r="K23" s="28">
        <v>0</v>
      </c>
      <c r="L23" s="28">
        <v>0</v>
      </c>
      <c r="M23" s="29">
        <f t="shared" si="0"/>
        <v>0</v>
      </c>
      <c r="N23" s="28">
        <v>0</v>
      </c>
      <c r="O23" s="28">
        <v>0</v>
      </c>
      <c r="P23" s="28">
        <v>0</v>
      </c>
      <c r="Q23" s="29">
        <f t="shared" si="4"/>
        <v>0</v>
      </c>
      <c r="R23" s="28">
        <v>0</v>
      </c>
      <c r="S23" s="28">
        <v>0</v>
      </c>
      <c r="T23" s="28">
        <v>0</v>
      </c>
      <c r="U23" s="29">
        <f t="shared" si="1"/>
        <v>0</v>
      </c>
      <c r="V23" s="28">
        <v>0</v>
      </c>
      <c r="W23" s="28">
        <v>0</v>
      </c>
      <c r="X23" s="28">
        <v>0</v>
      </c>
      <c r="Y23" s="29">
        <f t="shared" si="2"/>
        <v>0</v>
      </c>
      <c r="Z23" s="30">
        <f t="shared" si="5"/>
        <v>0</v>
      </c>
    </row>
    <row r="24" spans="1:31" ht="15.75" customHeight="1" x14ac:dyDescent="0.25">
      <c r="A24" s="2" t="s">
        <v>298</v>
      </c>
      <c r="B24" s="3" t="s">
        <v>299</v>
      </c>
      <c r="C24" s="2" t="s">
        <v>15</v>
      </c>
      <c r="D24" s="31">
        <v>3</v>
      </c>
      <c r="E24" s="3" t="s">
        <v>33</v>
      </c>
      <c r="F24" s="28">
        <v>0</v>
      </c>
      <c r="G24" s="28">
        <v>0</v>
      </c>
      <c r="H24" s="28">
        <v>0</v>
      </c>
      <c r="I24" s="29">
        <f t="shared" si="3"/>
        <v>0</v>
      </c>
      <c r="J24" s="28">
        <v>0</v>
      </c>
      <c r="K24" s="28">
        <v>0</v>
      </c>
      <c r="L24" s="28">
        <v>0</v>
      </c>
      <c r="M24" s="29">
        <f t="shared" si="0"/>
        <v>0</v>
      </c>
      <c r="N24" s="28">
        <v>0</v>
      </c>
      <c r="O24" s="28">
        <v>0</v>
      </c>
      <c r="P24" s="28">
        <v>0</v>
      </c>
      <c r="Q24" s="29">
        <f t="shared" si="4"/>
        <v>0</v>
      </c>
      <c r="R24" s="28">
        <v>0</v>
      </c>
      <c r="S24" s="28">
        <v>0</v>
      </c>
      <c r="T24" s="28">
        <v>0</v>
      </c>
      <c r="U24" s="29">
        <f t="shared" si="1"/>
        <v>0</v>
      </c>
      <c r="V24" s="28">
        <v>0</v>
      </c>
      <c r="W24" s="28">
        <v>0</v>
      </c>
      <c r="X24" s="28">
        <v>0</v>
      </c>
      <c r="Y24" s="29">
        <f t="shared" si="2"/>
        <v>0</v>
      </c>
      <c r="Z24" s="30">
        <f t="shared" si="5"/>
        <v>0</v>
      </c>
    </row>
    <row r="25" spans="1:31" ht="15.75" customHeight="1" x14ac:dyDescent="0.25">
      <c r="A25" s="2" t="s">
        <v>284</v>
      </c>
      <c r="B25" s="3" t="s">
        <v>285</v>
      </c>
      <c r="C25" s="2" t="s">
        <v>15</v>
      </c>
      <c r="D25" s="31">
        <v>3</v>
      </c>
      <c r="E25" s="3" t="s">
        <v>33</v>
      </c>
      <c r="F25" s="28">
        <v>0</v>
      </c>
      <c r="G25" s="28">
        <v>0</v>
      </c>
      <c r="H25" s="28">
        <v>0</v>
      </c>
      <c r="I25" s="29">
        <f t="shared" si="3"/>
        <v>0</v>
      </c>
      <c r="J25" s="28">
        <v>0</v>
      </c>
      <c r="K25" s="28">
        <v>0</v>
      </c>
      <c r="L25" s="28">
        <v>0</v>
      </c>
      <c r="M25" s="29">
        <f t="shared" si="0"/>
        <v>0</v>
      </c>
      <c r="N25" s="28">
        <v>0</v>
      </c>
      <c r="O25" s="28">
        <v>0</v>
      </c>
      <c r="P25" s="28">
        <v>0</v>
      </c>
      <c r="Q25" s="29">
        <f t="shared" si="4"/>
        <v>0</v>
      </c>
      <c r="R25" s="28">
        <v>0</v>
      </c>
      <c r="S25" s="28">
        <v>0</v>
      </c>
      <c r="T25" s="28">
        <v>0</v>
      </c>
      <c r="U25" s="29">
        <f t="shared" si="1"/>
        <v>0</v>
      </c>
      <c r="V25" s="28">
        <v>0</v>
      </c>
      <c r="W25" s="28">
        <v>0</v>
      </c>
      <c r="X25" s="28">
        <v>0</v>
      </c>
      <c r="Y25" s="29">
        <f t="shared" si="2"/>
        <v>0</v>
      </c>
      <c r="Z25" s="30">
        <f t="shared" si="5"/>
        <v>0</v>
      </c>
    </row>
    <row r="26" spans="1:31" ht="15.75" customHeight="1" x14ac:dyDescent="0.25">
      <c r="A26" s="2" t="s">
        <v>286</v>
      </c>
      <c r="B26" s="3" t="s">
        <v>287</v>
      </c>
      <c r="C26" s="2" t="s">
        <v>15</v>
      </c>
      <c r="D26" s="31">
        <v>3</v>
      </c>
      <c r="E26" s="3" t="s">
        <v>33</v>
      </c>
      <c r="F26" s="28">
        <v>0</v>
      </c>
      <c r="G26" s="28">
        <v>0</v>
      </c>
      <c r="H26" s="28">
        <v>0</v>
      </c>
      <c r="I26" s="29">
        <f t="shared" si="3"/>
        <v>0</v>
      </c>
      <c r="J26" s="28">
        <v>0</v>
      </c>
      <c r="K26" s="28">
        <v>0</v>
      </c>
      <c r="L26" s="28">
        <v>0</v>
      </c>
      <c r="M26" s="29">
        <f t="shared" si="0"/>
        <v>0</v>
      </c>
      <c r="N26" s="28">
        <v>0</v>
      </c>
      <c r="O26" s="28">
        <v>0</v>
      </c>
      <c r="P26" s="28">
        <v>0</v>
      </c>
      <c r="Q26" s="29">
        <f t="shared" si="4"/>
        <v>0</v>
      </c>
      <c r="R26" s="28">
        <v>0</v>
      </c>
      <c r="S26" s="28">
        <v>0</v>
      </c>
      <c r="T26" s="28">
        <v>0</v>
      </c>
      <c r="U26" s="29">
        <f t="shared" si="1"/>
        <v>0</v>
      </c>
      <c r="V26" s="28">
        <v>0</v>
      </c>
      <c r="W26" s="28">
        <v>0</v>
      </c>
      <c r="X26" s="28">
        <v>0</v>
      </c>
      <c r="Y26" s="29">
        <f t="shared" si="2"/>
        <v>0</v>
      </c>
      <c r="Z26" s="30">
        <f t="shared" si="5"/>
        <v>0</v>
      </c>
    </row>
    <row r="27" spans="1:31" ht="15.75" customHeight="1" x14ac:dyDescent="0.25">
      <c r="A27" s="2" t="s">
        <v>270</v>
      </c>
      <c r="B27" s="3" t="s">
        <v>271</v>
      </c>
      <c r="C27" s="2" t="s">
        <v>15</v>
      </c>
      <c r="D27" s="31">
        <v>3</v>
      </c>
      <c r="E27" s="3" t="s">
        <v>33</v>
      </c>
      <c r="F27" s="28">
        <v>0</v>
      </c>
      <c r="G27" s="28">
        <v>0</v>
      </c>
      <c r="H27" s="28">
        <v>0</v>
      </c>
      <c r="I27" s="29">
        <f t="shared" si="3"/>
        <v>0</v>
      </c>
      <c r="J27" s="28">
        <v>0</v>
      </c>
      <c r="K27" s="28">
        <v>0</v>
      </c>
      <c r="L27" s="28">
        <v>0</v>
      </c>
      <c r="M27" s="29">
        <f t="shared" si="0"/>
        <v>0</v>
      </c>
      <c r="N27" s="28">
        <v>0</v>
      </c>
      <c r="O27" s="28">
        <v>0</v>
      </c>
      <c r="P27" s="28">
        <v>0</v>
      </c>
      <c r="Q27" s="29">
        <f t="shared" si="4"/>
        <v>0</v>
      </c>
      <c r="R27" s="28">
        <v>0</v>
      </c>
      <c r="S27" s="28">
        <v>0</v>
      </c>
      <c r="T27" s="28">
        <v>0</v>
      </c>
      <c r="U27" s="29">
        <f t="shared" si="1"/>
        <v>0</v>
      </c>
      <c r="V27" s="28">
        <v>0</v>
      </c>
      <c r="W27" s="28">
        <v>0</v>
      </c>
      <c r="X27" s="28">
        <v>0</v>
      </c>
      <c r="Y27" s="29">
        <f t="shared" si="2"/>
        <v>0</v>
      </c>
      <c r="Z27" s="30">
        <f t="shared" si="5"/>
        <v>0</v>
      </c>
    </row>
    <row r="28" spans="1:31" ht="15.75" customHeight="1" x14ac:dyDescent="0.25">
      <c r="A28" s="2" t="s">
        <v>282</v>
      </c>
      <c r="B28" s="3" t="s">
        <v>283</v>
      </c>
      <c r="C28" s="2" t="s">
        <v>15</v>
      </c>
      <c r="D28" s="31">
        <v>3</v>
      </c>
      <c r="E28" s="3" t="s">
        <v>33</v>
      </c>
      <c r="F28" s="28">
        <v>0</v>
      </c>
      <c r="G28" s="28">
        <v>0</v>
      </c>
      <c r="H28" s="28">
        <v>0</v>
      </c>
      <c r="I28" s="29">
        <f t="shared" si="3"/>
        <v>0</v>
      </c>
      <c r="J28" s="28">
        <v>0</v>
      </c>
      <c r="K28" s="28">
        <v>0</v>
      </c>
      <c r="L28" s="28">
        <v>0</v>
      </c>
      <c r="M28" s="29">
        <f t="shared" si="0"/>
        <v>0</v>
      </c>
      <c r="N28" s="28">
        <v>0</v>
      </c>
      <c r="O28" s="28">
        <v>0</v>
      </c>
      <c r="P28" s="28">
        <v>0</v>
      </c>
      <c r="Q28" s="29">
        <f t="shared" si="4"/>
        <v>0</v>
      </c>
      <c r="R28" s="28">
        <v>0</v>
      </c>
      <c r="S28" s="28">
        <v>0</v>
      </c>
      <c r="T28" s="28">
        <v>0</v>
      </c>
      <c r="U28" s="29">
        <f t="shared" si="1"/>
        <v>0</v>
      </c>
      <c r="V28" s="28">
        <v>0</v>
      </c>
      <c r="W28" s="28">
        <v>0</v>
      </c>
      <c r="X28" s="28">
        <v>0</v>
      </c>
      <c r="Y28" s="29">
        <f t="shared" si="2"/>
        <v>0</v>
      </c>
      <c r="Z28" s="30">
        <f t="shared" si="5"/>
        <v>0</v>
      </c>
    </row>
    <row r="29" spans="1:31" ht="15.75" customHeight="1" x14ac:dyDescent="0.25">
      <c r="A29" s="2" t="s">
        <v>308</v>
      </c>
      <c r="B29" s="3" t="s">
        <v>309</v>
      </c>
      <c r="C29" s="2" t="s">
        <v>15</v>
      </c>
      <c r="D29" s="31">
        <v>3</v>
      </c>
      <c r="E29" s="3" t="s">
        <v>33</v>
      </c>
      <c r="F29" s="28">
        <v>0</v>
      </c>
      <c r="G29" s="28">
        <v>0</v>
      </c>
      <c r="H29" s="28">
        <v>0</v>
      </c>
      <c r="I29" s="29">
        <f t="shared" si="3"/>
        <v>0</v>
      </c>
      <c r="J29" s="28">
        <v>0</v>
      </c>
      <c r="K29" s="28">
        <v>0</v>
      </c>
      <c r="L29" s="28">
        <v>0</v>
      </c>
      <c r="M29" s="29">
        <f t="shared" si="0"/>
        <v>0</v>
      </c>
      <c r="N29" s="28">
        <v>0</v>
      </c>
      <c r="O29" s="28">
        <v>0</v>
      </c>
      <c r="P29" s="28">
        <v>0</v>
      </c>
      <c r="Q29" s="29">
        <f t="shared" si="4"/>
        <v>0</v>
      </c>
      <c r="R29" s="28">
        <v>0</v>
      </c>
      <c r="S29" s="28">
        <v>0</v>
      </c>
      <c r="T29" s="28">
        <v>0</v>
      </c>
      <c r="U29" s="29">
        <f t="shared" si="1"/>
        <v>0</v>
      </c>
      <c r="V29" s="28">
        <v>0</v>
      </c>
      <c r="W29" s="28">
        <v>0</v>
      </c>
      <c r="X29" s="28">
        <v>0</v>
      </c>
      <c r="Y29" s="29">
        <f t="shared" si="2"/>
        <v>0</v>
      </c>
      <c r="Z29" s="30">
        <f t="shared" si="5"/>
        <v>0</v>
      </c>
    </row>
    <row r="30" spans="1:31" ht="15.75" customHeight="1" x14ac:dyDescent="0.25">
      <c r="A30" s="2" t="s">
        <v>262</v>
      </c>
      <c r="B30" s="3" t="s">
        <v>263</v>
      </c>
      <c r="C30" s="2" t="s">
        <v>15</v>
      </c>
      <c r="D30" s="31">
        <v>3</v>
      </c>
      <c r="E30" s="3" t="s">
        <v>33</v>
      </c>
      <c r="F30" s="28">
        <v>0</v>
      </c>
      <c r="G30" s="28">
        <v>0</v>
      </c>
      <c r="H30" s="28">
        <v>0</v>
      </c>
      <c r="I30" s="29">
        <f t="shared" si="3"/>
        <v>0</v>
      </c>
      <c r="J30" s="28">
        <v>0</v>
      </c>
      <c r="K30" s="28">
        <v>0</v>
      </c>
      <c r="L30" s="28">
        <v>0</v>
      </c>
      <c r="M30" s="29">
        <f t="shared" si="0"/>
        <v>0</v>
      </c>
      <c r="N30" s="28">
        <v>0</v>
      </c>
      <c r="O30" s="28">
        <v>0</v>
      </c>
      <c r="P30" s="28">
        <v>0</v>
      </c>
      <c r="Q30" s="29">
        <f t="shared" si="4"/>
        <v>0</v>
      </c>
      <c r="R30" s="28">
        <v>0</v>
      </c>
      <c r="S30" s="28">
        <v>0</v>
      </c>
      <c r="T30" s="28">
        <v>0</v>
      </c>
      <c r="U30" s="29">
        <f t="shared" si="1"/>
        <v>0</v>
      </c>
      <c r="V30" s="28">
        <v>0</v>
      </c>
      <c r="W30" s="28">
        <v>0</v>
      </c>
      <c r="X30" s="28">
        <v>0</v>
      </c>
      <c r="Y30" s="29">
        <f t="shared" si="2"/>
        <v>0</v>
      </c>
      <c r="Z30" s="30">
        <f t="shared" si="5"/>
        <v>0</v>
      </c>
    </row>
    <row r="31" spans="1:31" ht="15.75" customHeight="1" x14ac:dyDescent="0.25">
      <c r="A31" s="2" t="s">
        <v>316</v>
      </c>
      <c r="B31" s="3" t="s">
        <v>317</v>
      </c>
      <c r="C31" s="2" t="s">
        <v>15</v>
      </c>
      <c r="D31" s="31">
        <v>3</v>
      </c>
      <c r="E31" s="3" t="s">
        <v>33</v>
      </c>
      <c r="F31" s="28">
        <v>0</v>
      </c>
      <c r="G31" s="28">
        <v>0</v>
      </c>
      <c r="H31" s="28">
        <v>0</v>
      </c>
      <c r="I31" s="29">
        <f t="shared" ref="I31:I46" si="6">AVERAGE(F31:H31)</f>
        <v>0</v>
      </c>
      <c r="J31" s="28">
        <v>0</v>
      </c>
      <c r="K31" s="28">
        <v>0</v>
      </c>
      <c r="L31" s="28">
        <v>0</v>
      </c>
      <c r="M31" s="29">
        <f t="shared" ref="M31:M46" si="7">AVERAGE(J31:L31)</f>
        <v>0</v>
      </c>
      <c r="N31" s="28">
        <v>0</v>
      </c>
      <c r="O31" s="28">
        <v>0</v>
      </c>
      <c r="P31" s="28">
        <v>0</v>
      </c>
      <c r="Q31" s="29">
        <f t="shared" ref="Q31:Q46" si="8">AVERAGE(N31:P31)</f>
        <v>0</v>
      </c>
      <c r="R31" s="28">
        <v>0</v>
      </c>
      <c r="S31" s="28">
        <v>0</v>
      </c>
      <c r="T31" s="28">
        <v>0</v>
      </c>
      <c r="U31" s="29">
        <f t="shared" ref="U31:U46" si="9">AVERAGE(R31:T31)</f>
        <v>0</v>
      </c>
      <c r="V31" s="28">
        <v>0</v>
      </c>
      <c r="W31" s="28">
        <v>0</v>
      </c>
      <c r="X31" s="28">
        <v>0</v>
      </c>
      <c r="Y31" s="29">
        <f t="shared" ref="Y31:Y46" si="10">AVERAGE(V31:X31)</f>
        <v>0</v>
      </c>
      <c r="Z31" s="30">
        <f t="shared" ref="Z31:Z46" si="11">AVERAGE(I31,M31,Q31,U31,Y31)</f>
        <v>0</v>
      </c>
    </row>
    <row r="32" spans="1:31" ht="15.75" customHeight="1" x14ac:dyDescent="0.25">
      <c r="A32" s="2" t="s">
        <v>304</v>
      </c>
      <c r="B32" s="3" t="s">
        <v>305</v>
      </c>
      <c r="C32" s="2" t="s">
        <v>15</v>
      </c>
      <c r="D32" s="31">
        <v>3</v>
      </c>
      <c r="E32" s="3" t="s">
        <v>128</v>
      </c>
      <c r="F32" s="28">
        <v>0</v>
      </c>
      <c r="G32" s="28">
        <v>0</v>
      </c>
      <c r="H32" s="28">
        <v>0</v>
      </c>
      <c r="I32" s="29">
        <f t="shared" si="6"/>
        <v>0</v>
      </c>
      <c r="J32" s="28">
        <v>0</v>
      </c>
      <c r="K32" s="28">
        <v>0</v>
      </c>
      <c r="L32" s="28">
        <v>0</v>
      </c>
      <c r="M32" s="29">
        <f t="shared" si="7"/>
        <v>0</v>
      </c>
      <c r="N32" s="28">
        <v>0</v>
      </c>
      <c r="O32" s="28">
        <v>0</v>
      </c>
      <c r="P32" s="28">
        <v>0</v>
      </c>
      <c r="Q32" s="29">
        <f t="shared" si="8"/>
        <v>0</v>
      </c>
      <c r="R32" s="28">
        <v>0</v>
      </c>
      <c r="S32" s="28">
        <v>0</v>
      </c>
      <c r="T32" s="28">
        <v>0</v>
      </c>
      <c r="U32" s="29">
        <f t="shared" si="9"/>
        <v>0</v>
      </c>
      <c r="V32" s="28">
        <v>0</v>
      </c>
      <c r="W32" s="28">
        <v>0</v>
      </c>
      <c r="X32" s="28">
        <v>0</v>
      </c>
      <c r="Y32" s="29">
        <f t="shared" si="10"/>
        <v>0</v>
      </c>
      <c r="Z32" s="30">
        <f t="shared" si="11"/>
        <v>0</v>
      </c>
    </row>
    <row r="33" spans="1:26" ht="15.75" customHeight="1" x14ac:dyDescent="0.25">
      <c r="A33" s="2" t="s">
        <v>264</v>
      </c>
      <c r="B33" s="3" t="s">
        <v>265</v>
      </c>
      <c r="C33" s="2" t="s">
        <v>15</v>
      </c>
      <c r="D33" s="31">
        <v>3</v>
      </c>
      <c r="E33" s="3" t="s">
        <v>128</v>
      </c>
      <c r="F33" s="28">
        <v>0</v>
      </c>
      <c r="G33" s="28">
        <v>0</v>
      </c>
      <c r="H33" s="28">
        <v>0</v>
      </c>
      <c r="I33" s="29">
        <f t="shared" si="6"/>
        <v>0</v>
      </c>
      <c r="J33" s="28">
        <v>0</v>
      </c>
      <c r="K33" s="28">
        <v>0</v>
      </c>
      <c r="L33" s="28">
        <v>0</v>
      </c>
      <c r="M33" s="29">
        <f t="shared" si="7"/>
        <v>0</v>
      </c>
      <c r="N33" s="28">
        <v>0</v>
      </c>
      <c r="O33" s="28">
        <v>0</v>
      </c>
      <c r="P33" s="28">
        <v>0</v>
      </c>
      <c r="Q33" s="29">
        <f t="shared" si="8"/>
        <v>0</v>
      </c>
      <c r="R33" s="28">
        <v>0</v>
      </c>
      <c r="S33" s="28">
        <v>0</v>
      </c>
      <c r="T33" s="28">
        <v>0</v>
      </c>
      <c r="U33" s="29">
        <f t="shared" si="9"/>
        <v>0</v>
      </c>
      <c r="V33" s="28">
        <v>0</v>
      </c>
      <c r="W33" s="28">
        <v>0</v>
      </c>
      <c r="X33" s="28">
        <v>0</v>
      </c>
      <c r="Y33" s="29">
        <f t="shared" si="10"/>
        <v>0</v>
      </c>
      <c r="Z33" s="30">
        <f t="shared" si="11"/>
        <v>0</v>
      </c>
    </row>
    <row r="34" spans="1:26" ht="15.75" customHeight="1" x14ac:dyDescent="0.25">
      <c r="A34" s="15"/>
      <c r="B34" s="16" t="s">
        <v>217</v>
      </c>
      <c r="C34" s="2" t="s">
        <v>15</v>
      </c>
      <c r="D34" s="31">
        <v>3</v>
      </c>
      <c r="E34" s="3" t="s">
        <v>128</v>
      </c>
      <c r="F34" s="28">
        <v>0</v>
      </c>
      <c r="G34" s="28">
        <v>0</v>
      </c>
      <c r="H34" s="28">
        <v>0</v>
      </c>
      <c r="I34" s="29">
        <f t="shared" si="6"/>
        <v>0</v>
      </c>
      <c r="J34" s="28">
        <v>0</v>
      </c>
      <c r="K34" s="28">
        <v>0</v>
      </c>
      <c r="L34" s="28">
        <v>0</v>
      </c>
      <c r="M34" s="29">
        <f t="shared" si="7"/>
        <v>0</v>
      </c>
      <c r="N34" s="28">
        <v>0</v>
      </c>
      <c r="O34" s="28">
        <v>0</v>
      </c>
      <c r="P34" s="28">
        <v>0</v>
      </c>
      <c r="Q34" s="29">
        <f t="shared" si="8"/>
        <v>0</v>
      </c>
      <c r="R34" s="28">
        <v>0</v>
      </c>
      <c r="S34" s="28">
        <v>0</v>
      </c>
      <c r="T34" s="28">
        <v>0</v>
      </c>
      <c r="U34" s="29">
        <f t="shared" si="9"/>
        <v>0</v>
      </c>
      <c r="V34" s="28">
        <v>0</v>
      </c>
      <c r="W34" s="28">
        <v>0</v>
      </c>
      <c r="X34" s="28">
        <v>0</v>
      </c>
      <c r="Y34" s="29">
        <f t="shared" si="10"/>
        <v>0</v>
      </c>
      <c r="Z34" s="30">
        <f t="shared" si="11"/>
        <v>0</v>
      </c>
    </row>
    <row r="35" spans="1:26" ht="15.75" customHeight="1" x14ac:dyDescent="0.25">
      <c r="A35" s="2" t="s">
        <v>296</v>
      </c>
      <c r="B35" s="3" t="s">
        <v>297</v>
      </c>
      <c r="C35" s="2" t="s">
        <v>15</v>
      </c>
      <c r="D35" s="31">
        <v>3</v>
      </c>
      <c r="E35" s="3" t="s">
        <v>128</v>
      </c>
      <c r="F35" s="28">
        <v>0</v>
      </c>
      <c r="G35" s="28">
        <v>0</v>
      </c>
      <c r="H35" s="28">
        <v>0</v>
      </c>
      <c r="I35" s="29">
        <f t="shared" si="6"/>
        <v>0</v>
      </c>
      <c r="J35" s="28">
        <v>0</v>
      </c>
      <c r="K35" s="28">
        <v>0</v>
      </c>
      <c r="L35" s="28">
        <v>0</v>
      </c>
      <c r="M35" s="29">
        <f t="shared" si="7"/>
        <v>0</v>
      </c>
      <c r="N35" s="28">
        <v>0</v>
      </c>
      <c r="O35" s="28">
        <v>0</v>
      </c>
      <c r="P35" s="28">
        <v>0</v>
      </c>
      <c r="Q35" s="29">
        <f t="shared" si="8"/>
        <v>0</v>
      </c>
      <c r="R35" s="28">
        <v>0</v>
      </c>
      <c r="S35" s="28">
        <v>0</v>
      </c>
      <c r="T35" s="28">
        <v>0</v>
      </c>
      <c r="U35" s="29">
        <f t="shared" si="9"/>
        <v>0</v>
      </c>
      <c r="V35" s="28">
        <v>0</v>
      </c>
      <c r="W35" s="28">
        <v>0</v>
      </c>
      <c r="X35" s="28">
        <v>0</v>
      </c>
      <c r="Y35" s="29">
        <f t="shared" si="10"/>
        <v>0</v>
      </c>
      <c r="Z35" s="30">
        <f t="shared" si="11"/>
        <v>0</v>
      </c>
    </row>
    <row r="36" spans="1:26" ht="15.75" customHeight="1" x14ac:dyDescent="0.25">
      <c r="A36" s="2" t="s">
        <v>338</v>
      </c>
      <c r="B36" s="3" t="s">
        <v>339</v>
      </c>
      <c r="C36" s="2" t="s">
        <v>15</v>
      </c>
      <c r="D36" s="31">
        <v>3</v>
      </c>
      <c r="E36" s="3" t="s">
        <v>128</v>
      </c>
      <c r="F36" s="28">
        <v>0</v>
      </c>
      <c r="G36" s="28">
        <v>0</v>
      </c>
      <c r="H36" s="28">
        <v>0</v>
      </c>
      <c r="I36" s="29">
        <f t="shared" si="6"/>
        <v>0</v>
      </c>
      <c r="J36" s="28">
        <v>0</v>
      </c>
      <c r="K36" s="28">
        <v>0</v>
      </c>
      <c r="L36" s="28">
        <v>0</v>
      </c>
      <c r="M36" s="29">
        <f t="shared" si="7"/>
        <v>0</v>
      </c>
      <c r="N36" s="28">
        <v>0</v>
      </c>
      <c r="O36" s="28">
        <v>0</v>
      </c>
      <c r="P36" s="28">
        <v>0</v>
      </c>
      <c r="Q36" s="29">
        <f t="shared" si="8"/>
        <v>0</v>
      </c>
      <c r="R36" s="28">
        <v>0</v>
      </c>
      <c r="S36" s="28">
        <v>0</v>
      </c>
      <c r="T36" s="28">
        <v>0</v>
      </c>
      <c r="U36" s="29">
        <f t="shared" si="9"/>
        <v>0</v>
      </c>
      <c r="V36" s="28">
        <v>0</v>
      </c>
      <c r="W36" s="28">
        <v>0</v>
      </c>
      <c r="X36" s="28">
        <v>0</v>
      </c>
      <c r="Y36" s="29">
        <f t="shared" si="10"/>
        <v>0</v>
      </c>
      <c r="Z36" s="30">
        <f t="shared" si="11"/>
        <v>0</v>
      </c>
    </row>
    <row r="37" spans="1:26" x14ac:dyDescent="0.25">
      <c r="A37" s="2" t="s">
        <v>278</v>
      </c>
      <c r="B37" s="3" t="s">
        <v>279</v>
      </c>
      <c r="C37" s="2" t="s">
        <v>15</v>
      </c>
      <c r="D37" s="31">
        <v>3</v>
      </c>
      <c r="E37" s="3" t="s">
        <v>128</v>
      </c>
      <c r="F37" s="28">
        <v>0</v>
      </c>
      <c r="G37" s="28">
        <v>0</v>
      </c>
      <c r="H37" s="28">
        <v>0</v>
      </c>
      <c r="I37" s="29">
        <f t="shared" si="6"/>
        <v>0</v>
      </c>
      <c r="J37" s="28">
        <v>0</v>
      </c>
      <c r="K37" s="28">
        <v>0</v>
      </c>
      <c r="L37" s="28">
        <v>0</v>
      </c>
      <c r="M37" s="29">
        <f t="shared" si="7"/>
        <v>0</v>
      </c>
      <c r="N37" s="28">
        <v>0</v>
      </c>
      <c r="O37" s="28">
        <v>0</v>
      </c>
      <c r="P37" s="28">
        <v>0</v>
      </c>
      <c r="Q37" s="29">
        <f t="shared" si="8"/>
        <v>0</v>
      </c>
      <c r="R37" s="28">
        <v>0</v>
      </c>
      <c r="S37" s="28">
        <v>0</v>
      </c>
      <c r="T37" s="28">
        <v>0</v>
      </c>
      <c r="U37" s="29">
        <f t="shared" si="9"/>
        <v>0</v>
      </c>
      <c r="V37" s="28">
        <v>0</v>
      </c>
      <c r="W37" s="28">
        <v>0</v>
      </c>
      <c r="X37" s="28">
        <v>0</v>
      </c>
      <c r="Y37" s="29">
        <f t="shared" si="10"/>
        <v>0</v>
      </c>
      <c r="Z37" s="30">
        <f t="shared" si="11"/>
        <v>0</v>
      </c>
    </row>
    <row r="38" spans="1:26" x14ac:dyDescent="0.25">
      <c r="A38" s="2" t="s">
        <v>324</v>
      </c>
      <c r="B38" s="3" t="s">
        <v>325</v>
      </c>
      <c r="C38" s="2" t="s">
        <v>15</v>
      </c>
      <c r="D38" s="31">
        <v>3</v>
      </c>
      <c r="E38" s="3" t="s">
        <v>128</v>
      </c>
      <c r="F38" s="28">
        <v>0</v>
      </c>
      <c r="G38" s="28">
        <v>0</v>
      </c>
      <c r="H38" s="28">
        <v>0</v>
      </c>
      <c r="I38" s="29">
        <f t="shared" si="6"/>
        <v>0</v>
      </c>
      <c r="J38" s="28">
        <v>0</v>
      </c>
      <c r="K38" s="28">
        <v>0</v>
      </c>
      <c r="L38" s="28">
        <v>0</v>
      </c>
      <c r="M38" s="29">
        <f t="shared" si="7"/>
        <v>0</v>
      </c>
      <c r="N38" s="28">
        <v>0</v>
      </c>
      <c r="O38" s="28">
        <v>0</v>
      </c>
      <c r="P38" s="28">
        <v>0</v>
      </c>
      <c r="Q38" s="29">
        <f t="shared" si="8"/>
        <v>0</v>
      </c>
      <c r="R38" s="28">
        <v>0</v>
      </c>
      <c r="S38" s="28">
        <v>0</v>
      </c>
      <c r="T38" s="28">
        <v>0</v>
      </c>
      <c r="U38" s="29">
        <f t="shared" si="9"/>
        <v>0</v>
      </c>
      <c r="V38" s="28">
        <v>0</v>
      </c>
      <c r="W38" s="28">
        <v>0</v>
      </c>
      <c r="X38" s="28">
        <v>0</v>
      </c>
      <c r="Y38" s="29">
        <f t="shared" si="10"/>
        <v>0</v>
      </c>
      <c r="Z38" s="30">
        <f t="shared" si="11"/>
        <v>0</v>
      </c>
    </row>
    <row r="39" spans="1:26" x14ac:dyDescent="0.25">
      <c r="A39" s="2" t="s">
        <v>290</v>
      </c>
      <c r="B39" s="3" t="s">
        <v>291</v>
      </c>
      <c r="C39" s="2" t="s">
        <v>15</v>
      </c>
      <c r="D39" s="31">
        <v>3</v>
      </c>
      <c r="E39" s="3" t="s">
        <v>128</v>
      </c>
      <c r="F39" s="28">
        <v>0</v>
      </c>
      <c r="G39" s="28">
        <v>0</v>
      </c>
      <c r="H39" s="28">
        <v>0</v>
      </c>
      <c r="I39" s="29">
        <f t="shared" si="6"/>
        <v>0</v>
      </c>
      <c r="J39" s="28">
        <v>0</v>
      </c>
      <c r="K39" s="28">
        <v>0</v>
      </c>
      <c r="L39" s="28">
        <v>0</v>
      </c>
      <c r="M39" s="29">
        <f t="shared" si="7"/>
        <v>0</v>
      </c>
      <c r="N39" s="28">
        <v>0</v>
      </c>
      <c r="O39" s="28">
        <v>0</v>
      </c>
      <c r="P39" s="28">
        <v>0</v>
      </c>
      <c r="Q39" s="29">
        <f t="shared" si="8"/>
        <v>0</v>
      </c>
      <c r="R39" s="28">
        <v>0</v>
      </c>
      <c r="S39" s="28">
        <v>0</v>
      </c>
      <c r="T39" s="28">
        <v>0</v>
      </c>
      <c r="U39" s="29">
        <f t="shared" si="9"/>
        <v>0</v>
      </c>
      <c r="V39" s="28">
        <v>0</v>
      </c>
      <c r="W39" s="28">
        <v>0</v>
      </c>
      <c r="X39" s="28">
        <v>0</v>
      </c>
      <c r="Y39" s="29">
        <f t="shared" si="10"/>
        <v>0</v>
      </c>
      <c r="Z39" s="30">
        <f t="shared" si="11"/>
        <v>0</v>
      </c>
    </row>
    <row r="40" spans="1:26" x14ac:dyDescent="0.25">
      <c r="A40" s="2" t="s">
        <v>330</v>
      </c>
      <c r="B40" s="3" t="s">
        <v>331</v>
      </c>
      <c r="C40" s="2" t="s">
        <v>15</v>
      </c>
      <c r="D40" s="31">
        <v>3</v>
      </c>
      <c r="E40" s="3" t="s">
        <v>128</v>
      </c>
      <c r="F40" s="28">
        <v>0</v>
      </c>
      <c r="G40" s="28">
        <v>0</v>
      </c>
      <c r="H40" s="28">
        <v>0</v>
      </c>
      <c r="I40" s="29">
        <f t="shared" si="6"/>
        <v>0</v>
      </c>
      <c r="J40" s="28">
        <v>0</v>
      </c>
      <c r="K40" s="28">
        <v>0</v>
      </c>
      <c r="L40" s="28">
        <v>0</v>
      </c>
      <c r="M40" s="29">
        <f t="shared" si="7"/>
        <v>0</v>
      </c>
      <c r="N40" s="28">
        <v>0</v>
      </c>
      <c r="O40" s="28">
        <v>0</v>
      </c>
      <c r="P40" s="28">
        <v>0</v>
      </c>
      <c r="Q40" s="29">
        <f t="shared" si="8"/>
        <v>0</v>
      </c>
      <c r="R40" s="28">
        <v>0</v>
      </c>
      <c r="S40" s="28">
        <v>0</v>
      </c>
      <c r="T40" s="28">
        <v>0</v>
      </c>
      <c r="U40" s="29">
        <f t="shared" si="9"/>
        <v>0</v>
      </c>
      <c r="V40" s="28">
        <v>0</v>
      </c>
      <c r="W40" s="28">
        <v>0</v>
      </c>
      <c r="X40" s="28">
        <v>0</v>
      </c>
      <c r="Y40" s="29">
        <f t="shared" si="10"/>
        <v>0</v>
      </c>
      <c r="Z40" s="30">
        <f t="shared" si="11"/>
        <v>0</v>
      </c>
    </row>
    <row r="41" spans="1:26" x14ac:dyDescent="0.25">
      <c r="A41" s="2" t="s">
        <v>310</v>
      </c>
      <c r="B41" s="3" t="s">
        <v>311</v>
      </c>
      <c r="C41" s="2" t="s">
        <v>15</v>
      </c>
      <c r="D41" s="31">
        <v>3</v>
      </c>
      <c r="E41" s="3" t="s">
        <v>128</v>
      </c>
      <c r="F41" s="28">
        <v>0</v>
      </c>
      <c r="G41" s="28">
        <v>0</v>
      </c>
      <c r="H41" s="28">
        <v>0</v>
      </c>
      <c r="I41" s="29">
        <f t="shared" si="6"/>
        <v>0</v>
      </c>
      <c r="J41" s="28">
        <v>0</v>
      </c>
      <c r="K41" s="28">
        <v>0</v>
      </c>
      <c r="L41" s="28">
        <v>0</v>
      </c>
      <c r="M41" s="29">
        <f t="shared" si="7"/>
        <v>0</v>
      </c>
      <c r="N41" s="28">
        <v>0</v>
      </c>
      <c r="O41" s="28">
        <v>0</v>
      </c>
      <c r="P41" s="28">
        <v>0</v>
      </c>
      <c r="Q41" s="29">
        <f t="shared" si="8"/>
        <v>0</v>
      </c>
      <c r="R41" s="28">
        <v>0</v>
      </c>
      <c r="S41" s="28">
        <v>0</v>
      </c>
      <c r="T41" s="28">
        <v>0</v>
      </c>
      <c r="U41" s="29">
        <f t="shared" si="9"/>
        <v>0</v>
      </c>
      <c r="V41" s="28">
        <v>0</v>
      </c>
      <c r="W41" s="28">
        <v>0</v>
      </c>
      <c r="X41" s="28">
        <v>0</v>
      </c>
      <c r="Y41" s="29">
        <f t="shared" si="10"/>
        <v>0</v>
      </c>
      <c r="Z41" s="30">
        <f t="shared" si="11"/>
        <v>0</v>
      </c>
    </row>
    <row r="42" spans="1:26" x14ac:dyDescent="0.25">
      <c r="A42" s="2" t="s">
        <v>300</v>
      </c>
      <c r="B42" s="3" t="s">
        <v>301</v>
      </c>
      <c r="C42" s="2" t="s">
        <v>15</v>
      </c>
      <c r="D42" s="31">
        <v>3</v>
      </c>
      <c r="E42" s="3" t="s">
        <v>128</v>
      </c>
      <c r="F42" s="28">
        <v>0</v>
      </c>
      <c r="G42" s="28">
        <v>0</v>
      </c>
      <c r="H42" s="28">
        <v>0</v>
      </c>
      <c r="I42" s="29">
        <f t="shared" si="6"/>
        <v>0</v>
      </c>
      <c r="J42" s="28">
        <v>0</v>
      </c>
      <c r="K42" s="28">
        <v>0</v>
      </c>
      <c r="L42" s="28">
        <v>0</v>
      </c>
      <c r="M42" s="29">
        <f t="shared" si="7"/>
        <v>0</v>
      </c>
      <c r="N42" s="28">
        <v>0</v>
      </c>
      <c r="O42" s="28">
        <v>0</v>
      </c>
      <c r="P42" s="28">
        <v>0</v>
      </c>
      <c r="Q42" s="29">
        <f t="shared" si="8"/>
        <v>0</v>
      </c>
      <c r="R42" s="28">
        <v>0</v>
      </c>
      <c r="S42" s="28">
        <v>0</v>
      </c>
      <c r="T42" s="28">
        <v>0</v>
      </c>
      <c r="U42" s="29">
        <f t="shared" si="9"/>
        <v>0</v>
      </c>
      <c r="V42" s="28">
        <v>0</v>
      </c>
      <c r="W42" s="28">
        <v>0</v>
      </c>
      <c r="X42" s="28">
        <v>0</v>
      </c>
      <c r="Y42" s="29">
        <f t="shared" si="10"/>
        <v>0</v>
      </c>
      <c r="Z42" s="30">
        <f t="shared" si="11"/>
        <v>0</v>
      </c>
    </row>
    <row r="43" spans="1:26" x14ac:dyDescent="0.25">
      <c r="A43" s="2" t="s">
        <v>288</v>
      </c>
      <c r="B43" s="3" t="s">
        <v>289</v>
      </c>
      <c r="C43" s="2" t="s">
        <v>15</v>
      </c>
      <c r="D43" s="31">
        <v>3</v>
      </c>
      <c r="E43" s="3" t="s">
        <v>128</v>
      </c>
      <c r="F43" s="28">
        <v>0</v>
      </c>
      <c r="G43" s="28">
        <v>0</v>
      </c>
      <c r="H43" s="28">
        <v>0</v>
      </c>
      <c r="I43" s="29">
        <f t="shared" si="6"/>
        <v>0</v>
      </c>
      <c r="J43" s="28">
        <v>0</v>
      </c>
      <c r="K43" s="28">
        <v>0</v>
      </c>
      <c r="L43" s="28">
        <v>0</v>
      </c>
      <c r="M43" s="29">
        <f t="shared" si="7"/>
        <v>0</v>
      </c>
      <c r="N43" s="28">
        <v>0</v>
      </c>
      <c r="O43" s="28">
        <v>0</v>
      </c>
      <c r="P43" s="28">
        <v>0</v>
      </c>
      <c r="Q43" s="29">
        <f t="shared" si="8"/>
        <v>0</v>
      </c>
      <c r="R43" s="28">
        <v>0</v>
      </c>
      <c r="S43" s="28">
        <v>0</v>
      </c>
      <c r="T43" s="28">
        <v>0</v>
      </c>
      <c r="U43" s="29">
        <f t="shared" si="9"/>
        <v>0</v>
      </c>
      <c r="V43" s="28">
        <v>0</v>
      </c>
      <c r="W43" s="28">
        <v>0</v>
      </c>
      <c r="X43" s="28">
        <v>0</v>
      </c>
      <c r="Y43" s="29">
        <f t="shared" si="10"/>
        <v>0</v>
      </c>
      <c r="Z43" s="30">
        <f t="shared" si="11"/>
        <v>0</v>
      </c>
    </row>
    <row r="44" spans="1:26" x14ac:dyDescent="0.25">
      <c r="A44" s="2" t="s">
        <v>272</v>
      </c>
      <c r="B44" s="3" t="s">
        <v>273</v>
      </c>
      <c r="C44" s="2" t="s">
        <v>15</v>
      </c>
      <c r="D44" s="31">
        <v>3</v>
      </c>
      <c r="E44" s="3" t="s">
        <v>128</v>
      </c>
      <c r="F44" s="28">
        <v>0</v>
      </c>
      <c r="G44" s="28">
        <v>0</v>
      </c>
      <c r="H44" s="28">
        <v>0</v>
      </c>
      <c r="I44" s="29">
        <f t="shared" si="6"/>
        <v>0</v>
      </c>
      <c r="J44" s="28">
        <v>0</v>
      </c>
      <c r="K44" s="28">
        <v>0</v>
      </c>
      <c r="L44" s="28">
        <v>0</v>
      </c>
      <c r="M44" s="29">
        <f t="shared" si="7"/>
        <v>0</v>
      </c>
      <c r="N44" s="28">
        <v>0</v>
      </c>
      <c r="O44" s="28">
        <v>0</v>
      </c>
      <c r="P44" s="28">
        <v>0</v>
      </c>
      <c r="Q44" s="29">
        <f t="shared" si="8"/>
        <v>0</v>
      </c>
      <c r="R44" s="28">
        <v>0</v>
      </c>
      <c r="S44" s="28">
        <v>0</v>
      </c>
      <c r="T44" s="28">
        <v>0</v>
      </c>
      <c r="U44" s="29">
        <f t="shared" si="9"/>
        <v>0</v>
      </c>
      <c r="V44" s="28">
        <v>0</v>
      </c>
      <c r="W44" s="28">
        <v>0</v>
      </c>
      <c r="X44" s="28">
        <v>0</v>
      </c>
      <c r="Y44" s="29">
        <f t="shared" si="10"/>
        <v>0</v>
      </c>
      <c r="Z44" s="30">
        <f t="shared" si="11"/>
        <v>0</v>
      </c>
    </row>
    <row r="45" spans="1:26" x14ac:dyDescent="0.25">
      <c r="A45" s="2" t="s">
        <v>318</v>
      </c>
      <c r="B45" s="3" t="s">
        <v>319</v>
      </c>
      <c r="C45" s="2" t="s">
        <v>15</v>
      </c>
      <c r="D45" s="31">
        <v>3</v>
      </c>
      <c r="E45" s="3" t="s">
        <v>128</v>
      </c>
      <c r="F45" s="28">
        <v>0</v>
      </c>
      <c r="G45" s="28">
        <v>0</v>
      </c>
      <c r="H45" s="28">
        <v>0</v>
      </c>
      <c r="I45" s="29">
        <f t="shared" si="6"/>
        <v>0</v>
      </c>
      <c r="J45" s="28">
        <v>0</v>
      </c>
      <c r="K45" s="28">
        <v>0</v>
      </c>
      <c r="L45" s="28">
        <v>0</v>
      </c>
      <c r="M45" s="29">
        <f t="shared" si="7"/>
        <v>0</v>
      </c>
      <c r="N45" s="28">
        <v>0</v>
      </c>
      <c r="O45" s="28">
        <v>0</v>
      </c>
      <c r="P45" s="28">
        <v>0</v>
      </c>
      <c r="Q45" s="29">
        <f t="shared" si="8"/>
        <v>0</v>
      </c>
      <c r="R45" s="28">
        <v>0</v>
      </c>
      <c r="S45" s="28">
        <v>0</v>
      </c>
      <c r="T45" s="28">
        <v>0</v>
      </c>
      <c r="U45" s="29">
        <f t="shared" si="9"/>
        <v>0</v>
      </c>
      <c r="V45" s="28">
        <v>0</v>
      </c>
      <c r="W45" s="28">
        <v>0</v>
      </c>
      <c r="X45" s="28">
        <v>0</v>
      </c>
      <c r="Y45" s="29">
        <f t="shared" si="10"/>
        <v>0</v>
      </c>
      <c r="Z45" s="30">
        <f t="shared" si="11"/>
        <v>0</v>
      </c>
    </row>
    <row r="46" spans="1:26" x14ac:dyDescent="0.25">
      <c r="A46" s="2" t="s">
        <v>326</v>
      </c>
      <c r="B46" s="3" t="s">
        <v>327</v>
      </c>
      <c r="C46" s="2" t="s">
        <v>15</v>
      </c>
      <c r="D46" s="31">
        <v>3</v>
      </c>
      <c r="E46" s="3" t="s">
        <v>128</v>
      </c>
      <c r="F46" s="28">
        <v>0</v>
      </c>
      <c r="G46" s="28">
        <v>0</v>
      </c>
      <c r="H46" s="28">
        <v>0</v>
      </c>
      <c r="I46" s="29">
        <f t="shared" si="6"/>
        <v>0</v>
      </c>
      <c r="J46" s="28">
        <v>0</v>
      </c>
      <c r="K46" s="28">
        <v>0</v>
      </c>
      <c r="L46" s="28">
        <v>0</v>
      </c>
      <c r="M46" s="29">
        <f t="shared" si="7"/>
        <v>0</v>
      </c>
      <c r="N46" s="28">
        <v>0</v>
      </c>
      <c r="O46" s="28">
        <v>0</v>
      </c>
      <c r="P46" s="28">
        <v>0</v>
      </c>
      <c r="Q46" s="29">
        <f t="shared" si="8"/>
        <v>0</v>
      </c>
      <c r="R46" s="28">
        <v>0</v>
      </c>
      <c r="S46" s="28">
        <v>0</v>
      </c>
      <c r="T46" s="28">
        <v>0</v>
      </c>
      <c r="U46" s="29">
        <f t="shared" si="9"/>
        <v>0</v>
      </c>
      <c r="V46" s="28">
        <v>0</v>
      </c>
      <c r="W46" s="28">
        <v>0</v>
      </c>
      <c r="X46" s="28">
        <v>0</v>
      </c>
      <c r="Y46" s="29">
        <f t="shared" si="10"/>
        <v>0</v>
      </c>
      <c r="Z46" s="30">
        <f t="shared" si="11"/>
        <v>0</v>
      </c>
    </row>
  </sheetData>
  <sortState xmlns:xlrd2="http://schemas.microsoft.com/office/spreadsheetml/2017/richdata2" ref="A3:Z46">
    <sortCondition ref="E1:E46"/>
  </sortState>
  <mergeCells count="5">
    <mergeCell ref="F1:I1"/>
    <mergeCell ref="J1:M1"/>
    <mergeCell ref="N1:Q1"/>
    <mergeCell ref="R1:U1"/>
    <mergeCell ref="V1:Y1"/>
  </mergeCells>
  <conditionalFormatting sqref="F3:H46">
    <cfRule type="cellIs" dxfId="810" priority="53" operator="lessThan">
      <formula>7.9</formula>
    </cfRule>
  </conditionalFormatting>
  <conditionalFormatting sqref="F3:H46">
    <cfRule type="cellIs" dxfId="809" priority="54" operator="lessThan">
      <formula>7.4</formula>
    </cfRule>
  </conditionalFormatting>
  <conditionalFormatting sqref="F5:H6">
    <cfRule type="cellIs" dxfId="808" priority="55" operator="lessThan">
      <formula>6.9</formula>
    </cfRule>
  </conditionalFormatting>
  <conditionalFormatting sqref="I3:I46">
    <cfRule type="cellIs" dxfId="807" priority="56" operator="lessThan">
      <formula>7.9</formula>
    </cfRule>
    <cfRule type="cellIs" dxfId="806" priority="65" operator="lessThan">
      <formula>6.9</formula>
    </cfRule>
    <cfRule type="cellIs" dxfId="805" priority="66" operator="lessThan">
      <formula>7.4</formula>
    </cfRule>
    <cfRule type="cellIs" dxfId="804" priority="67" operator="lessThan">
      <formula>7.9</formula>
    </cfRule>
  </conditionalFormatting>
  <conditionalFormatting sqref="I3:I46">
    <cfRule type="cellIs" dxfId="803" priority="57" operator="lessThan">
      <formula>6.9</formula>
    </cfRule>
    <cfRule type="cellIs" dxfId="802" priority="58" operator="lessThan">
      <formula>7.4</formula>
    </cfRule>
    <cfRule type="cellIs" dxfId="801" priority="59" operator="lessThan">
      <formula>7.9</formula>
    </cfRule>
    <cfRule type="cellIs" dxfId="800" priority="60" operator="lessThan">
      <formula>6.9</formula>
    </cfRule>
    <cfRule type="cellIs" dxfId="799" priority="61" operator="lessThan">
      <formula>7.9</formula>
    </cfRule>
    <cfRule type="cellIs" dxfId="798" priority="62" operator="lessThan">
      <formula>7.4</formula>
    </cfRule>
    <cfRule type="cellIs" dxfId="797" priority="63" operator="lessThan">
      <formula>6.9</formula>
    </cfRule>
    <cfRule type="cellIs" dxfId="796" priority="64" operator="lessThan">
      <formula>7.9</formula>
    </cfRule>
  </conditionalFormatting>
  <conditionalFormatting sqref="M3:M46">
    <cfRule type="cellIs" dxfId="795" priority="68" operator="lessThan">
      <formula>7.9</formula>
    </cfRule>
    <cfRule type="cellIs" dxfId="794" priority="69" operator="lessThan">
      <formula>6.9</formula>
    </cfRule>
    <cfRule type="cellIs" dxfId="793" priority="70" operator="lessThan">
      <formula>7.4</formula>
    </cfRule>
    <cfRule type="cellIs" dxfId="792" priority="71" operator="lessThan">
      <formula>7.9</formula>
    </cfRule>
    <cfRule type="cellIs" dxfId="791" priority="72" operator="lessThan">
      <formula>6.9</formula>
    </cfRule>
    <cfRule type="cellIs" dxfId="790" priority="73" operator="lessThan">
      <formula>7.9</formula>
    </cfRule>
    <cfRule type="cellIs" dxfId="789" priority="74" operator="lessThan">
      <formula>7.4</formula>
    </cfRule>
    <cfRule type="cellIs" dxfId="788" priority="75" operator="lessThan">
      <formula>6.9</formula>
    </cfRule>
    <cfRule type="cellIs" dxfId="787" priority="76" operator="lessThan">
      <formula>7.9</formula>
    </cfRule>
    <cfRule type="cellIs" dxfId="786" priority="77" operator="lessThan">
      <formula>6.9</formula>
    </cfRule>
    <cfRule type="cellIs" dxfId="785" priority="78" operator="lessThan">
      <formula>7.4</formula>
    </cfRule>
    <cfRule type="cellIs" dxfId="784" priority="79" operator="lessThan">
      <formula>6.9</formula>
    </cfRule>
    <cfRule type="cellIs" dxfId="783" priority="80" operator="lessThan">
      <formula>7.4</formula>
    </cfRule>
    <cfRule type="cellIs" dxfId="782" priority="81" operator="lessThan">
      <formula>7.9</formula>
    </cfRule>
  </conditionalFormatting>
  <conditionalFormatting sqref="J3:L46">
    <cfRule type="cellIs" dxfId="781" priority="50" operator="lessThan">
      <formula>7.9</formula>
    </cfRule>
  </conditionalFormatting>
  <conditionalFormatting sqref="J3:L46">
    <cfRule type="cellIs" dxfId="780" priority="51" operator="lessThan">
      <formula>7.4</formula>
    </cfRule>
  </conditionalFormatting>
  <conditionalFormatting sqref="J5:L6">
    <cfRule type="cellIs" dxfId="779" priority="52" operator="lessThan">
      <formula>6.9</formula>
    </cfRule>
  </conditionalFormatting>
  <conditionalFormatting sqref="N3:P46">
    <cfRule type="cellIs" dxfId="778" priority="21" operator="lessThan">
      <formula>7.9</formula>
    </cfRule>
  </conditionalFormatting>
  <conditionalFormatting sqref="N3:P46">
    <cfRule type="cellIs" dxfId="777" priority="22" operator="lessThan">
      <formula>7.4</formula>
    </cfRule>
  </conditionalFormatting>
  <conditionalFormatting sqref="N5:P6">
    <cfRule type="cellIs" dxfId="776" priority="23" operator="lessThan">
      <formula>6.9</formula>
    </cfRule>
  </conditionalFormatting>
  <conditionalFormatting sqref="Q3:Q46">
    <cfRule type="cellIs" dxfId="775" priority="24" operator="lessThan">
      <formula>7.9</formula>
    </cfRule>
    <cfRule type="cellIs" dxfId="774" priority="33" operator="lessThan">
      <formula>6.9</formula>
    </cfRule>
    <cfRule type="cellIs" dxfId="773" priority="34" operator="lessThan">
      <formula>7.4</formula>
    </cfRule>
    <cfRule type="cellIs" dxfId="772" priority="35" operator="lessThan">
      <formula>7.9</formula>
    </cfRule>
  </conditionalFormatting>
  <conditionalFormatting sqref="Q3:Q46">
    <cfRule type="cellIs" dxfId="771" priority="25" operator="lessThan">
      <formula>6.9</formula>
    </cfRule>
    <cfRule type="cellIs" dxfId="770" priority="26" operator="lessThan">
      <formula>7.4</formula>
    </cfRule>
    <cfRule type="cellIs" dxfId="769" priority="27" operator="lessThan">
      <formula>7.9</formula>
    </cfRule>
    <cfRule type="cellIs" dxfId="768" priority="28" operator="lessThan">
      <formula>6.9</formula>
    </cfRule>
    <cfRule type="cellIs" dxfId="767" priority="29" operator="lessThan">
      <formula>7.9</formula>
    </cfRule>
    <cfRule type="cellIs" dxfId="766" priority="30" operator="lessThan">
      <formula>7.4</formula>
    </cfRule>
    <cfRule type="cellIs" dxfId="765" priority="31" operator="lessThan">
      <formula>6.9</formula>
    </cfRule>
    <cfRule type="cellIs" dxfId="764" priority="32" operator="lessThan">
      <formula>7.9</formula>
    </cfRule>
  </conditionalFormatting>
  <conditionalFormatting sqref="U3:U46">
    <cfRule type="cellIs" dxfId="763" priority="36" operator="lessThan">
      <formula>7.9</formula>
    </cfRule>
    <cfRule type="cellIs" dxfId="762" priority="37" operator="lessThan">
      <formula>6.9</formula>
    </cfRule>
    <cfRule type="cellIs" dxfId="761" priority="38" operator="lessThan">
      <formula>7.4</formula>
    </cfRule>
    <cfRule type="cellIs" dxfId="760" priority="39" operator="lessThan">
      <formula>7.9</formula>
    </cfRule>
    <cfRule type="cellIs" dxfId="759" priority="40" operator="lessThan">
      <formula>6.9</formula>
    </cfRule>
    <cfRule type="cellIs" dxfId="758" priority="41" operator="lessThan">
      <formula>7.9</formula>
    </cfRule>
    <cfRule type="cellIs" dxfId="757" priority="42" operator="lessThan">
      <formula>7.4</formula>
    </cfRule>
    <cfRule type="cellIs" dxfId="756" priority="43" operator="lessThan">
      <formula>6.9</formula>
    </cfRule>
    <cfRule type="cellIs" dxfId="755" priority="44" operator="lessThan">
      <formula>7.9</formula>
    </cfRule>
    <cfRule type="cellIs" dxfId="754" priority="45" operator="lessThan">
      <formula>6.9</formula>
    </cfRule>
    <cfRule type="cellIs" dxfId="753" priority="46" operator="lessThan">
      <formula>7.4</formula>
    </cfRule>
    <cfRule type="cellIs" dxfId="752" priority="47" operator="lessThan">
      <formula>6.9</formula>
    </cfRule>
    <cfRule type="cellIs" dxfId="751" priority="48" operator="lessThan">
      <formula>7.4</formula>
    </cfRule>
    <cfRule type="cellIs" dxfId="750" priority="49" operator="lessThan">
      <formula>7.9</formula>
    </cfRule>
  </conditionalFormatting>
  <conditionalFormatting sqref="R3:T46">
    <cfRule type="cellIs" dxfId="749" priority="18" operator="lessThan">
      <formula>7.9</formula>
    </cfRule>
  </conditionalFormatting>
  <conditionalFormatting sqref="R3:T46">
    <cfRule type="cellIs" dxfId="748" priority="19" operator="lessThan">
      <formula>7.4</formula>
    </cfRule>
  </conditionalFormatting>
  <conditionalFormatting sqref="R5:T6">
    <cfRule type="cellIs" dxfId="747" priority="20" operator="lessThan">
      <formula>6.9</formula>
    </cfRule>
  </conditionalFormatting>
  <conditionalFormatting sqref="Y3:Y46">
    <cfRule type="cellIs" dxfId="746" priority="4" operator="lessThan">
      <formula>7.9</formula>
    </cfRule>
    <cfRule type="cellIs" dxfId="745" priority="5" operator="lessThan">
      <formula>6.9</formula>
    </cfRule>
    <cfRule type="cellIs" dxfId="744" priority="6" operator="lessThan">
      <formula>7.4</formula>
    </cfRule>
    <cfRule type="cellIs" dxfId="743" priority="7" operator="lessThan">
      <formula>7.9</formula>
    </cfRule>
    <cfRule type="cellIs" dxfId="742" priority="8" operator="lessThan">
      <formula>6.9</formula>
    </cfRule>
    <cfRule type="cellIs" dxfId="741" priority="9" operator="lessThan">
      <formula>7.9</formula>
    </cfRule>
    <cfRule type="cellIs" dxfId="740" priority="10" operator="lessThan">
      <formula>7.4</formula>
    </cfRule>
    <cfRule type="cellIs" dxfId="739" priority="11" operator="lessThan">
      <formula>6.9</formula>
    </cfRule>
    <cfRule type="cellIs" dxfId="738" priority="12" operator="lessThan">
      <formula>7.9</formula>
    </cfRule>
    <cfRule type="cellIs" dxfId="737" priority="13" operator="lessThan">
      <formula>6.9</formula>
    </cfRule>
    <cfRule type="cellIs" dxfId="736" priority="14" operator="lessThan">
      <formula>7.4</formula>
    </cfRule>
    <cfRule type="cellIs" dxfId="735" priority="15" operator="lessThan">
      <formula>6.9</formula>
    </cfRule>
    <cfRule type="cellIs" dxfId="734" priority="16" operator="lessThan">
      <formula>7.4</formula>
    </cfRule>
    <cfRule type="cellIs" dxfId="733" priority="17" operator="lessThan">
      <formula>7.9</formula>
    </cfRule>
  </conditionalFormatting>
  <conditionalFormatting sqref="V3:X46">
    <cfRule type="cellIs" dxfId="732" priority="1" operator="lessThan">
      <formula>7.9</formula>
    </cfRule>
  </conditionalFormatting>
  <conditionalFormatting sqref="V3:X46">
    <cfRule type="cellIs" dxfId="731" priority="2" operator="lessThan">
      <formula>7.4</formula>
    </cfRule>
  </conditionalFormatting>
  <conditionalFormatting sqref="V5:X6">
    <cfRule type="cellIs" dxfId="730" priority="3" operator="lessThan">
      <formula>6.9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E31"/>
  <sheetViews>
    <sheetView topLeftCell="J1" workbookViewId="0">
      <selection activeCell="F2" sqref="F1:Z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7" max="31" width="3.140625" customWidth="1"/>
  </cols>
  <sheetData>
    <row r="1" spans="1:31" ht="15" x14ac:dyDescent="0.2">
      <c r="A1" s="1"/>
      <c r="B1" s="1"/>
      <c r="C1" s="1"/>
      <c r="D1" s="1"/>
      <c r="E1" s="1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1" t="s">
        <v>122</v>
      </c>
      <c r="O1" s="22"/>
      <c r="P1" s="22"/>
      <c r="Q1" s="23"/>
      <c r="R1" s="21" t="s">
        <v>123</v>
      </c>
      <c r="S1" s="22"/>
      <c r="T1" s="22"/>
      <c r="U1" s="23"/>
      <c r="V1" s="21" t="s">
        <v>124</v>
      </c>
      <c r="W1" s="22"/>
      <c r="X1" s="22"/>
      <c r="Y1" s="23"/>
      <c r="Z1" s="24" t="s">
        <v>2</v>
      </c>
      <c r="AA1" s="11"/>
      <c r="AB1" s="11"/>
      <c r="AC1" s="11"/>
      <c r="AD1" s="11"/>
      <c r="AE1" s="11"/>
    </row>
    <row r="2" spans="1:31" x14ac:dyDescent="0.2">
      <c r="A2" s="1" t="s">
        <v>3</v>
      </c>
      <c r="B2" s="1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5" t="s">
        <v>8</v>
      </c>
      <c r="O2" s="25" t="s">
        <v>9</v>
      </c>
      <c r="P2" s="25" t="s">
        <v>10</v>
      </c>
      <c r="Q2" s="26" t="s">
        <v>11</v>
      </c>
      <c r="R2" s="25" t="s">
        <v>8</v>
      </c>
      <c r="S2" s="25" t="s">
        <v>9</v>
      </c>
      <c r="T2" s="25" t="s">
        <v>10</v>
      </c>
      <c r="U2" s="26" t="s">
        <v>11</v>
      </c>
      <c r="V2" s="25" t="s">
        <v>8</v>
      </c>
      <c r="W2" s="25" t="s">
        <v>9</v>
      </c>
      <c r="X2" s="25" t="s">
        <v>10</v>
      </c>
      <c r="Y2" s="26" t="s">
        <v>11</v>
      </c>
      <c r="Z2" s="24" t="s">
        <v>12</v>
      </c>
      <c r="AA2" s="5"/>
      <c r="AB2" s="5"/>
      <c r="AC2" s="5"/>
      <c r="AD2" s="5"/>
      <c r="AE2" s="5"/>
    </row>
    <row r="3" spans="1:31" ht="15.75" customHeight="1" x14ac:dyDescent="0.25">
      <c r="A3" s="1" t="s">
        <v>392</v>
      </c>
      <c r="B3" s="13" t="s">
        <v>393</v>
      </c>
      <c r="C3" s="1" t="s">
        <v>15</v>
      </c>
      <c r="D3" s="31">
        <v>4</v>
      </c>
      <c r="E3" s="3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31" si="0">AVERAGE(J3:L3)</f>
        <v>0</v>
      </c>
      <c r="N3" s="28">
        <v>0</v>
      </c>
      <c r="O3" s="28">
        <v>0</v>
      </c>
      <c r="P3" s="28">
        <v>0</v>
      </c>
      <c r="Q3" s="29">
        <f>AVERAGE(N3:P3)</f>
        <v>0</v>
      </c>
      <c r="R3" s="28">
        <v>0</v>
      </c>
      <c r="S3" s="28">
        <v>0</v>
      </c>
      <c r="T3" s="28">
        <v>0</v>
      </c>
      <c r="U3" s="29">
        <f t="shared" ref="U3:U31" si="1">AVERAGE(R3:T3)</f>
        <v>0</v>
      </c>
      <c r="V3" s="28">
        <v>0</v>
      </c>
      <c r="W3" s="28">
        <v>0</v>
      </c>
      <c r="X3" s="28">
        <v>0</v>
      </c>
      <c r="Y3" s="29">
        <f t="shared" ref="Y3:Y31" si="2">AVERAGE(V3:X3)</f>
        <v>0</v>
      </c>
      <c r="Z3" s="30">
        <f>AVERAGE(I3,M3,Q3,U3,Y3)</f>
        <v>0</v>
      </c>
      <c r="AA3" s="6"/>
      <c r="AB3" s="6"/>
      <c r="AC3" s="7"/>
      <c r="AD3" s="6"/>
      <c r="AE3" s="7"/>
    </row>
    <row r="4" spans="1:31" ht="15.75" customHeight="1" x14ac:dyDescent="0.25">
      <c r="A4" s="1" t="s">
        <v>400</v>
      </c>
      <c r="B4" s="13" t="s">
        <v>401</v>
      </c>
      <c r="C4" s="1" t="s">
        <v>15</v>
      </c>
      <c r="D4" s="31">
        <v>4</v>
      </c>
      <c r="E4" s="3" t="s">
        <v>16</v>
      </c>
      <c r="F4" s="28">
        <v>0</v>
      </c>
      <c r="G4" s="28">
        <v>0</v>
      </c>
      <c r="H4" s="28">
        <v>0</v>
      </c>
      <c r="I4" s="29">
        <f t="shared" ref="I4:I31" si="3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28">
        <v>0</v>
      </c>
      <c r="O4" s="28">
        <v>0</v>
      </c>
      <c r="P4" s="28">
        <v>0</v>
      </c>
      <c r="Q4" s="29">
        <f t="shared" ref="Q4:Q31" si="4">AVERAGE(N4:P4)</f>
        <v>0</v>
      </c>
      <c r="R4" s="28">
        <v>0</v>
      </c>
      <c r="S4" s="28">
        <v>0</v>
      </c>
      <c r="T4" s="28">
        <v>0</v>
      </c>
      <c r="U4" s="29">
        <f t="shared" si="1"/>
        <v>0</v>
      </c>
      <c r="V4" s="28">
        <v>0</v>
      </c>
      <c r="W4" s="28">
        <v>0</v>
      </c>
      <c r="X4" s="28">
        <v>0</v>
      </c>
      <c r="Y4" s="29">
        <f t="shared" si="2"/>
        <v>0</v>
      </c>
      <c r="Z4" s="30">
        <f t="shared" ref="Z4:Z31" si="5">AVERAGE(I4,M4,Q4,U4,Y4)</f>
        <v>0</v>
      </c>
      <c r="AA4" s="7"/>
      <c r="AB4" s="7"/>
      <c r="AC4" s="7"/>
      <c r="AD4" s="7"/>
      <c r="AE4" s="7"/>
    </row>
    <row r="5" spans="1:31" ht="15.75" customHeight="1" x14ac:dyDescent="0.25">
      <c r="A5" s="1" t="s">
        <v>368</v>
      </c>
      <c r="B5" s="13" t="s">
        <v>369</v>
      </c>
      <c r="C5" s="1" t="s">
        <v>15</v>
      </c>
      <c r="D5" s="31">
        <v>4</v>
      </c>
      <c r="E5" s="3" t="s">
        <v>16</v>
      </c>
      <c r="F5" s="28">
        <v>0</v>
      </c>
      <c r="G5" s="28">
        <v>0</v>
      </c>
      <c r="H5" s="28">
        <v>0</v>
      </c>
      <c r="I5" s="29">
        <f t="shared" si="3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28">
        <v>0</v>
      </c>
      <c r="O5" s="28">
        <v>0</v>
      </c>
      <c r="P5" s="28">
        <v>0</v>
      </c>
      <c r="Q5" s="29">
        <f t="shared" si="4"/>
        <v>0</v>
      </c>
      <c r="R5" s="28">
        <v>0</v>
      </c>
      <c r="S5" s="28">
        <v>0</v>
      </c>
      <c r="T5" s="28">
        <v>0</v>
      </c>
      <c r="U5" s="29">
        <f t="shared" si="1"/>
        <v>0</v>
      </c>
      <c r="V5" s="28">
        <v>0</v>
      </c>
      <c r="W5" s="28">
        <v>0</v>
      </c>
      <c r="X5" s="28">
        <v>0</v>
      </c>
      <c r="Y5" s="29">
        <f t="shared" si="2"/>
        <v>0</v>
      </c>
      <c r="Z5" s="30">
        <f t="shared" si="5"/>
        <v>0</v>
      </c>
      <c r="AA5" s="7"/>
      <c r="AB5" s="7"/>
      <c r="AC5" s="7"/>
      <c r="AD5" s="8"/>
      <c r="AE5" s="7"/>
    </row>
    <row r="6" spans="1:31" ht="15.75" customHeight="1" x14ac:dyDescent="0.25">
      <c r="A6" s="1" t="s">
        <v>352</v>
      </c>
      <c r="B6" s="14" t="s">
        <v>353</v>
      </c>
      <c r="C6" s="1" t="s">
        <v>15</v>
      </c>
      <c r="D6" s="31">
        <v>4</v>
      </c>
      <c r="E6" s="3" t="s">
        <v>16</v>
      </c>
      <c r="F6" s="28">
        <v>0</v>
      </c>
      <c r="G6" s="28">
        <v>0</v>
      </c>
      <c r="H6" s="28">
        <v>0</v>
      </c>
      <c r="I6" s="29">
        <f t="shared" si="3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28">
        <v>0</v>
      </c>
      <c r="O6" s="28">
        <v>0</v>
      </c>
      <c r="P6" s="28">
        <v>0</v>
      </c>
      <c r="Q6" s="29">
        <f t="shared" si="4"/>
        <v>0</v>
      </c>
      <c r="R6" s="28">
        <v>0</v>
      </c>
      <c r="S6" s="28">
        <v>0</v>
      </c>
      <c r="T6" s="28">
        <v>0</v>
      </c>
      <c r="U6" s="29">
        <f t="shared" si="1"/>
        <v>0</v>
      </c>
      <c r="V6" s="28">
        <v>0</v>
      </c>
      <c r="W6" s="28">
        <v>0</v>
      </c>
      <c r="X6" s="28">
        <v>0</v>
      </c>
      <c r="Y6" s="29">
        <f t="shared" si="2"/>
        <v>0</v>
      </c>
      <c r="Z6" s="30">
        <f t="shared" si="5"/>
        <v>0</v>
      </c>
      <c r="AA6" s="7"/>
      <c r="AB6" s="7"/>
      <c r="AC6" s="7"/>
      <c r="AD6" s="8"/>
      <c r="AE6" s="7"/>
    </row>
    <row r="7" spans="1:31" ht="15.75" customHeight="1" x14ac:dyDescent="0.25">
      <c r="A7" s="1" t="s">
        <v>356</v>
      </c>
      <c r="B7" s="13" t="s">
        <v>357</v>
      </c>
      <c r="C7" s="1" t="s">
        <v>15</v>
      </c>
      <c r="D7" s="31">
        <v>4</v>
      </c>
      <c r="E7" s="3" t="s">
        <v>16</v>
      </c>
      <c r="F7" s="28">
        <v>0</v>
      </c>
      <c r="G7" s="28">
        <v>0</v>
      </c>
      <c r="H7" s="28">
        <v>0</v>
      </c>
      <c r="I7" s="29">
        <f t="shared" si="3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28">
        <v>0</v>
      </c>
      <c r="O7" s="28">
        <v>0</v>
      </c>
      <c r="P7" s="28">
        <v>0</v>
      </c>
      <c r="Q7" s="29">
        <f t="shared" si="4"/>
        <v>0</v>
      </c>
      <c r="R7" s="28">
        <v>0</v>
      </c>
      <c r="S7" s="28">
        <v>0</v>
      </c>
      <c r="T7" s="28">
        <v>0</v>
      </c>
      <c r="U7" s="29">
        <f t="shared" si="1"/>
        <v>0</v>
      </c>
      <c r="V7" s="28">
        <v>0</v>
      </c>
      <c r="W7" s="28">
        <v>0</v>
      </c>
      <c r="X7" s="28">
        <v>0</v>
      </c>
      <c r="Y7" s="29">
        <f t="shared" si="2"/>
        <v>0</v>
      </c>
      <c r="Z7" s="30">
        <f t="shared" si="5"/>
        <v>0</v>
      </c>
      <c r="AA7" s="9"/>
      <c r="AB7" s="9"/>
      <c r="AC7" s="6"/>
      <c r="AD7" s="6"/>
      <c r="AE7" s="7"/>
    </row>
    <row r="8" spans="1:31" ht="15.75" customHeight="1" x14ac:dyDescent="0.25">
      <c r="A8" s="1" t="s">
        <v>344</v>
      </c>
      <c r="B8" s="13" t="s">
        <v>345</v>
      </c>
      <c r="C8" s="1" t="s">
        <v>15</v>
      </c>
      <c r="D8" s="31">
        <v>4</v>
      </c>
      <c r="E8" s="3" t="s">
        <v>16</v>
      </c>
      <c r="F8" s="28">
        <v>0</v>
      </c>
      <c r="G8" s="28">
        <v>0</v>
      </c>
      <c r="H8" s="28">
        <v>0</v>
      </c>
      <c r="I8" s="29">
        <f t="shared" si="3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28">
        <v>0</v>
      </c>
      <c r="O8" s="28">
        <v>0</v>
      </c>
      <c r="P8" s="28">
        <v>0</v>
      </c>
      <c r="Q8" s="29">
        <f t="shared" si="4"/>
        <v>0</v>
      </c>
      <c r="R8" s="28">
        <v>0</v>
      </c>
      <c r="S8" s="28">
        <v>0</v>
      </c>
      <c r="T8" s="28">
        <v>0</v>
      </c>
      <c r="U8" s="29">
        <f t="shared" si="1"/>
        <v>0</v>
      </c>
      <c r="V8" s="28">
        <v>0</v>
      </c>
      <c r="W8" s="28">
        <v>0</v>
      </c>
      <c r="X8" s="28">
        <v>0</v>
      </c>
      <c r="Y8" s="29">
        <f t="shared" si="2"/>
        <v>0</v>
      </c>
      <c r="Z8" s="30">
        <f t="shared" si="5"/>
        <v>0</v>
      </c>
      <c r="AA8" s="7"/>
      <c r="AB8" s="7"/>
      <c r="AC8" s="6"/>
      <c r="AD8" s="6"/>
      <c r="AE8" s="7"/>
    </row>
    <row r="9" spans="1:31" ht="15.75" customHeight="1" x14ac:dyDescent="0.25">
      <c r="A9" s="1" t="s">
        <v>374</v>
      </c>
      <c r="B9" s="13" t="s">
        <v>375</v>
      </c>
      <c r="C9" s="1" t="s">
        <v>15</v>
      </c>
      <c r="D9" s="31">
        <v>4</v>
      </c>
      <c r="E9" s="3" t="s">
        <v>16</v>
      </c>
      <c r="F9" s="28">
        <v>0</v>
      </c>
      <c r="G9" s="28">
        <v>0</v>
      </c>
      <c r="H9" s="28">
        <v>0</v>
      </c>
      <c r="I9" s="29">
        <f t="shared" si="3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28">
        <v>0</v>
      </c>
      <c r="O9" s="28">
        <v>0</v>
      </c>
      <c r="P9" s="28">
        <v>0</v>
      </c>
      <c r="Q9" s="29">
        <f t="shared" si="4"/>
        <v>0</v>
      </c>
      <c r="R9" s="28">
        <v>0</v>
      </c>
      <c r="S9" s="28">
        <v>0</v>
      </c>
      <c r="T9" s="28">
        <v>0</v>
      </c>
      <c r="U9" s="29">
        <f t="shared" si="1"/>
        <v>0</v>
      </c>
      <c r="V9" s="28">
        <v>0</v>
      </c>
      <c r="W9" s="28">
        <v>0</v>
      </c>
      <c r="X9" s="28">
        <v>0</v>
      </c>
      <c r="Y9" s="29">
        <f t="shared" si="2"/>
        <v>0</v>
      </c>
      <c r="Z9" s="30">
        <f t="shared" si="5"/>
        <v>0</v>
      </c>
      <c r="AA9" s="6"/>
      <c r="AB9" s="6"/>
      <c r="AC9" s="10"/>
      <c r="AD9" s="8"/>
      <c r="AE9" s="7"/>
    </row>
    <row r="10" spans="1:31" ht="15.75" customHeight="1" x14ac:dyDescent="0.25">
      <c r="A10" s="1" t="s">
        <v>384</v>
      </c>
      <c r="B10" s="13" t="s">
        <v>385</v>
      </c>
      <c r="C10" s="1" t="s">
        <v>15</v>
      </c>
      <c r="D10" s="31">
        <v>4</v>
      </c>
      <c r="E10" s="3" t="s">
        <v>16</v>
      </c>
      <c r="F10" s="28">
        <v>0</v>
      </c>
      <c r="G10" s="28">
        <v>0</v>
      </c>
      <c r="H10" s="28">
        <v>0</v>
      </c>
      <c r="I10" s="29">
        <f t="shared" si="3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28">
        <v>0</v>
      </c>
      <c r="O10" s="28">
        <v>0</v>
      </c>
      <c r="P10" s="28">
        <v>0</v>
      </c>
      <c r="Q10" s="29">
        <f t="shared" si="4"/>
        <v>0</v>
      </c>
      <c r="R10" s="28">
        <v>0</v>
      </c>
      <c r="S10" s="28">
        <v>0</v>
      </c>
      <c r="T10" s="28">
        <v>0</v>
      </c>
      <c r="U10" s="29">
        <f t="shared" si="1"/>
        <v>0</v>
      </c>
      <c r="V10" s="28">
        <v>0</v>
      </c>
      <c r="W10" s="28">
        <v>0</v>
      </c>
      <c r="X10" s="28">
        <v>0</v>
      </c>
      <c r="Y10" s="29">
        <f t="shared" si="2"/>
        <v>0</v>
      </c>
      <c r="Z10" s="30">
        <f t="shared" si="5"/>
        <v>0</v>
      </c>
      <c r="AA10" s="7"/>
      <c r="AB10" s="7"/>
      <c r="AC10" s="7"/>
      <c r="AD10" s="7"/>
      <c r="AE10" s="7"/>
    </row>
    <row r="11" spans="1:31" ht="15.75" customHeight="1" x14ac:dyDescent="0.25">
      <c r="A11" s="1" t="s">
        <v>380</v>
      </c>
      <c r="B11" s="13" t="s">
        <v>381</v>
      </c>
      <c r="C11" s="1" t="s">
        <v>15</v>
      </c>
      <c r="D11" s="31">
        <v>4</v>
      </c>
      <c r="E11" s="3" t="s">
        <v>16</v>
      </c>
      <c r="F11" s="28">
        <v>0</v>
      </c>
      <c r="G11" s="28">
        <v>0</v>
      </c>
      <c r="H11" s="28">
        <v>0</v>
      </c>
      <c r="I11" s="29">
        <f t="shared" si="3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28">
        <v>0</v>
      </c>
      <c r="O11" s="28">
        <v>0</v>
      </c>
      <c r="P11" s="28">
        <v>0</v>
      </c>
      <c r="Q11" s="29">
        <f t="shared" si="4"/>
        <v>0</v>
      </c>
      <c r="R11" s="28">
        <v>0</v>
      </c>
      <c r="S11" s="28">
        <v>0</v>
      </c>
      <c r="T11" s="28">
        <v>0</v>
      </c>
      <c r="U11" s="29">
        <f t="shared" si="1"/>
        <v>0</v>
      </c>
      <c r="V11" s="28">
        <v>0</v>
      </c>
      <c r="W11" s="28">
        <v>0</v>
      </c>
      <c r="X11" s="28">
        <v>0</v>
      </c>
      <c r="Y11" s="29">
        <f t="shared" si="2"/>
        <v>0</v>
      </c>
      <c r="Z11" s="30">
        <f t="shared" si="5"/>
        <v>0</v>
      </c>
      <c r="AA11" s="8"/>
      <c r="AB11" s="8"/>
      <c r="AC11" s="6"/>
      <c r="AD11" s="6"/>
      <c r="AE11" s="7"/>
    </row>
    <row r="12" spans="1:31" ht="15.75" customHeight="1" x14ac:dyDescent="0.25">
      <c r="A12" s="1" t="s">
        <v>394</v>
      </c>
      <c r="B12" s="13" t="s">
        <v>395</v>
      </c>
      <c r="C12" s="1" t="s">
        <v>15</v>
      </c>
      <c r="D12" s="31">
        <v>4</v>
      </c>
      <c r="E12" s="3" t="s">
        <v>16</v>
      </c>
      <c r="F12" s="28">
        <v>0</v>
      </c>
      <c r="G12" s="28">
        <v>0</v>
      </c>
      <c r="H12" s="28">
        <v>0</v>
      </c>
      <c r="I12" s="29">
        <f t="shared" si="3"/>
        <v>0</v>
      </c>
      <c r="J12" s="28">
        <v>0</v>
      </c>
      <c r="K12" s="28">
        <v>0</v>
      </c>
      <c r="L12" s="28">
        <v>0</v>
      </c>
      <c r="M12" s="29">
        <f t="shared" si="0"/>
        <v>0</v>
      </c>
      <c r="N12" s="28">
        <v>0</v>
      </c>
      <c r="O12" s="28">
        <v>0</v>
      </c>
      <c r="P12" s="28">
        <v>0</v>
      </c>
      <c r="Q12" s="29">
        <f t="shared" si="4"/>
        <v>0</v>
      </c>
      <c r="R12" s="28">
        <v>0</v>
      </c>
      <c r="S12" s="28">
        <v>0</v>
      </c>
      <c r="T12" s="28">
        <v>0</v>
      </c>
      <c r="U12" s="29">
        <f t="shared" si="1"/>
        <v>0</v>
      </c>
      <c r="V12" s="28">
        <v>0</v>
      </c>
      <c r="W12" s="28">
        <v>0</v>
      </c>
      <c r="X12" s="28">
        <v>0</v>
      </c>
      <c r="Y12" s="29">
        <f t="shared" si="2"/>
        <v>0</v>
      </c>
      <c r="Z12" s="30">
        <f t="shared" si="5"/>
        <v>0</v>
      </c>
      <c r="AA12" s="8"/>
      <c r="AB12" s="6"/>
      <c r="AC12" s="6"/>
      <c r="AD12" s="10"/>
      <c r="AE12" s="7"/>
    </row>
    <row r="13" spans="1:31" ht="15.75" customHeight="1" x14ac:dyDescent="0.25">
      <c r="A13" s="1" t="s">
        <v>382</v>
      </c>
      <c r="B13" s="13" t="s">
        <v>383</v>
      </c>
      <c r="C13" s="1" t="s">
        <v>15</v>
      </c>
      <c r="D13" s="31">
        <v>4</v>
      </c>
      <c r="E13" s="3" t="s">
        <v>16</v>
      </c>
      <c r="F13" s="28">
        <v>0</v>
      </c>
      <c r="G13" s="28">
        <v>0</v>
      </c>
      <c r="H13" s="28">
        <v>0</v>
      </c>
      <c r="I13" s="29">
        <f t="shared" si="3"/>
        <v>0</v>
      </c>
      <c r="J13" s="28">
        <v>0</v>
      </c>
      <c r="K13" s="28">
        <v>0</v>
      </c>
      <c r="L13" s="28">
        <v>0</v>
      </c>
      <c r="M13" s="29">
        <f t="shared" si="0"/>
        <v>0</v>
      </c>
      <c r="N13" s="28">
        <v>0</v>
      </c>
      <c r="O13" s="28">
        <v>0</v>
      </c>
      <c r="P13" s="28">
        <v>0</v>
      </c>
      <c r="Q13" s="29">
        <f t="shared" si="4"/>
        <v>0</v>
      </c>
      <c r="R13" s="28">
        <v>0</v>
      </c>
      <c r="S13" s="28">
        <v>0</v>
      </c>
      <c r="T13" s="28">
        <v>0</v>
      </c>
      <c r="U13" s="29">
        <f t="shared" si="1"/>
        <v>0</v>
      </c>
      <c r="V13" s="28">
        <v>0</v>
      </c>
      <c r="W13" s="28">
        <v>0</v>
      </c>
      <c r="X13" s="28">
        <v>0</v>
      </c>
      <c r="Y13" s="29">
        <f t="shared" si="2"/>
        <v>0</v>
      </c>
      <c r="Z13" s="30">
        <f t="shared" si="5"/>
        <v>0</v>
      </c>
      <c r="AA13" s="8"/>
      <c r="AB13" s="7"/>
      <c r="AC13" s="7"/>
      <c r="AD13" s="8"/>
      <c r="AE13" s="7"/>
    </row>
    <row r="14" spans="1:31" ht="15.75" customHeight="1" x14ac:dyDescent="0.25">
      <c r="A14" s="1" t="s">
        <v>348</v>
      </c>
      <c r="B14" s="14" t="s">
        <v>349</v>
      </c>
      <c r="C14" s="1" t="s">
        <v>15</v>
      </c>
      <c r="D14" s="31">
        <v>4</v>
      </c>
      <c r="E14" s="3" t="s">
        <v>16</v>
      </c>
      <c r="F14" s="28">
        <v>0</v>
      </c>
      <c r="G14" s="28">
        <v>0</v>
      </c>
      <c r="H14" s="28">
        <v>0</v>
      </c>
      <c r="I14" s="29">
        <f t="shared" si="3"/>
        <v>0</v>
      </c>
      <c r="J14" s="28">
        <v>0</v>
      </c>
      <c r="K14" s="28">
        <v>0</v>
      </c>
      <c r="L14" s="28">
        <v>0</v>
      </c>
      <c r="M14" s="29">
        <f t="shared" si="0"/>
        <v>0</v>
      </c>
      <c r="N14" s="28">
        <v>0</v>
      </c>
      <c r="O14" s="28">
        <v>0</v>
      </c>
      <c r="P14" s="28">
        <v>0</v>
      </c>
      <c r="Q14" s="29">
        <f t="shared" si="4"/>
        <v>0</v>
      </c>
      <c r="R14" s="28">
        <v>0</v>
      </c>
      <c r="S14" s="28">
        <v>0</v>
      </c>
      <c r="T14" s="28">
        <v>0</v>
      </c>
      <c r="U14" s="29">
        <f t="shared" si="1"/>
        <v>0</v>
      </c>
      <c r="V14" s="28">
        <v>0</v>
      </c>
      <c r="W14" s="28">
        <v>0</v>
      </c>
      <c r="X14" s="28">
        <v>0</v>
      </c>
      <c r="Y14" s="29">
        <f t="shared" si="2"/>
        <v>0</v>
      </c>
      <c r="Z14" s="30">
        <f t="shared" si="5"/>
        <v>0</v>
      </c>
      <c r="AA14" s="8"/>
      <c r="AB14" s="8"/>
      <c r="AC14" s="7"/>
      <c r="AD14" s="7"/>
      <c r="AE14" s="7"/>
    </row>
    <row r="15" spans="1:31" ht="15.75" customHeight="1" x14ac:dyDescent="0.25">
      <c r="A15" s="1" t="s">
        <v>366</v>
      </c>
      <c r="B15" s="13" t="s">
        <v>367</v>
      </c>
      <c r="C15" s="1" t="s">
        <v>15</v>
      </c>
      <c r="D15" s="31">
        <v>4</v>
      </c>
      <c r="E15" s="3" t="s">
        <v>16</v>
      </c>
      <c r="F15" s="28">
        <v>0</v>
      </c>
      <c r="G15" s="28">
        <v>0</v>
      </c>
      <c r="H15" s="28">
        <v>0</v>
      </c>
      <c r="I15" s="29">
        <f t="shared" si="3"/>
        <v>0</v>
      </c>
      <c r="J15" s="28">
        <v>0</v>
      </c>
      <c r="K15" s="28">
        <v>0</v>
      </c>
      <c r="L15" s="28">
        <v>0</v>
      </c>
      <c r="M15" s="29">
        <f t="shared" si="0"/>
        <v>0</v>
      </c>
      <c r="N15" s="28">
        <v>0</v>
      </c>
      <c r="O15" s="28">
        <v>0</v>
      </c>
      <c r="P15" s="28">
        <v>0</v>
      </c>
      <c r="Q15" s="29">
        <f t="shared" si="4"/>
        <v>0</v>
      </c>
      <c r="R15" s="28">
        <v>0</v>
      </c>
      <c r="S15" s="28">
        <v>0</v>
      </c>
      <c r="T15" s="28">
        <v>0</v>
      </c>
      <c r="U15" s="29">
        <f t="shared" si="1"/>
        <v>0</v>
      </c>
      <c r="V15" s="28">
        <v>0</v>
      </c>
      <c r="W15" s="28">
        <v>0</v>
      </c>
      <c r="X15" s="28">
        <v>0</v>
      </c>
      <c r="Y15" s="29">
        <f t="shared" si="2"/>
        <v>0</v>
      </c>
      <c r="Z15" s="30">
        <f t="shared" si="5"/>
        <v>0</v>
      </c>
      <c r="AA15" s="10"/>
      <c r="AB15" s="8"/>
      <c r="AC15" s="8"/>
      <c r="AD15" s="6"/>
      <c r="AE15" s="7"/>
    </row>
    <row r="16" spans="1:31" ht="15.75" customHeight="1" x14ac:dyDescent="0.25">
      <c r="A16" s="1" t="s">
        <v>362</v>
      </c>
      <c r="B16" s="17" t="s">
        <v>363</v>
      </c>
      <c r="C16" s="1" t="s">
        <v>15</v>
      </c>
      <c r="D16" s="31">
        <v>4</v>
      </c>
      <c r="E16" s="3" t="s">
        <v>16</v>
      </c>
      <c r="F16" s="28">
        <v>0</v>
      </c>
      <c r="G16" s="28">
        <v>0</v>
      </c>
      <c r="H16" s="28">
        <v>0</v>
      </c>
      <c r="I16" s="29">
        <f t="shared" si="3"/>
        <v>0</v>
      </c>
      <c r="J16" s="28">
        <v>0</v>
      </c>
      <c r="K16" s="28">
        <v>0</v>
      </c>
      <c r="L16" s="28">
        <v>0</v>
      </c>
      <c r="M16" s="29">
        <f t="shared" si="0"/>
        <v>0</v>
      </c>
      <c r="N16" s="28">
        <v>0</v>
      </c>
      <c r="O16" s="28">
        <v>0</v>
      </c>
      <c r="P16" s="28">
        <v>0</v>
      </c>
      <c r="Q16" s="29">
        <f t="shared" si="4"/>
        <v>0</v>
      </c>
      <c r="R16" s="28">
        <v>0</v>
      </c>
      <c r="S16" s="28">
        <v>0</v>
      </c>
      <c r="T16" s="28">
        <v>0</v>
      </c>
      <c r="U16" s="29">
        <f t="shared" si="1"/>
        <v>0</v>
      </c>
      <c r="V16" s="28">
        <v>0</v>
      </c>
      <c r="W16" s="28">
        <v>0</v>
      </c>
      <c r="X16" s="28">
        <v>0</v>
      </c>
      <c r="Y16" s="29">
        <f t="shared" si="2"/>
        <v>0</v>
      </c>
      <c r="Z16" s="30">
        <f t="shared" si="5"/>
        <v>0</v>
      </c>
      <c r="AA16" s="6"/>
      <c r="AB16" s="6"/>
      <c r="AC16" s="7"/>
      <c r="AD16" s="7"/>
      <c r="AE16" s="7"/>
    </row>
    <row r="17" spans="1:31" ht="15.75" customHeight="1" x14ac:dyDescent="0.25">
      <c r="A17" s="1" t="s">
        <v>398</v>
      </c>
      <c r="B17" s="13" t="s">
        <v>399</v>
      </c>
      <c r="C17" s="1" t="s">
        <v>15</v>
      </c>
      <c r="D17" s="31">
        <v>4</v>
      </c>
      <c r="E17" s="3" t="s">
        <v>16</v>
      </c>
      <c r="F17" s="28">
        <v>0</v>
      </c>
      <c r="G17" s="28">
        <v>0</v>
      </c>
      <c r="H17" s="28">
        <v>0</v>
      </c>
      <c r="I17" s="29">
        <f t="shared" si="3"/>
        <v>0</v>
      </c>
      <c r="J17" s="28">
        <v>0</v>
      </c>
      <c r="K17" s="28">
        <v>0</v>
      </c>
      <c r="L17" s="28">
        <v>0</v>
      </c>
      <c r="M17" s="29">
        <f t="shared" si="0"/>
        <v>0</v>
      </c>
      <c r="N17" s="28">
        <v>0</v>
      </c>
      <c r="O17" s="28">
        <v>0</v>
      </c>
      <c r="P17" s="28">
        <v>0</v>
      </c>
      <c r="Q17" s="29">
        <f t="shared" si="4"/>
        <v>0</v>
      </c>
      <c r="R17" s="28">
        <v>0</v>
      </c>
      <c r="S17" s="28">
        <v>0</v>
      </c>
      <c r="T17" s="28">
        <v>0</v>
      </c>
      <c r="U17" s="29">
        <f t="shared" si="1"/>
        <v>0</v>
      </c>
      <c r="V17" s="28">
        <v>0</v>
      </c>
      <c r="W17" s="28">
        <v>0</v>
      </c>
      <c r="X17" s="28">
        <v>0</v>
      </c>
      <c r="Y17" s="29">
        <f t="shared" si="2"/>
        <v>0</v>
      </c>
      <c r="Z17" s="30">
        <f t="shared" si="5"/>
        <v>0</v>
      </c>
      <c r="AA17" s="6"/>
      <c r="AB17" s="6"/>
      <c r="AC17" s="6"/>
      <c r="AD17" s="6"/>
      <c r="AE17" s="7"/>
    </row>
    <row r="18" spans="1:31" ht="15.75" customHeight="1" x14ac:dyDescent="0.25">
      <c r="A18" s="1" t="s">
        <v>378</v>
      </c>
      <c r="B18" s="13" t="s">
        <v>379</v>
      </c>
      <c r="C18" s="1" t="s">
        <v>15</v>
      </c>
      <c r="D18" s="31">
        <v>4</v>
      </c>
      <c r="E18" s="3" t="s">
        <v>33</v>
      </c>
      <c r="F18" s="28">
        <v>0</v>
      </c>
      <c r="G18" s="28">
        <v>0</v>
      </c>
      <c r="H18" s="28">
        <v>0</v>
      </c>
      <c r="I18" s="29">
        <f t="shared" si="3"/>
        <v>0</v>
      </c>
      <c r="J18" s="28">
        <v>0</v>
      </c>
      <c r="K18" s="28">
        <v>0</v>
      </c>
      <c r="L18" s="28">
        <v>0</v>
      </c>
      <c r="M18" s="29">
        <f t="shared" si="0"/>
        <v>0</v>
      </c>
      <c r="N18" s="28">
        <v>0</v>
      </c>
      <c r="O18" s="28">
        <v>0</v>
      </c>
      <c r="P18" s="28">
        <v>0</v>
      </c>
      <c r="Q18" s="29">
        <f t="shared" si="4"/>
        <v>0</v>
      </c>
      <c r="R18" s="28">
        <v>0</v>
      </c>
      <c r="S18" s="28">
        <v>0</v>
      </c>
      <c r="T18" s="28">
        <v>0</v>
      </c>
      <c r="U18" s="29">
        <f t="shared" si="1"/>
        <v>0</v>
      </c>
      <c r="V18" s="28">
        <v>0</v>
      </c>
      <c r="W18" s="28">
        <v>0</v>
      </c>
      <c r="X18" s="28">
        <v>0</v>
      </c>
      <c r="Y18" s="29">
        <f t="shared" si="2"/>
        <v>0</v>
      </c>
      <c r="Z18" s="30">
        <f t="shared" si="5"/>
        <v>0</v>
      </c>
    </row>
    <row r="19" spans="1:31" ht="15.75" customHeight="1" x14ac:dyDescent="0.25">
      <c r="A19" s="1" t="s">
        <v>376</v>
      </c>
      <c r="B19" s="13" t="s">
        <v>377</v>
      </c>
      <c r="C19" s="1" t="s">
        <v>15</v>
      </c>
      <c r="D19" s="31">
        <v>4</v>
      </c>
      <c r="E19" s="3" t="s">
        <v>33</v>
      </c>
      <c r="F19" s="28">
        <v>0</v>
      </c>
      <c r="G19" s="28">
        <v>0</v>
      </c>
      <c r="H19" s="28">
        <v>0</v>
      </c>
      <c r="I19" s="29">
        <f t="shared" si="3"/>
        <v>0</v>
      </c>
      <c r="J19" s="28">
        <v>0</v>
      </c>
      <c r="K19" s="28">
        <v>0</v>
      </c>
      <c r="L19" s="28">
        <v>0</v>
      </c>
      <c r="M19" s="29">
        <f t="shared" si="0"/>
        <v>0</v>
      </c>
      <c r="N19" s="28">
        <v>0</v>
      </c>
      <c r="O19" s="28">
        <v>0</v>
      </c>
      <c r="P19" s="28">
        <v>0</v>
      </c>
      <c r="Q19" s="29">
        <f t="shared" si="4"/>
        <v>0</v>
      </c>
      <c r="R19" s="28">
        <v>0</v>
      </c>
      <c r="S19" s="28">
        <v>0</v>
      </c>
      <c r="T19" s="28">
        <v>0</v>
      </c>
      <c r="U19" s="29">
        <f t="shared" si="1"/>
        <v>0</v>
      </c>
      <c r="V19" s="28">
        <v>0</v>
      </c>
      <c r="W19" s="28">
        <v>0</v>
      </c>
      <c r="X19" s="28">
        <v>0</v>
      </c>
      <c r="Y19" s="29">
        <f t="shared" si="2"/>
        <v>0</v>
      </c>
      <c r="Z19" s="30">
        <f t="shared" si="5"/>
        <v>0</v>
      </c>
    </row>
    <row r="20" spans="1:31" ht="15.75" customHeight="1" x14ac:dyDescent="0.25">
      <c r="A20" s="1" t="s">
        <v>388</v>
      </c>
      <c r="B20" s="13" t="s">
        <v>389</v>
      </c>
      <c r="C20" s="1" t="s">
        <v>15</v>
      </c>
      <c r="D20" s="31">
        <v>4</v>
      </c>
      <c r="E20" s="3" t="s">
        <v>33</v>
      </c>
      <c r="F20" s="28">
        <v>0</v>
      </c>
      <c r="G20" s="28">
        <v>0</v>
      </c>
      <c r="H20" s="28">
        <v>0</v>
      </c>
      <c r="I20" s="29">
        <f t="shared" si="3"/>
        <v>0</v>
      </c>
      <c r="J20" s="28">
        <v>0</v>
      </c>
      <c r="K20" s="28">
        <v>0</v>
      </c>
      <c r="L20" s="28">
        <v>0</v>
      </c>
      <c r="M20" s="29">
        <f t="shared" si="0"/>
        <v>0</v>
      </c>
      <c r="N20" s="28">
        <v>0</v>
      </c>
      <c r="O20" s="28">
        <v>0</v>
      </c>
      <c r="P20" s="28">
        <v>0</v>
      </c>
      <c r="Q20" s="29">
        <f t="shared" si="4"/>
        <v>0</v>
      </c>
      <c r="R20" s="28">
        <v>0</v>
      </c>
      <c r="S20" s="28">
        <v>0</v>
      </c>
      <c r="T20" s="28">
        <v>0</v>
      </c>
      <c r="U20" s="29">
        <f t="shared" si="1"/>
        <v>0</v>
      </c>
      <c r="V20" s="28">
        <v>0</v>
      </c>
      <c r="W20" s="28">
        <v>0</v>
      </c>
      <c r="X20" s="28">
        <v>0</v>
      </c>
      <c r="Y20" s="29">
        <f t="shared" si="2"/>
        <v>0</v>
      </c>
      <c r="Z20" s="30">
        <f t="shared" si="5"/>
        <v>0</v>
      </c>
    </row>
    <row r="21" spans="1:31" ht="15.75" customHeight="1" x14ac:dyDescent="0.25">
      <c r="A21" s="1" t="s">
        <v>390</v>
      </c>
      <c r="B21" s="13" t="s">
        <v>391</v>
      </c>
      <c r="C21" s="1" t="s">
        <v>15</v>
      </c>
      <c r="D21" s="31">
        <v>4</v>
      </c>
      <c r="E21" s="3" t="s">
        <v>33</v>
      </c>
      <c r="F21" s="28">
        <v>0</v>
      </c>
      <c r="G21" s="28">
        <v>0</v>
      </c>
      <c r="H21" s="28">
        <v>0</v>
      </c>
      <c r="I21" s="29">
        <f t="shared" si="3"/>
        <v>0</v>
      </c>
      <c r="J21" s="28">
        <v>0</v>
      </c>
      <c r="K21" s="28">
        <v>0</v>
      </c>
      <c r="L21" s="28">
        <v>0</v>
      </c>
      <c r="M21" s="29">
        <f t="shared" si="0"/>
        <v>0</v>
      </c>
      <c r="N21" s="28">
        <v>0</v>
      </c>
      <c r="O21" s="28">
        <v>0</v>
      </c>
      <c r="P21" s="28">
        <v>0</v>
      </c>
      <c r="Q21" s="29">
        <f t="shared" si="4"/>
        <v>0</v>
      </c>
      <c r="R21" s="28">
        <v>0</v>
      </c>
      <c r="S21" s="28">
        <v>0</v>
      </c>
      <c r="T21" s="28">
        <v>0</v>
      </c>
      <c r="U21" s="29">
        <f t="shared" si="1"/>
        <v>0</v>
      </c>
      <c r="V21" s="28">
        <v>0</v>
      </c>
      <c r="W21" s="28">
        <v>0</v>
      </c>
      <c r="X21" s="28">
        <v>0</v>
      </c>
      <c r="Y21" s="29">
        <f t="shared" si="2"/>
        <v>0</v>
      </c>
      <c r="Z21" s="30">
        <f t="shared" si="5"/>
        <v>0</v>
      </c>
    </row>
    <row r="22" spans="1:31" ht="15.75" customHeight="1" x14ac:dyDescent="0.25">
      <c r="A22" s="1" t="s">
        <v>354</v>
      </c>
      <c r="B22" s="13" t="s">
        <v>355</v>
      </c>
      <c r="C22" s="1" t="s">
        <v>15</v>
      </c>
      <c r="D22" s="31">
        <v>4</v>
      </c>
      <c r="E22" s="3" t="s">
        <v>33</v>
      </c>
      <c r="F22" s="28">
        <v>0</v>
      </c>
      <c r="G22" s="28">
        <v>0</v>
      </c>
      <c r="H22" s="28">
        <v>0</v>
      </c>
      <c r="I22" s="29">
        <f t="shared" si="3"/>
        <v>0</v>
      </c>
      <c r="J22" s="28">
        <v>0</v>
      </c>
      <c r="K22" s="28">
        <v>0</v>
      </c>
      <c r="L22" s="28">
        <v>0</v>
      </c>
      <c r="M22" s="29">
        <f t="shared" si="0"/>
        <v>0</v>
      </c>
      <c r="N22" s="28">
        <v>0</v>
      </c>
      <c r="O22" s="28">
        <v>0</v>
      </c>
      <c r="P22" s="28">
        <v>0</v>
      </c>
      <c r="Q22" s="29">
        <f t="shared" si="4"/>
        <v>0</v>
      </c>
      <c r="R22" s="28">
        <v>0</v>
      </c>
      <c r="S22" s="28">
        <v>0</v>
      </c>
      <c r="T22" s="28">
        <v>0</v>
      </c>
      <c r="U22" s="29">
        <f t="shared" si="1"/>
        <v>0</v>
      </c>
      <c r="V22" s="28">
        <v>0</v>
      </c>
      <c r="W22" s="28">
        <v>0</v>
      </c>
      <c r="X22" s="28">
        <v>0</v>
      </c>
      <c r="Y22" s="29">
        <f t="shared" si="2"/>
        <v>0</v>
      </c>
      <c r="Z22" s="30">
        <f t="shared" si="5"/>
        <v>0</v>
      </c>
    </row>
    <row r="23" spans="1:31" ht="15.75" customHeight="1" x14ac:dyDescent="0.25">
      <c r="A23" s="1" t="s">
        <v>396</v>
      </c>
      <c r="B23" s="13" t="s">
        <v>397</v>
      </c>
      <c r="C23" s="1" t="s">
        <v>15</v>
      </c>
      <c r="D23" s="31">
        <v>4</v>
      </c>
      <c r="E23" s="3" t="s">
        <v>33</v>
      </c>
      <c r="F23" s="28">
        <v>0</v>
      </c>
      <c r="G23" s="28">
        <v>0</v>
      </c>
      <c r="H23" s="28">
        <v>0</v>
      </c>
      <c r="I23" s="29">
        <f t="shared" si="3"/>
        <v>0</v>
      </c>
      <c r="J23" s="28">
        <v>0</v>
      </c>
      <c r="K23" s="28">
        <v>0</v>
      </c>
      <c r="L23" s="28">
        <v>0</v>
      </c>
      <c r="M23" s="29">
        <f t="shared" si="0"/>
        <v>0</v>
      </c>
      <c r="N23" s="28">
        <v>0</v>
      </c>
      <c r="O23" s="28">
        <v>0</v>
      </c>
      <c r="P23" s="28">
        <v>0</v>
      </c>
      <c r="Q23" s="29">
        <f t="shared" si="4"/>
        <v>0</v>
      </c>
      <c r="R23" s="28">
        <v>0</v>
      </c>
      <c r="S23" s="28">
        <v>0</v>
      </c>
      <c r="T23" s="28">
        <v>0</v>
      </c>
      <c r="U23" s="29">
        <f t="shared" si="1"/>
        <v>0</v>
      </c>
      <c r="V23" s="28">
        <v>0</v>
      </c>
      <c r="W23" s="28">
        <v>0</v>
      </c>
      <c r="X23" s="28">
        <v>0</v>
      </c>
      <c r="Y23" s="29">
        <f t="shared" si="2"/>
        <v>0</v>
      </c>
      <c r="Z23" s="30">
        <f t="shared" si="5"/>
        <v>0</v>
      </c>
    </row>
    <row r="24" spans="1:31" ht="15.75" customHeight="1" x14ac:dyDescent="0.25">
      <c r="A24" s="1" t="s">
        <v>372</v>
      </c>
      <c r="B24" s="13" t="s">
        <v>373</v>
      </c>
      <c r="C24" s="1" t="s">
        <v>15</v>
      </c>
      <c r="D24" s="31">
        <v>4</v>
      </c>
      <c r="E24" s="3" t="s">
        <v>33</v>
      </c>
      <c r="F24" s="28">
        <v>0</v>
      </c>
      <c r="G24" s="28">
        <v>0</v>
      </c>
      <c r="H24" s="28">
        <v>0</v>
      </c>
      <c r="I24" s="29">
        <f t="shared" si="3"/>
        <v>0</v>
      </c>
      <c r="J24" s="28">
        <v>0</v>
      </c>
      <c r="K24" s="28">
        <v>0</v>
      </c>
      <c r="L24" s="28">
        <v>0</v>
      </c>
      <c r="M24" s="29">
        <f t="shared" si="0"/>
        <v>0</v>
      </c>
      <c r="N24" s="28">
        <v>0</v>
      </c>
      <c r="O24" s="28">
        <v>0</v>
      </c>
      <c r="P24" s="28">
        <v>0</v>
      </c>
      <c r="Q24" s="29">
        <f t="shared" si="4"/>
        <v>0</v>
      </c>
      <c r="R24" s="28">
        <v>0</v>
      </c>
      <c r="S24" s="28">
        <v>0</v>
      </c>
      <c r="T24" s="28">
        <v>0</v>
      </c>
      <c r="U24" s="29">
        <f t="shared" si="1"/>
        <v>0</v>
      </c>
      <c r="V24" s="28">
        <v>0</v>
      </c>
      <c r="W24" s="28">
        <v>0</v>
      </c>
      <c r="X24" s="28">
        <v>0</v>
      </c>
      <c r="Y24" s="29">
        <f t="shared" si="2"/>
        <v>0</v>
      </c>
      <c r="Z24" s="30">
        <f t="shared" si="5"/>
        <v>0</v>
      </c>
    </row>
    <row r="25" spans="1:31" ht="15.75" customHeight="1" x14ac:dyDescent="0.25">
      <c r="A25" s="1" t="s">
        <v>386</v>
      </c>
      <c r="B25" s="13" t="s">
        <v>387</v>
      </c>
      <c r="C25" s="1" t="s">
        <v>15</v>
      </c>
      <c r="D25" s="31">
        <v>4</v>
      </c>
      <c r="E25" s="3" t="s">
        <v>33</v>
      </c>
      <c r="F25" s="28">
        <v>0</v>
      </c>
      <c r="G25" s="28">
        <v>0</v>
      </c>
      <c r="H25" s="28">
        <v>0</v>
      </c>
      <c r="I25" s="29">
        <f t="shared" si="3"/>
        <v>0</v>
      </c>
      <c r="J25" s="28">
        <v>0</v>
      </c>
      <c r="K25" s="28">
        <v>0</v>
      </c>
      <c r="L25" s="28">
        <v>0</v>
      </c>
      <c r="M25" s="29">
        <f t="shared" si="0"/>
        <v>0</v>
      </c>
      <c r="N25" s="28">
        <v>0</v>
      </c>
      <c r="O25" s="28">
        <v>0</v>
      </c>
      <c r="P25" s="28">
        <v>0</v>
      </c>
      <c r="Q25" s="29">
        <f t="shared" si="4"/>
        <v>0</v>
      </c>
      <c r="R25" s="28">
        <v>0</v>
      </c>
      <c r="S25" s="28">
        <v>0</v>
      </c>
      <c r="T25" s="28">
        <v>0</v>
      </c>
      <c r="U25" s="29">
        <f t="shared" si="1"/>
        <v>0</v>
      </c>
      <c r="V25" s="28">
        <v>0</v>
      </c>
      <c r="W25" s="28">
        <v>0</v>
      </c>
      <c r="X25" s="28">
        <v>0</v>
      </c>
      <c r="Y25" s="29">
        <f t="shared" si="2"/>
        <v>0</v>
      </c>
      <c r="Z25" s="30">
        <f t="shared" si="5"/>
        <v>0</v>
      </c>
    </row>
    <row r="26" spans="1:31" ht="15.75" customHeight="1" x14ac:dyDescent="0.25">
      <c r="A26" s="1" t="s">
        <v>346</v>
      </c>
      <c r="B26" s="13" t="s">
        <v>347</v>
      </c>
      <c r="C26" s="1" t="s">
        <v>15</v>
      </c>
      <c r="D26" s="31">
        <v>4</v>
      </c>
      <c r="E26" s="3" t="s">
        <v>33</v>
      </c>
      <c r="F26" s="28">
        <v>0</v>
      </c>
      <c r="G26" s="28">
        <v>0</v>
      </c>
      <c r="H26" s="28">
        <v>0</v>
      </c>
      <c r="I26" s="29">
        <f t="shared" si="3"/>
        <v>0</v>
      </c>
      <c r="J26" s="28">
        <v>0</v>
      </c>
      <c r="K26" s="28">
        <v>0</v>
      </c>
      <c r="L26" s="28">
        <v>0</v>
      </c>
      <c r="M26" s="29">
        <f t="shared" si="0"/>
        <v>0</v>
      </c>
      <c r="N26" s="28">
        <v>0</v>
      </c>
      <c r="O26" s="28">
        <v>0</v>
      </c>
      <c r="P26" s="28">
        <v>0</v>
      </c>
      <c r="Q26" s="29">
        <f t="shared" si="4"/>
        <v>0</v>
      </c>
      <c r="R26" s="28">
        <v>0</v>
      </c>
      <c r="S26" s="28">
        <v>0</v>
      </c>
      <c r="T26" s="28">
        <v>0</v>
      </c>
      <c r="U26" s="29">
        <f t="shared" si="1"/>
        <v>0</v>
      </c>
      <c r="V26" s="28">
        <v>0</v>
      </c>
      <c r="W26" s="28">
        <v>0</v>
      </c>
      <c r="X26" s="28">
        <v>0</v>
      </c>
      <c r="Y26" s="29">
        <f t="shared" si="2"/>
        <v>0</v>
      </c>
      <c r="Z26" s="30">
        <f t="shared" si="5"/>
        <v>0</v>
      </c>
    </row>
    <row r="27" spans="1:31" ht="15.75" customHeight="1" x14ac:dyDescent="0.25">
      <c r="A27" s="1" t="s">
        <v>350</v>
      </c>
      <c r="B27" s="14" t="s">
        <v>351</v>
      </c>
      <c r="C27" s="1" t="s">
        <v>15</v>
      </c>
      <c r="D27" s="31">
        <v>4</v>
      </c>
      <c r="E27" s="3" t="s">
        <v>33</v>
      </c>
      <c r="F27" s="28">
        <v>0</v>
      </c>
      <c r="G27" s="28">
        <v>0</v>
      </c>
      <c r="H27" s="28">
        <v>0</v>
      </c>
      <c r="I27" s="29">
        <f t="shared" si="3"/>
        <v>0</v>
      </c>
      <c r="J27" s="28">
        <v>0</v>
      </c>
      <c r="K27" s="28">
        <v>0</v>
      </c>
      <c r="L27" s="28">
        <v>0</v>
      </c>
      <c r="M27" s="29">
        <f t="shared" si="0"/>
        <v>0</v>
      </c>
      <c r="N27" s="28">
        <v>0</v>
      </c>
      <c r="O27" s="28">
        <v>0</v>
      </c>
      <c r="P27" s="28">
        <v>0</v>
      </c>
      <c r="Q27" s="29">
        <f t="shared" si="4"/>
        <v>0</v>
      </c>
      <c r="R27" s="28">
        <v>0</v>
      </c>
      <c r="S27" s="28">
        <v>0</v>
      </c>
      <c r="T27" s="28">
        <v>0</v>
      </c>
      <c r="U27" s="29">
        <f t="shared" si="1"/>
        <v>0</v>
      </c>
      <c r="V27" s="28">
        <v>0</v>
      </c>
      <c r="W27" s="28">
        <v>0</v>
      </c>
      <c r="X27" s="28">
        <v>0</v>
      </c>
      <c r="Y27" s="29">
        <f t="shared" si="2"/>
        <v>0</v>
      </c>
      <c r="Z27" s="30">
        <f t="shared" si="5"/>
        <v>0</v>
      </c>
    </row>
    <row r="28" spans="1:31" ht="15.75" customHeight="1" x14ac:dyDescent="0.25">
      <c r="A28" s="1" t="s">
        <v>370</v>
      </c>
      <c r="B28" s="13" t="s">
        <v>371</v>
      </c>
      <c r="C28" s="1" t="s">
        <v>15</v>
      </c>
      <c r="D28" s="31">
        <v>4</v>
      </c>
      <c r="E28" s="3" t="s">
        <v>33</v>
      </c>
      <c r="F28" s="28">
        <v>0</v>
      </c>
      <c r="G28" s="28">
        <v>0</v>
      </c>
      <c r="H28" s="28">
        <v>0</v>
      </c>
      <c r="I28" s="29">
        <f t="shared" si="3"/>
        <v>0</v>
      </c>
      <c r="J28" s="28">
        <v>0</v>
      </c>
      <c r="K28" s="28">
        <v>0</v>
      </c>
      <c r="L28" s="28">
        <v>0</v>
      </c>
      <c r="M28" s="29">
        <f t="shared" si="0"/>
        <v>0</v>
      </c>
      <c r="N28" s="28">
        <v>0</v>
      </c>
      <c r="O28" s="28">
        <v>0</v>
      </c>
      <c r="P28" s="28">
        <v>0</v>
      </c>
      <c r="Q28" s="29">
        <f t="shared" si="4"/>
        <v>0</v>
      </c>
      <c r="R28" s="28">
        <v>0</v>
      </c>
      <c r="S28" s="28">
        <v>0</v>
      </c>
      <c r="T28" s="28">
        <v>0</v>
      </c>
      <c r="U28" s="29">
        <f t="shared" si="1"/>
        <v>0</v>
      </c>
      <c r="V28" s="28">
        <v>0</v>
      </c>
      <c r="W28" s="28">
        <v>0</v>
      </c>
      <c r="X28" s="28">
        <v>0</v>
      </c>
      <c r="Y28" s="29">
        <f t="shared" si="2"/>
        <v>0</v>
      </c>
      <c r="Z28" s="30">
        <f t="shared" si="5"/>
        <v>0</v>
      </c>
    </row>
    <row r="29" spans="1:31" ht="15.75" customHeight="1" x14ac:dyDescent="0.25">
      <c r="A29" s="1" t="s">
        <v>358</v>
      </c>
      <c r="B29" s="14" t="s">
        <v>359</v>
      </c>
      <c r="C29" s="1" t="s">
        <v>15</v>
      </c>
      <c r="D29" s="31">
        <v>4</v>
      </c>
      <c r="E29" s="3" t="s">
        <v>33</v>
      </c>
      <c r="F29" s="28">
        <v>0</v>
      </c>
      <c r="G29" s="28">
        <v>0</v>
      </c>
      <c r="H29" s="28">
        <v>0</v>
      </c>
      <c r="I29" s="29">
        <f t="shared" si="3"/>
        <v>0</v>
      </c>
      <c r="J29" s="28">
        <v>0</v>
      </c>
      <c r="K29" s="28">
        <v>0</v>
      </c>
      <c r="L29" s="28">
        <v>0</v>
      </c>
      <c r="M29" s="29">
        <f t="shared" si="0"/>
        <v>0</v>
      </c>
      <c r="N29" s="28">
        <v>0</v>
      </c>
      <c r="O29" s="28">
        <v>0</v>
      </c>
      <c r="P29" s="28">
        <v>0</v>
      </c>
      <c r="Q29" s="29">
        <f t="shared" si="4"/>
        <v>0</v>
      </c>
      <c r="R29" s="28">
        <v>0</v>
      </c>
      <c r="S29" s="28">
        <v>0</v>
      </c>
      <c r="T29" s="28">
        <v>0</v>
      </c>
      <c r="U29" s="29">
        <f t="shared" si="1"/>
        <v>0</v>
      </c>
      <c r="V29" s="28">
        <v>0</v>
      </c>
      <c r="W29" s="28">
        <v>0</v>
      </c>
      <c r="X29" s="28">
        <v>0</v>
      </c>
      <c r="Y29" s="29">
        <f t="shared" si="2"/>
        <v>0</v>
      </c>
      <c r="Z29" s="30">
        <f t="shared" si="5"/>
        <v>0</v>
      </c>
    </row>
    <row r="30" spans="1:31" ht="15.75" customHeight="1" x14ac:dyDescent="0.25">
      <c r="A30" s="1" t="s">
        <v>360</v>
      </c>
      <c r="B30" s="14" t="s">
        <v>361</v>
      </c>
      <c r="C30" s="1" t="s">
        <v>15</v>
      </c>
      <c r="D30" s="31">
        <v>4</v>
      </c>
      <c r="E30" s="3" t="s">
        <v>33</v>
      </c>
      <c r="F30" s="28">
        <v>0</v>
      </c>
      <c r="G30" s="28">
        <v>0</v>
      </c>
      <c r="H30" s="28">
        <v>0</v>
      </c>
      <c r="I30" s="29">
        <f t="shared" si="3"/>
        <v>0</v>
      </c>
      <c r="J30" s="28">
        <v>0</v>
      </c>
      <c r="K30" s="28">
        <v>0</v>
      </c>
      <c r="L30" s="28">
        <v>0</v>
      </c>
      <c r="M30" s="29">
        <f t="shared" si="0"/>
        <v>0</v>
      </c>
      <c r="N30" s="28">
        <v>0</v>
      </c>
      <c r="O30" s="28">
        <v>0</v>
      </c>
      <c r="P30" s="28">
        <v>0</v>
      </c>
      <c r="Q30" s="29">
        <f t="shared" si="4"/>
        <v>0</v>
      </c>
      <c r="R30" s="28">
        <v>0</v>
      </c>
      <c r="S30" s="28">
        <v>0</v>
      </c>
      <c r="T30" s="28">
        <v>0</v>
      </c>
      <c r="U30" s="29">
        <f t="shared" si="1"/>
        <v>0</v>
      </c>
      <c r="V30" s="28">
        <v>0</v>
      </c>
      <c r="W30" s="28">
        <v>0</v>
      </c>
      <c r="X30" s="28">
        <v>0</v>
      </c>
      <c r="Y30" s="29">
        <f t="shared" si="2"/>
        <v>0</v>
      </c>
      <c r="Z30" s="30">
        <f t="shared" si="5"/>
        <v>0</v>
      </c>
    </row>
    <row r="31" spans="1:31" ht="15.75" customHeight="1" x14ac:dyDescent="0.25">
      <c r="A31" s="1" t="s">
        <v>364</v>
      </c>
      <c r="B31" s="14" t="s">
        <v>365</v>
      </c>
      <c r="C31" s="1" t="s">
        <v>15</v>
      </c>
      <c r="D31" s="31">
        <v>4</v>
      </c>
      <c r="E31" s="3" t="s">
        <v>33</v>
      </c>
      <c r="F31" s="28">
        <v>0</v>
      </c>
      <c r="G31" s="28">
        <v>0</v>
      </c>
      <c r="H31" s="28">
        <v>0</v>
      </c>
      <c r="I31" s="29">
        <f t="shared" si="3"/>
        <v>0</v>
      </c>
      <c r="J31" s="28">
        <v>0</v>
      </c>
      <c r="K31" s="28">
        <v>0</v>
      </c>
      <c r="L31" s="28">
        <v>0</v>
      </c>
      <c r="M31" s="29">
        <f t="shared" si="0"/>
        <v>0</v>
      </c>
      <c r="N31" s="28">
        <v>0</v>
      </c>
      <c r="O31" s="28">
        <v>0</v>
      </c>
      <c r="P31" s="28">
        <v>0</v>
      </c>
      <c r="Q31" s="29">
        <f t="shared" si="4"/>
        <v>0</v>
      </c>
      <c r="R31" s="28">
        <v>0</v>
      </c>
      <c r="S31" s="28">
        <v>0</v>
      </c>
      <c r="T31" s="28">
        <v>0</v>
      </c>
      <c r="U31" s="29">
        <f t="shared" si="1"/>
        <v>0</v>
      </c>
      <c r="V31" s="28">
        <v>0</v>
      </c>
      <c r="W31" s="28">
        <v>0</v>
      </c>
      <c r="X31" s="28">
        <v>0</v>
      </c>
      <c r="Y31" s="29">
        <f t="shared" si="2"/>
        <v>0</v>
      </c>
      <c r="Z31" s="30">
        <f t="shared" si="5"/>
        <v>0</v>
      </c>
    </row>
  </sheetData>
  <sortState xmlns:xlrd2="http://schemas.microsoft.com/office/spreadsheetml/2017/richdata2" ref="A3:Z31">
    <sortCondition ref="E1:E31"/>
  </sortState>
  <mergeCells count="5">
    <mergeCell ref="F1:I1"/>
    <mergeCell ref="J1:M1"/>
    <mergeCell ref="N1:Q1"/>
    <mergeCell ref="R1:U1"/>
    <mergeCell ref="V1:Y1"/>
  </mergeCells>
  <conditionalFormatting sqref="F3:H31">
    <cfRule type="cellIs" dxfId="729" priority="53" operator="lessThan">
      <formula>7.9</formula>
    </cfRule>
  </conditionalFormatting>
  <conditionalFormatting sqref="F3:H31">
    <cfRule type="cellIs" dxfId="728" priority="54" operator="lessThan">
      <formula>7.4</formula>
    </cfRule>
  </conditionalFormatting>
  <conditionalFormatting sqref="F5:H6">
    <cfRule type="cellIs" dxfId="727" priority="55" operator="lessThan">
      <formula>6.9</formula>
    </cfRule>
  </conditionalFormatting>
  <conditionalFormatting sqref="I3:I31">
    <cfRule type="cellIs" dxfId="726" priority="56" operator="lessThan">
      <formula>7.9</formula>
    </cfRule>
    <cfRule type="cellIs" dxfId="725" priority="65" operator="lessThan">
      <formula>6.9</formula>
    </cfRule>
    <cfRule type="cellIs" dxfId="724" priority="66" operator="lessThan">
      <formula>7.4</formula>
    </cfRule>
    <cfRule type="cellIs" dxfId="723" priority="67" operator="lessThan">
      <formula>7.9</formula>
    </cfRule>
  </conditionalFormatting>
  <conditionalFormatting sqref="I3:I31">
    <cfRule type="cellIs" dxfId="722" priority="57" operator="lessThan">
      <formula>6.9</formula>
    </cfRule>
    <cfRule type="cellIs" dxfId="721" priority="58" operator="lessThan">
      <formula>7.4</formula>
    </cfRule>
    <cfRule type="cellIs" dxfId="720" priority="59" operator="lessThan">
      <formula>7.9</formula>
    </cfRule>
    <cfRule type="cellIs" dxfId="719" priority="60" operator="lessThan">
      <formula>6.9</formula>
    </cfRule>
    <cfRule type="cellIs" dxfId="718" priority="61" operator="lessThan">
      <formula>7.9</formula>
    </cfRule>
    <cfRule type="cellIs" dxfId="717" priority="62" operator="lessThan">
      <formula>7.4</formula>
    </cfRule>
    <cfRule type="cellIs" dxfId="716" priority="63" operator="lessThan">
      <formula>6.9</formula>
    </cfRule>
    <cfRule type="cellIs" dxfId="715" priority="64" operator="lessThan">
      <formula>7.9</formula>
    </cfRule>
  </conditionalFormatting>
  <conditionalFormatting sqref="M3:M31">
    <cfRule type="cellIs" dxfId="714" priority="68" operator="lessThan">
      <formula>7.9</formula>
    </cfRule>
    <cfRule type="cellIs" dxfId="713" priority="69" operator="lessThan">
      <formula>6.9</formula>
    </cfRule>
    <cfRule type="cellIs" dxfId="712" priority="70" operator="lessThan">
      <formula>7.4</formula>
    </cfRule>
    <cfRule type="cellIs" dxfId="711" priority="71" operator="lessThan">
      <formula>7.9</formula>
    </cfRule>
    <cfRule type="cellIs" dxfId="710" priority="72" operator="lessThan">
      <formula>6.9</formula>
    </cfRule>
    <cfRule type="cellIs" dxfId="709" priority="73" operator="lessThan">
      <formula>7.9</formula>
    </cfRule>
    <cfRule type="cellIs" dxfId="708" priority="74" operator="lessThan">
      <formula>7.4</formula>
    </cfRule>
    <cfRule type="cellIs" dxfId="707" priority="75" operator="lessThan">
      <formula>6.9</formula>
    </cfRule>
    <cfRule type="cellIs" dxfId="706" priority="76" operator="lessThan">
      <formula>7.9</formula>
    </cfRule>
    <cfRule type="cellIs" dxfId="705" priority="77" operator="lessThan">
      <formula>6.9</formula>
    </cfRule>
    <cfRule type="cellIs" dxfId="704" priority="78" operator="lessThan">
      <formula>7.4</formula>
    </cfRule>
    <cfRule type="cellIs" dxfId="703" priority="79" operator="lessThan">
      <formula>6.9</formula>
    </cfRule>
    <cfRule type="cellIs" dxfId="702" priority="80" operator="lessThan">
      <formula>7.4</formula>
    </cfRule>
    <cfRule type="cellIs" dxfId="701" priority="81" operator="lessThan">
      <formula>7.9</formula>
    </cfRule>
  </conditionalFormatting>
  <conditionalFormatting sqref="J3:L31">
    <cfRule type="cellIs" dxfId="700" priority="50" operator="lessThan">
      <formula>7.9</formula>
    </cfRule>
  </conditionalFormatting>
  <conditionalFormatting sqref="J3:L31">
    <cfRule type="cellIs" dxfId="699" priority="51" operator="lessThan">
      <formula>7.4</formula>
    </cfRule>
  </conditionalFormatting>
  <conditionalFormatting sqref="J5:L6">
    <cfRule type="cellIs" dxfId="698" priority="52" operator="lessThan">
      <formula>6.9</formula>
    </cfRule>
  </conditionalFormatting>
  <conditionalFormatting sqref="N3:P31">
    <cfRule type="cellIs" dxfId="697" priority="21" operator="lessThan">
      <formula>7.9</formula>
    </cfRule>
  </conditionalFormatting>
  <conditionalFormatting sqref="N3:P31">
    <cfRule type="cellIs" dxfId="696" priority="22" operator="lessThan">
      <formula>7.4</formula>
    </cfRule>
  </conditionalFormatting>
  <conditionalFormatting sqref="N5:P6">
    <cfRule type="cellIs" dxfId="695" priority="23" operator="lessThan">
      <formula>6.9</formula>
    </cfRule>
  </conditionalFormatting>
  <conditionalFormatting sqref="Q3:Q31">
    <cfRule type="cellIs" dxfId="694" priority="24" operator="lessThan">
      <formula>7.9</formula>
    </cfRule>
    <cfRule type="cellIs" dxfId="693" priority="33" operator="lessThan">
      <formula>6.9</formula>
    </cfRule>
    <cfRule type="cellIs" dxfId="692" priority="34" operator="lessThan">
      <formula>7.4</formula>
    </cfRule>
    <cfRule type="cellIs" dxfId="691" priority="35" operator="lessThan">
      <formula>7.9</formula>
    </cfRule>
  </conditionalFormatting>
  <conditionalFormatting sqref="Q3:Q31">
    <cfRule type="cellIs" dxfId="690" priority="25" operator="lessThan">
      <formula>6.9</formula>
    </cfRule>
    <cfRule type="cellIs" dxfId="689" priority="26" operator="lessThan">
      <formula>7.4</formula>
    </cfRule>
    <cfRule type="cellIs" dxfId="688" priority="27" operator="lessThan">
      <formula>7.9</formula>
    </cfRule>
    <cfRule type="cellIs" dxfId="687" priority="28" operator="lessThan">
      <formula>6.9</formula>
    </cfRule>
    <cfRule type="cellIs" dxfId="686" priority="29" operator="lessThan">
      <formula>7.9</formula>
    </cfRule>
    <cfRule type="cellIs" dxfId="685" priority="30" operator="lessThan">
      <formula>7.4</formula>
    </cfRule>
    <cfRule type="cellIs" dxfId="684" priority="31" operator="lessThan">
      <formula>6.9</formula>
    </cfRule>
    <cfRule type="cellIs" dxfId="683" priority="32" operator="lessThan">
      <formula>7.9</formula>
    </cfRule>
  </conditionalFormatting>
  <conditionalFormatting sqref="U3:U31">
    <cfRule type="cellIs" dxfId="682" priority="36" operator="lessThan">
      <formula>7.9</formula>
    </cfRule>
    <cfRule type="cellIs" dxfId="681" priority="37" operator="lessThan">
      <formula>6.9</formula>
    </cfRule>
    <cfRule type="cellIs" dxfId="680" priority="38" operator="lessThan">
      <formula>7.4</formula>
    </cfRule>
    <cfRule type="cellIs" dxfId="679" priority="39" operator="lessThan">
      <formula>7.9</formula>
    </cfRule>
    <cfRule type="cellIs" dxfId="678" priority="40" operator="lessThan">
      <formula>6.9</formula>
    </cfRule>
    <cfRule type="cellIs" dxfId="677" priority="41" operator="lessThan">
      <formula>7.9</formula>
    </cfRule>
    <cfRule type="cellIs" dxfId="676" priority="42" operator="lessThan">
      <formula>7.4</formula>
    </cfRule>
    <cfRule type="cellIs" dxfId="675" priority="43" operator="lessThan">
      <formula>6.9</formula>
    </cfRule>
    <cfRule type="cellIs" dxfId="674" priority="44" operator="lessThan">
      <formula>7.9</formula>
    </cfRule>
    <cfRule type="cellIs" dxfId="673" priority="45" operator="lessThan">
      <formula>6.9</formula>
    </cfRule>
    <cfRule type="cellIs" dxfId="672" priority="46" operator="lessThan">
      <formula>7.4</formula>
    </cfRule>
    <cfRule type="cellIs" dxfId="671" priority="47" operator="lessThan">
      <formula>6.9</formula>
    </cfRule>
    <cfRule type="cellIs" dxfId="670" priority="48" operator="lessThan">
      <formula>7.4</formula>
    </cfRule>
    <cfRule type="cellIs" dxfId="669" priority="49" operator="lessThan">
      <formula>7.9</formula>
    </cfRule>
  </conditionalFormatting>
  <conditionalFormatting sqref="R3:T31">
    <cfRule type="cellIs" dxfId="668" priority="18" operator="lessThan">
      <formula>7.9</formula>
    </cfRule>
  </conditionalFormatting>
  <conditionalFormatting sqref="R3:T31">
    <cfRule type="cellIs" dxfId="667" priority="19" operator="lessThan">
      <formula>7.4</formula>
    </cfRule>
  </conditionalFormatting>
  <conditionalFormatting sqref="R5:T6">
    <cfRule type="cellIs" dxfId="666" priority="20" operator="lessThan">
      <formula>6.9</formula>
    </cfRule>
  </conditionalFormatting>
  <conditionalFormatting sqref="Y3:Y31">
    <cfRule type="cellIs" dxfId="665" priority="4" operator="lessThan">
      <formula>7.9</formula>
    </cfRule>
    <cfRule type="cellIs" dxfId="664" priority="5" operator="lessThan">
      <formula>6.9</formula>
    </cfRule>
    <cfRule type="cellIs" dxfId="663" priority="6" operator="lessThan">
      <formula>7.4</formula>
    </cfRule>
    <cfRule type="cellIs" dxfId="662" priority="7" operator="lessThan">
      <formula>7.9</formula>
    </cfRule>
    <cfRule type="cellIs" dxfId="661" priority="8" operator="lessThan">
      <formula>6.9</formula>
    </cfRule>
    <cfRule type="cellIs" dxfId="660" priority="9" operator="lessThan">
      <formula>7.9</formula>
    </cfRule>
    <cfRule type="cellIs" dxfId="659" priority="10" operator="lessThan">
      <formula>7.4</formula>
    </cfRule>
    <cfRule type="cellIs" dxfId="658" priority="11" operator="lessThan">
      <formula>6.9</formula>
    </cfRule>
    <cfRule type="cellIs" dxfId="657" priority="12" operator="lessThan">
      <formula>7.9</formula>
    </cfRule>
    <cfRule type="cellIs" dxfId="656" priority="13" operator="lessThan">
      <formula>6.9</formula>
    </cfRule>
    <cfRule type="cellIs" dxfId="655" priority="14" operator="lessThan">
      <formula>7.4</formula>
    </cfRule>
    <cfRule type="cellIs" dxfId="654" priority="15" operator="lessThan">
      <formula>6.9</formula>
    </cfRule>
    <cfRule type="cellIs" dxfId="653" priority="16" operator="lessThan">
      <formula>7.4</formula>
    </cfRule>
    <cfRule type="cellIs" dxfId="652" priority="17" operator="lessThan">
      <formula>7.9</formula>
    </cfRule>
  </conditionalFormatting>
  <conditionalFormatting sqref="V3:X31">
    <cfRule type="cellIs" dxfId="651" priority="1" operator="lessThan">
      <formula>7.9</formula>
    </cfRule>
  </conditionalFormatting>
  <conditionalFormatting sqref="V3:X31">
    <cfRule type="cellIs" dxfId="650" priority="2" operator="lessThan">
      <formula>7.4</formula>
    </cfRule>
  </conditionalFormatting>
  <conditionalFormatting sqref="V5:X6">
    <cfRule type="cellIs" dxfId="649" priority="3" operator="lessThan">
      <formula>6.9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E37"/>
  <sheetViews>
    <sheetView topLeftCell="K1" workbookViewId="0">
      <selection activeCell="F2" sqref="F1:Z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7" max="31" width="3.140625" customWidth="1"/>
  </cols>
  <sheetData>
    <row r="1" spans="1:31" ht="15" x14ac:dyDescent="0.2">
      <c r="A1" s="1"/>
      <c r="B1" s="1"/>
      <c r="C1" s="1"/>
      <c r="D1" s="1"/>
      <c r="E1" s="1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1" t="s">
        <v>122</v>
      </c>
      <c r="O1" s="22"/>
      <c r="P1" s="22"/>
      <c r="Q1" s="23"/>
      <c r="R1" s="21" t="s">
        <v>123</v>
      </c>
      <c r="S1" s="22"/>
      <c r="T1" s="22"/>
      <c r="U1" s="23"/>
      <c r="V1" s="21" t="s">
        <v>124</v>
      </c>
      <c r="W1" s="22"/>
      <c r="X1" s="22"/>
      <c r="Y1" s="23"/>
      <c r="Z1" s="24" t="s">
        <v>2</v>
      </c>
      <c r="AA1" s="11"/>
      <c r="AB1" s="11"/>
      <c r="AC1" s="11"/>
      <c r="AD1" s="11"/>
      <c r="AE1" s="11"/>
    </row>
    <row r="2" spans="1:31" x14ac:dyDescent="0.2">
      <c r="A2" s="1" t="s">
        <v>3</v>
      </c>
      <c r="B2" s="1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5" t="s">
        <v>8</v>
      </c>
      <c r="O2" s="25" t="s">
        <v>9</v>
      </c>
      <c r="P2" s="25" t="s">
        <v>10</v>
      </c>
      <c r="Q2" s="26" t="s">
        <v>11</v>
      </c>
      <c r="R2" s="25" t="s">
        <v>8</v>
      </c>
      <c r="S2" s="25" t="s">
        <v>9</v>
      </c>
      <c r="T2" s="25" t="s">
        <v>10</v>
      </c>
      <c r="U2" s="26" t="s">
        <v>11</v>
      </c>
      <c r="V2" s="25" t="s">
        <v>8</v>
      </c>
      <c r="W2" s="25" t="s">
        <v>9</v>
      </c>
      <c r="X2" s="25" t="s">
        <v>10</v>
      </c>
      <c r="Y2" s="26" t="s">
        <v>11</v>
      </c>
      <c r="Z2" s="24" t="s">
        <v>12</v>
      </c>
      <c r="AA2" s="5"/>
      <c r="AB2" s="5"/>
      <c r="AC2" s="5"/>
      <c r="AD2" s="5"/>
      <c r="AE2" s="5"/>
    </row>
    <row r="3" spans="1:31" ht="15.75" customHeight="1" x14ac:dyDescent="0.25">
      <c r="A3" s="2" t="s">
        <v>444</v>
      </c>
      <c r="B3" s="3" t="s">
        <v>445</v>
      </c>
      <c r="C3" s="2" t="s">
        <v>15</v>
      </c>
      <c r="D3" s="31">
        <v>5</v>
      </c>
      <c r="E3" s="3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31" si="0">AVERAGE(J3:L3)</f>
        <v>0</v>
      </c>
      <c r="N3" s="28">
        <v>0</v>
      </c>
      <c r="O3" s="28">
        <v>0</v>
      </c>
      <c r="P3" s="28">
        <v>0</v>
      </c>
      <c r="Q3" s="29">
        <f>AVERAGE(N3:P3)</f>
        <v>0</v>
      </c>
      <c r="R3" s="28">
        <v>0</v>
      </c>
      <c r="S3" s="28">
        <v>0</v>
      </c>
      <c r="T3" s="28">
        <v>0</v>
      </c>
      <c r="U3" s="29">
        <f t="shared" ref="U3:U31" si="1">AVERAGE(R3:T3)</f>
        <v>0</v>
      </c>
      <c r="V3" s="28">
        <v>0</v>
      </c>
      <c r="W3" s="28">
        <v>0</v>
      </c>
      <c r="X3" s="28">
        <v>0</v>
      </c>
      <c r="Y3" s="29">
        <f t="shared" ref="Y3:Y31" si="2">AVERAGE(V3:X3)</f>
        <v>0</v>
      </c>
      <c r="Z3" s="30">
        <f>AVERAGE(I3,M3,Q3,U3,Y3)</f>
        <v>0</v>
      </c>
      <c r="AA3" s="6"/>
      <c r="AB3" s="6"/>
      <c r="AC3" s="7"/>
      <c r="AD3" s="6"/>
      <c r="AE3" s="7"/>
    </row>
    <row r="4" spans="1:31" ht="15.75" customHeight="1" x14ac:dyDescent="0.25">
      <c r="A4" s="2" t="s">
        <v>414</v>
      </c>
      <c r="B4" s="3" t="s">
        <v>415</v>
      </c>
      <c r="C4" s="2" t="s">
        <v>15</v>
      </c>
      <c r="D4" s="31">
        <v>5</v>
      </c>
      <c r="E4" s="3" t="s">
        <v>16</v>
      </c>
      <c r="F4" s="28">
        <v>0</v>
      </c>
      <c r="G4" s="28">
        <v>0</v>
      </c>
      <c r="H4" s="28">
        <v>0</v>
      </c>
      <c r="I4" s="29">
        <f t="shared" ref="I4:I31" si="3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28">
        <v>0</v>
      </c>
      <c r="O4" s="28">
        <v>0</v>
      </c>
      <c r="P4" s="28">
        <v>0</v>
      </c>
      <c r="Q4" s="29">
        <f t="shared" ref="Q4:Q31" si="4">AVERAGE(N4:P4)</f>
        <v>0</v>
      </c>
      <c r="R4" s="28">
        <v>0</v>
      </c>
      <c r="S4" s="28">
        <v>0</v>
      </c>
      <c r="T4" s="28">
        <v>0</v>
      </c>
      <c r="U4" s="29">
        <f t="shared" si="1"/>
        <v>0</v>
      </c>
      <c r="V4" s="28">
        <v>0</v>
      </c>
      <c r="W4" s="28">
        <v>0</v>
      </c>
      <c r="X4" s="28">
        <v>0</v>
      </c>
      <c r="Y4" s="29">
        <f t="shared" si="2"/>
        <v>0</v>
      </c>
      <c r="Z4" s="30">
        <f t="shared" ref="Z4:Z31" si="5">AVERAGE(I4,M4,Q4,U4,Y4)</f>
        <v>0</v>
      </c>
      <c r="AA4" s="7"/>
      <c r="AB4" s="7"/>
      <c r="AC4" s="7"/>
      <c r="AD4" s="7"/>
      <c r="AE4" s="7"/>
    </row>
    <row r="5" spans="1:31" ht="15.75" customHeight="1" x14ac:dyDescent="0.25">
      <c r="A5" s="2" t="s">
        <v>458</v>
      </c>
      <c r="B5" s="3" t="s">
        <v>459</v>
      </c>
      <c r="C5" s="2" t="s">
        <v>15</v>
      </c>
      <c r="D5" s="31">
        <v>5</v>
      </c>
      <c r="E5" s="3" t="s">
        <v>16</v>
      </c>
      <c r="F5" s="28">
        <v>0</v>
      </c>
      <c r="G5" s="28">
        <v>0</v>
      </c>
      <c r="H5" s="28">
        <v>0</v>
      </c>
      <c r="I5" s="29">
        <f t="shared" si="3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28">
        <v>0</v>
      </c>
      <c r="O5" s="28">
        <v>0</v>
      </c>
      <c r="P5" s="28">
        <v>0</v>
      </c>
      <c r="Q5" s="29">
        <f t="shared" si="4"/>
        <v>0</v>
      </c>
      <c r="R5" s="28">
        <v>0</v>
      </c>
      <c r="S5" s="28">
        <v>0</v>
      </c>
      <c r="T5" s="28">
        <v>0</v>
      </c>
      <c r="U5" s="29">
        <f t="shared" si="1"/>
        <v>0</v>
      </c>
      <c r="V5" s="28">
        <v>0</v>
      </c>
      <c r="W5" s="28">
        <v>0</v>
      </c>
      <c r="X5" s="28">
        <v>0</v>
      </c>
      <c r="Y5" s="29">
        <f t="shared" si="2"/>
        <v>0</v>
      </c>
      <c r="Z5" s="30">
        <f t="shared" si="5"/>
        <v>0</v>
      </c>
      <c r="AA5" s="7"/>
      <c r="AB5" s="7"/>
      <c r="AC5" s="7"/>
      <c r="AD5" s="8"/>
      <c r="AE5" s="7"/>
    </row>
    <row r="6" spans="1:31" ht="15.75" customHeight="1" x14ac:dyDescent="0.25">
      <c r="A6" s="2" t="s">
        <v>410</v>
      </c>
      <c r="B6" s="3" t="s">
        <v>411</v>
      </c>
      <c r="C6" s="2" t="s">
        <v>15</v>
      </c>
      <c r="D6" s="31">
        <v>5</v>
      </c>
      <c r="E6" s="3" t="s">
        <v>16</v>
      </c>
      <c r="F6" s="28">
        <v>0</v>
      </c>
      <c r="G6" s="28">
        <v>0</v>
      </c>
      <c r="H6" s="28">
        <v>0</v>
      </c>
      <c r="I6" s="29">
        <f t="shared" si="3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28">
        <v>0</v>
      </c>
      <c r="O6" s="28">
        <v>0</v>
      </c>
      <c r="P6" s="28">
        <v>0</v>
      </c>
      <c r="Q6" s="29">
        <f t="shared" si="4"/>
        <v>0</v>
      </c>
      <c r="R6" s="28">
        <v>0</v>
      </c>
      <c r="S6" s="28">
        <v>0</v>
      </c>
      <c r="T6" s="28">
        <v>0</v>
      </c>
      <c r="U6" s="29">
        <f t="shared" si="1"/>
        <v>0</v>
      </c>
      <c r="V6" s="28">
        <v>0</v>
      </c>
      <c r="W6" s="28">
        <v>0</v>
      </c>
      <c r="X6" s="28">
        <v>0</v>
      </c>
      <c r="Y6" s="29">
        <f t="shared" si="2"/>
        <v>0</v>
      </c>
      <c r="Z6" s="30">
        <f t="shared" si="5"/>
        <v>0</v>
      </c>
      <c r="AA6" s="7"/>
      <c r="AB6" s="7"/>
      <c r="AC6" s="7"/>
      <c r="AD6" s="8"/>
      <c r="AE6" s="7"/>
    </row>
    <row r="7" spans="1:31" ht="15.75" customHeight="1" x14ac:dyDescent="0.25">
      <c r="A7" s="2" t="s">
        <v>416</v>
      </c>
      <c r="B7" s="3" t="s">
        <v>417</v>
      </c>
      <c r="C7" s="2" t="s">
        <v>15</v>
      </c>
      <c r="D7" s="31">
        <v>5</v>
      </c>
      <c r="E7" s="3" t="s">
        <v>16</v>
      </c>
      <c r="F7" s="28">
        <v>0</v>
      </c>
      <c r="G7" s="28">
        <v>0</v>
      </c>
      <c r="H7" s="28">
        <v>0</v>
      </c>
      <c r="I7" s="29">
        <f t="shared" si="3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28">
        <v>0</v>
      </c>
      <c r="O7" s="28">
        <v>0</v>
      </c>
      <c r="P7" s="28">
        <v>0</v>
      </c>
      <c r="Q7" s="29">
        <f t="shared" si="4"/>
        <v>0</v>
      </c>
      <c r="R7" s="28">
        <v>0</v>
      </c>
      <c r="S7" s="28">
        <v>0</v>
      </c>
      <c r="T7" s="28">
        <v>0</v>
      </c>
      <c r="U7" s="29">
        <f t="shared" si="1"/>
        <v>0</v>
      </c>
      <c r="V7" s="28">
        <v>0</v>
      </c>
      <c r="W7" s="28">
        <v>0</v>
      </c>
      <c r="X7" s="28">
        <v>0</v>
      </c>
      <c r="Y7" s="29">
        <f t="shared" si="2"/>
        <v>0</v>
      </c>
      <c r="Z7" s="30">
        <f t="shared" si="5"/>
        <v>0</v>
      </c>
      <c r="AA7" s="9"/>
      <c r="AB7" s="9"/>
      <c r="AC7" s="6"/>
      <c r="AD7" s="6"/>
      <c r="AE7" s="7"/>
    </row>
    <row r="8" spans="1:31" ht="15.75" customHeight="1" x14ac:dyDescent="0.25">
      <c r="A8" s="2" t="s">
        <v>430</v>
      </c>
      <c r="B8" s="3" t="s">
        <v>431</v>
      </c>
      <c r="C8" s="2" t="s">
        <v>15</v>
      </c>
      <c r="D8" s="31">
        <v>5</v>
      </c>
      <c r="E8" s="3" t="s">
        <v>16</v>
      </c>
      <c r="F8" s="28">
        <v>0</v>
      </c>
      <c r="G8" s="28">
        <v>0</v>
      </c>
      <c r="H8" s="28">
        <v>0</v>
      </c>
      <c r="I8" s="29">
        <f t="shared" si="3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28">
        <v>0</v>
      </c>
      <c r="O8" s="28">
        <v>0</v>
      </c>
      <c r="P8" s="28">
        <v>0</v>
      </c>
      <c r="Q8" s="29">
        <f t="shared" si="4"/>
        <v>0</v>
      </c>
      <c r="R8" s="28">
        <v>0</v>
      </c>
      <c r="S8" s="28">
        <v>0</v>
      </c>
      <c r="T8" s="28">
        <v>0</v>
      </c>
      <c r="U8" s="29">
        <f t="shared" si="1"/>
        <v>0</v>
      </c>
      <c r="V8" s="28">
        <v>0</v>
      </c>
      <c r="W8" s="28">
        <v>0</v>
      </c>
      <c r="X8" s="28">
        <v>0</v>
      </c>
      <c r="Y8" s="29">
        <f t="shared" si="2"/>
        <v>0</v>
      </c>
      <c r="Z8" s="30">
        <f t="shared" si="5"/>
        <v>0</v>
      </c>
      <c r="AA8" s="7"/>
      <c r="AB8" s="7"/>
      <c r="AC8" s="6"/>
      <c r="AD8" s="6"/>
      <c r="AE8" s="7"/>
    </row>
    <row r="9" spans="1:31" ht="15.75" customHeight="1" x14ac:dyDescent="0.25">
      <c r="A9" s="2" t="s">
        <v>438</v>
      </c>
      <c r="B9" s="3" t="s">
        <v>439</v>
      </c>
      <c r="C9" s="2" t="s">
        <v>15</v>
      </c>
      <c r="D9" s="31">
        <v>5</v>
      </c>
      <c r="E9" s="3" t="s">
        <v>16</v>
      </c>
      <c r="F9" s="28">
        <v>0</v>
      </c>
      <c r="G9" s="28">
        <v>0</v>
      </c>
      <c r="H9" s="28">
        <v>0</v>
      </c>
      <c r="I9" s="29">
        <f t="shared" si="3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28">
        <v>0</v>
      </c>
      <c r="O9" s="28">
        <v>0</v>
      </c>
      <c r="P9" s="28">
        <v>0</v>
      </c>
      <c r="Q9" s="29">
        <f t="shared" si="4"/>
        <v>0</v>
      </c>
      <c r="R9" s="28">
        <v>0</v>
      </c>
      <c r="S9" s="28">
        <v>0</v>
      </c>
      <c r="T9" s="28">
        <v>0</v>
      </c>
      <c r="U9" s="29">
        <f t="shared" si="1"/>
        <v>0</v>
      </c>
      <c r="V9" s="28">
        <v>0</v>
      </c>
      <c r="W9" s="28">
        <v>0</v>
      </c>
      <c r="X9" s="28">
        <v>0</v>
      </c>
      <c r="Y9" s="29">
        <f t="shared" si="2"/>
        <v>0</v>
      </c>
      <c r="Z9" s="30">
        <f t="shared" si="5"/>
        <v>0</v>
      </c>
      <c r="AA9" s="6"/>
      <c r="AB9" s="6"/>
      <c r="AC9" s="10"/>
      <c r="AD9" s="8"/>
      <c r="AE9" s="7"/>
    </row>
    <row r="10" spans="1:31" ht="15.75" customHeight="1" x14ac:dyDescent="0.25">
      <c r="A10" s="2" t="s">
        <v>418</v>
      </c>
      <c r="B10" s="3" t="s">
        <v>419</v>
      </c>
      <c r="C10" s="2" t="s">
        <v>15</v>
      </c>
      <c r="D10" s="31">
        <v>5</v>
      </c>
      <c r="E10" s="3" t="s">
        <v>16</v>
      </c>
      <c r="F10" s="28">
        <v>0</v>
      </c>
      <c r="G10" s="28">
        <v>0</v>
      </c>
      <c r="H10" s="28">
        <v>0</v>
      </c>
      <c r="I10" s="29">
        <f t="shared" si="3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28">
        <v>0</v>
      </c>
      <c r="O10" s="28">
        <v>0</v>
      </c>
      <c r="P10" s="28">
        <v>0</v>
      </c>
      <c r="Q10" s="29">
        <f t="shared" si="4"/>
        <v>0</v>
      </c>
      <c r="R10" s="28">
        <v>0</v>
      </c>
      <c r="S10" s="28">
        <v>0</v>
      </c>
      <c r="T10" s="28">
        <v>0</v>
      </c>
      <c r="U10" s="29">
        <f t="shared" si="1"/>
        <v>0</v>
      </c>
      <c r="V10" s="28">
        <v>0</v>
      </c>
      <c r="W10" s="28">
        <v>0</v>
      </c>
      <c r="X10" s="28">
        <v>0</v>
      </c>
      <c r="Y10" s="29">
        <f t="shared" si="2"/>
        <v>0</v>
      </c>
      <c r="Z10" s="30">
        <f t="shared" si="5"/>
        <v>0</v>
      </c>
      <c r="AA10" s="7"/>
      <c r="AB10" s="7"/>
      <c r="AC10" s="7"/>
      <c r="AD10" s="7"/>
      <c r="AE10" s="7"/>
    </row>
    <row r="11" spans="1:31" ht="15.75" customHeight="1" x14ac:dyDescent="0.25">
      <c r="A11" s="2" t="s">
        <v>402</v>
      </c>
      <c r="B11" s="3" t="s">
        <v>403</v>
      </c>
      <c r="C11" s="2" t="s">
        <v>15</v>
      </c>
      <c r="D11" s="31">
        <v>5</v>
      </c>
      <c r="E11" s="3" t="s">
        <v>16</v>
      </c>
      <c r="F11" s="28">
        <v>0</v>
      </c>
      <c r="G11" s="28">
        <v>0</v>
      </c>
      <c r="H11" s="28">
        <v>0</v>
      </c>
      <c r="I11" s="29">
        <f t="shared" si="3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28">
        <v>0</v>
      </c>
      <c r="O11" s="28">
        <v>0</v>
      </c>
      <c r="P11" s="28">
        <v>0</v>
      </c>
      <c r="Q11" s="29">
        <f t="shared" si="4"/>
        <v>0</v>
      </c>
      <c r="R11" s="28">
        <v>0</v>
      </c>
      <c r="S11" s="28">
        <v>0</v>
      </c>
      <c r="T11" s="28">
        <v>0</v>
      </c>
      <c r="U11" s="29">
        <f t="shared" si="1"/>
        <v>0</v>
      </c>
      <c r="V11" s="28">
        <v>0</v>
      </c>
      <c r="W11" s="28">
        <v>0</v>
      </c>
      <c r="X11" s="28">
        <v>0</v>
      </c>
      <c r="Y11" s="29">
        <f t="shared" si="2"/>
        <v>0</v>
      </c>
      <c r="Z11" s="30">
        <f t="shared" si="5"/>
        <v>0</v>
      </c>
      <c r="AA11" s="8"/>
      <c r="AB11" s="8"/>
      <c r="AC11" s="6"/>
      <c r="AD11" s="6"/>
      <c r="AE11" s="7"/>
    </row>
    <row r="12" spans="1:31" ht="15.75" customHeight="1" x14ac:dyDescent="0.25">
      <c r="A12" s="2" t="s">
        <v>420</v>
      </c>
      <c r="B12" s="12" t="s">
        <v>421</v>
      </c>
      <c r="C12" s="2" t="s">
        <v>15</v>
      </c>
      <c r="D12" s="31">
        <v>5</v>
      </c>
      <c r="E12" s="3" t="s">
        <v>16</v>
      </c>
      <c r="F12" s="28">
        <v>0</v>
      </c>
      <c r="G12" s="28">
        <v>0</v>
      </c>
      <c r="H12" s="28">
        <v>0</v>
      </c>
      <c r="I12" s="29">
        <f t="shared" si="3"/>
        <v>0</v>
      </c>
      <c r="J12" s="28">
        <v>0</v>
      </c>
      <c r="K12" s="28">
        <v>0</v>
      </c>
      <c r="L12" s="28">
        <v>0</v>
      </c>
      <c r="M12" s="29">
        <f t="shared" si="0"/>
        <v>0</v>
      </c>
      <c r="N12" s="28">
        <v>0</v>
      </c>
      <c r="O12" s="28">
        <v>0</v>
      </c>
      <c r="P12" s="28">
        <v>0</v>
      </c>
      <c r="Q12" s="29">
        <f t="shared" si="4"/>
        <v>0</v>
      </c>
      <c r="R12" s="28">
        <v>0</v>
      </c>
      <c r="S12" s="28">
        <v>0</v>
      </c>
      <c r="T12" s="28">
        <v>0</v>
      </c>
      <c r="U12" s="29">
        <f t="shared" si="1"/>
        <v>0</v>
      </c>
      <c r="V12" s="28">
        <v>0</v>
      </c>
      <c r="W12" s="28">
        <v>0</v>
      </c>
      <c r="X12" s="28">
        <v>0</v>
      </c>
      <c r="Y12" s="29">
        <f t="shared" si="2"/>
        <v>0</v>
      </c>
      <c r="Z12" s="30">
        <f t="shared" si="5"/>
        <v>0</v>
      </c>
      <c r="AA12" s="8"/>
      <c r="AB12" s="6"/>
      <c r="AC12" s="6"/>
      <c r="AD12" s="10"/>
      <c r="AE12" s="7"/>
    </row>
    <row r="13" spans="1:31" ht="15.75" customHeight="1" x14ac:dyDescent="0.25">
      <c r="A13" s="2" t="s">
        <v>456</v>
      </c>
      <c r="B13" s="3" t="s">
        <v>457</v>
      </c>
      <c r="C13" s="2" t="s">
        <v>15</v>
      </c>
      <c r="D13" s="31">
        <v>5</v>
      </c>
      <c r="E13" s="3" t="s">
        <v>16</v>
      </c>
      <c r="F13" s="28">
        <v>0</v>
      </c>
      <c r="G13" s="28">
        <v>0</v>
      </c>
      <c r="H13" s="28">
        <v>0</v>
      </c>
      <c r="I13" s="29">
        <f t="shared" si="3"/>
        <v>0</v>
      </c>
      <c r="J13" s="28">
        <v>0</v>
      </c>
      <c r="K13" s="28">
        <v>0</v>
      </c>
      <c r="L13" s="28">
        <v>0</v>
      </c>
      <c r="M13" s="29">
        <f t="shared" si="0"/>
        <v>0</v>
      </c>
      <c r="N13" s="28">
        <v>0</v>
      </c>
      <c r="O13" s="28">
        <v>0</v>
      </c>
      <c r="P13" s="28">
        <v>0</v>
      </c>
      <c r="Q13" s="29">
        <f t="shared" si="4"/>
        <v>0</v>
      </c>
      <c r="R13" s="28">
        <v>0</v>
      </c>
      <c r="S13" s="28">
        <v>0</v>
      </c>
      <c r="T13" s="28">
        <v>0</v>
      </c>
      <c r="U13" s="29">
        <f t="shared" si="1"/>
        <v>0</v>
      </c>
      <c r="V13" s="28">
        <v>0</v>
      </c>
      <c r="W13" s="28">
        <v>0</v>
      </c>
      <c r="X13" s="28">
        <v>0</v>
      </c>
      <c r="Y13" s="29">
        <f t="shared" si="2"/>
        <v>0</v>
      </c>
      <c r="Z13" s="30">
        <f t="shared" si="5"/>
        <v>0</v>
      </c>
      <c r="AA13" s="8"/>
      <c r="AB13" s="7"/>
      <c r="AC13" s="7"/>
      <c r="AD13" s="8"/>
      <c r="AE13" s="7"/>
    </row>
    <row r="14" spans="1:31" ht="15.75" customHeight="1" x14ac:dyDescent="0.25">
      <c r="A14" s="2" t="s">
        <v>468</v>
      </c>
      <c r="B14" s="3" t="s">
        <v>469</v>
      </c>
      <c r="C14" s="2" t="s">
        <v>15</v>
      </c>
      <c r="D14" s="31">
        <v>5</v>
      </c>
      <c r="E14" s="3" t="s">
        <v>16</v>
      </c>
      <c r="F14" s="28">
        <v>0</v>
      </c>
      <c r="G14" s="28">
        <v>0</v>
      </c>
      <c r="H14" s="28">
        <v>0</v>
      </c>
      <c r="I14" s="29">
        <f t="shared" si="3"/>
        <v>0</v>
      </c>
      <c r="J14" s="28">
        <v>0</v>
      </c>
      <c r="K14" s="28">
        <v>0</v>
      </c>
      <c r="L14" s="28">
        <v>0</v>
      </c>
      <c r="M14" s="29">
        <f t="shared" si="0"/>
        <v>0</v>
      </c>
      <c r="N14" s="28">
        <v>0</v>
      </c>
      <c r="O14" s="28">
        <v>0</v>
      </c>
      <c r="P14" s="28">
        <v>0</v>
      </c>
      <c r="Q14" s="29">
        <f t="shared" si="4"/>
        <v>0</v>
      </c>
      <c r="R14" s="28">
        <v>0</v>
      </c>
      <c r="S14" s="28">
        <v>0</v>
      </c>
      <c r="T14" s="28">
        <v>0</v>
      </c>
      <c r="U14" s="29">
        <f t="shared" si="1"/>
        <v>0</v>
      </c>
      <c r="V14" s="28">
        <v>0</v>
      </c>
      <c r="W14" s="28">
        <v>0</v>
      </c>
      <c r="X14" s="28">
        <v>0</v>
      </c>
      <c r="Y14" s="29">
        <f t="shared" si="2"/>
        <v>0</v>
      </c>
      <c r="Z14" s="30">
        <f t="shared" si="5"/>
        <v>0</v>
      </c>
      <c r="AA14" s="8"/>
      <c r="AB14" s="8"/>
      <c r="AC14" s="7"/>
      <c r="AD14" s="7"/>
      <c r="AE14" s="7"/>
    </row>
    <row r="15" spans="1:31" ht="15.75" customHeight="1" x14ac:dyDescent="0.25">
      <c r="A15" s="15"/>
      <c r="B15" s="19" t="s">
        <v>846</v>
      </c>
      <c r="C15" s="2" t="s">
        <v>15</v>
      </c>
      <c r="D15" s="31">
        <v>5</v>
      </c>
      <c r="E15" s="3" t="s">
        <v>16</v>
      </c>
      <c r="F15" s="28">
        <v>0</v>
      </c>
      <c r="G15" s="28">
        <v>0</v>
      </c>
      <c r="H15" s="28">
        <v>0</v>
      </c>
      <c r="I15" s="29">
        <f t="shared" si="3"/>
        <v>0</v>
      </c>
      <c r="J15" s="28">
        <v>0</v>
      </c>
      <c r="K15" s="28">
        <v>0</v>
      </c>
      <c r="L15" s="28">
        <v>0</v>
      </c>
      <c r="M15" s="29">
        <f t="shared" si="0"/>
        <v>0</v>
      </c>
      <c r="N15" s="28">
        <v>0</v>
      </c>
      <c r="O15" s="28">
        <v>0</v>
      </c>
      <c r="P15" s="28">
        <v>0</v>
      </c>
      <c r="Q15" s="29">
        <f t="shared" si="4"/>
        <v>0</v>
      </c>
      <c r="R15" s="28">
        <v>0</v>
      </c>
      <c r="S15" s="28">
        <v>0</v>
      </c>
      <c r="T15" s="28">
        <v>0</v>
      </c>
      <c r="U15" s="29">
        <f t="shared" si="1"/>
        <v>0</v>
      </c>
      <c r="V15" s="28">
        <v>0</v>
      </c>
      <c r="W15" s="28">
        <v>0</v>
      </c>
      <c r="X15" s="28">
        <v>0</v>
      </c>
      <c r="Y15" s="29">
        <f t="shared" si="2"/>
        <v>0</v>
      </c>
      <c r="Z15" s="30">
        <f t="shared" si="5"/>
        <v>0</v>
      </c>
      <c r="AA15" s="10"/>
      <c r="AB15" s="8"/>
      <c r="AC15" s="8"/>
      <c r="AD15" s="6"/>
      <c r="AE15" s="7"/>
    </row>
    <row r="16" spans="1:31" ht="15.75" customHeight="1" x14ac:dyDescent="0.25">
      <c r="A16" s="2" t="s">
        <v>436</v>
      </c>
      <c r="B16" s="3" t="s">
        <v>437</v>
      </c>
      <c r="C16" s="2" t="s">
        <v>15</v>
      </c>
      <c r="D16" s="31">
        <v>5</v>
      </c>
      <c r="E16" s="3" t="s">
        <v>16</v>
      </c>
      <c r="F16" s="28">
        <v>0</v>
      </c>
      <c r="G16" s="28">
        <v>0</v>
      </c>
      <c r="H16" s="28">
        <v>0</v>
      </c>
      <c r="I16" s="29">
        <f t="shared" si="3"/>
        <v>0</v>
      </c>
      <c r="J16" s="28">
        <v>0</v>
      </c>
      <c r="K16" s="28">
        <v>0</v>
      </c>
      <c r="L16" s="28">
        <v>0</v>
      </c>
      <c r="M16" s="29">
        <f t="shared" si="0"/>
        <v>0</v>
      </c>
      <c r="N16" s="28">
        <v>0</v>
      </c>
      <c r="O16" s="28">
        <v>0</v>
      </c>
      <c r="P16" s="28">
        <v>0</v>
      </c>
      <c r="Q16" s="29">
        <f t="shared" si="4"/>
        <v>0</v>
      </c>
      <c r="R16" s="28">
        <v>0</v>
      </c>
      <c r="S16" s="28">
        <v>0</v>
      </c>
      <c r="T16" s="28">
        <v>0</v>
      </c>
      <c r="U16" s="29">
        <f t="shared" si="1"/>
        <v>0</v>
      </c>
      <c r="V16" s="28">
        <v>0</v>
      </c>
      <c r="W16" s="28">
        <v>0</v>
      </c>
      <c r="X16" s="28">
        <v>0</v>
      </c>
      <c r="Y16" s="29">
        <f t="shared" si="2"/>
        <v>0</v>
      </c>
      <c r="Z16" s="30">
        <f t="shared" si="5"/>
        <v>0</v>
      </c>
      <c r="AA16" s="6"/>
      <c r="AB16" s="6"/>
      <c r="AC16" s="7"/>
      <c r="AD16" s="7"/>
      <c r="AE16" s="7"/>
    </row>
    <row r="17" spans="1:31" ht="15.75" customHeight="1" x14ac:dyDescent="0.25">
      <c r="A17" s="2" t="s">
        <v>452</v>
      </c>
      <c r="B17" s="3" t="s">
        <v>453</v>
      </c>
      <c r="C17" s="2" t="s">
        <v>15</v>
      </c>
      <c r="D17" s="31">
        <v>5</v>
      </c>
      <c r="E17" s="3" t="s">
        <v>16</v>
      </c>
      <c r="F17" s="28">
        <v>0</v>
      </c>
      <c r="G17" s="28">
        <v>0</v>
      </c>
      <c r="H17" s="28">
        <v>0</v>
      </c>
      <c r="I17" s="29">
        <f t="shared" si="3"/>
        <v>0</v>
      </c>
      <c r="J17" s="28">
        <v>0</v>
      </c>
      <c r="K17" s="28">
        <v>0</v>
      </c>
      <c r="L17" s="28">
        <v>0</v>
      </c>
      <c r="M17" s="29">
        <f t="shared" si="0"/>
        <v>0</v>
      </c>
      <c r="N17" s="28">
        <v>0</v>
      </c>
      <c r="O17" s="28">
        <v>0</v>
      </c>
      <c r="P17" s="28">
        <v>0</v>
      </c>
      <c r="Q17" s="29">
        <f t="shared" si="4"/>
        <v>0</v>
      </c>
      <c r="R17" s="28">
        <v>0</v>
      </c>
      <c r="S17" s="28">
        <v>0</v>
      </c>
      <c r="T17" s="28">
        <v>0</v>
      </c>
      <c r="U17" s="29">
        <f t="shared" si="1"/>
        <v>0</v>
      </c>
      <c r="V17" s="28">
        <v>0</v>
      </c>
      <c r="W17" s="28">
        <v>0</v>
      </c>
      <c r="X17" s="28">
        <v>0</v>
      </c>
      <c r="Y17" s="29">
        <f t="shared" si="2"/>
        <v>0</v>
      </c>
      <c r="Z17" s="30">
        <f t="shared" si="5"/>
        <v>0</v>
      </c>
      <c r="AA17" s="6"/>
      <c r="AB17" s="6"/>
      <c r="AC17" s="6"/>
      <c r="AD17" s="6"/>
      <c r="AE17" s="7"/>
    </row>
    <row r="18" spans="1:31" ht="15.75" customHeight="1" x14ac:dyDescent="0.25">
      <c r="A18" s="2" t="s">
        <v>404</v>
      </c>
      <c r="B18" s="3" t="s">
        <v>405</v>
      </c>
      <c r="C18" s="2" t="s">
        <v>15</v>
      </c>
      <c r="D18" s="31">
        <v>5</v>
      </c>
      <c r="E18" s="3" t="s">
        <v>16</v>
      </c>
      <c r="F18" s="28">
        <v>0</v>
      </c>
      <c r="G18" s="28">
        <v>0</v>
      </c>
      <c r="H18" s="28">
        <v>0</v>
      </c>
      <c r="I18" s="29">
        <f t="shared" si="3"/>
        <v>0</v>
      </c>
      <c r="J18" s="28">
        <v>0</v>
      </c>
      <c r="K18" s="28">
        <v>0</v>
      </c>
      <c r="L18" s="28">
        <v>0</v>
      </c>
      <c r="M18" s="29">
        <f t="shared" si="0"/>
        <v>0</v>
      </c>
      <c r="N18" s="28">
        <v>0</v>
      </c>
      <c r="O18" s="28">
        <v>0</v>
      </c>
      <c r="P18" s="28">
        <v>0</v>
      </c>
      <c r="Q18" s="29">
        <f t="shared" si="4"/>
        <v>0</v>
      </c>
      <c r="R18" s="28">
        <v>0</v>
      </c>
      <c r="S18" s="28">
        <v>0</v>
      </c>
      <c r="T18" s="28">
        <v>0</v>
      </c>
      <c r="U18" s="29">
        <f t="shared" si="1"/>
        <v>0</v>
      </c>
      <c r="V18" s="28">
        <v>0</v>
      </c>
      <c r="W18" s="28">
        <v>0</v>
      </c>
      <c r="X18" s="28">
        <v>0</v>
      </c>
      <c r="Y18" s="29">
        <f t="shared" si="2"/>
        <v>0</v>
      </c>
      <c r="Z18" s="30">
        <f t="shared" si="5"/>
        <v>0</v>
      </c>
    </row>
    <row r="19" spans="1:31" ht="15.75" customHeight="1" x14ac:dyDescent="0.25">
      <c r="A19" s="2" t="s">
        <v>446</v>
      </c>
      <c r="B19" s="3" t="s">
        <v>447</v>
      </c>
      <c r="C19" s="2" t="s">
        <v>15</v>
      </c>
      <c r="D19" s="31">
        <v>5</v>
      </c>
      <c r="E19" s="3" t="s">
        <v>16</v>
      </c>
      <c r="F19" s="28">
        <v>0</v>
      </c>
      <c r="G19" s="28">
        <v>0</v>
      </c>
      <c r="H19" s="28">
        <v>0</v>
      </c>
      <c r="I19" s="29">
        <f t="shared" si="3"/>
        <v>0</v>
      </c>
      <c r="J19" s="28">
        <v>0</v>
      </c>
      <c r="K19" s="28">
        <v>0</v>
      </c>
      <c r="L19" s="28">
        <v>0</v>
      </c>
      <c r="M19" s="29">
        <f t="shared" si="0"/>
        <v>0</v>
      </c>
      <c r="N19" s="28">
        <v>0</v>
      </c>
      <c r="O19" s="28">
        <v>0</v>
      </c>
      <c r="P19" s="28">
        <v>0</v>
      </c>
      <c r="Q19" s="29">
        <f t="shared" si="4"/>
        <v>0</v>
      </c>
      <c r="R19" s="28">
        <v>0</v>
      </c>
      <c r="S19" s="28">
        <v>0</v>
      </c>
      <c r="T19" s="28">
        <v>0</v>
      </c>
      <c r="U19" s="29">
        <f t="shared" si="1"/>
        <v>0</v>
      </c>
      <c r="V19" s="28">
        <v>0</v>
      </c>
      <c r="W19" s="28">
        <v>0</v>
      </c>
      <c r="X19" s="28">
        <v>0</v>
      </c>
      <c r="Y19" s="29">
        <f t="shared" si="2"/>
        <v>0</v>
      </c>
      <c r="Z19" s="30">
        <f t="shared" si="5"/>
        <v>0</v>
      </c>
    </row>
    <row r="20" spans="1:31" ht="15.75" customHeight="1" x14ac:dyDescent="0.25">
      <c r="A20" s="2" t="s">
        <v>442</v>
      </c>
      <c r="B20" s="3" t="s">
        <v>443</v>
      </c>
      <c r="C20" s="2" t="s">
        <v>15</v>
      </c>
      <c r="D20" s="31">
        <v>5</v>
      </c>
      <c r="E20" s="3" t="s">
        <v>33</v>
      </c>
      <c r="F20" s="28">
        <v>0</v>
      </c>
      <c r="G20" s="28">
        <v>0</v>
      </c>
      <c r="H20" s="28">
        <v>0</v>
      </c>
      <c r="I20" s="29">
        <f t="shared" si="3"/>
        <v>0</v>
      </c>
      <c r="J20" s="28">
        <v>0</v>
      </c>
      <c r="K20" s="28">
        <v>0</v>
      </c>
      <c r="L20" s="28">
        <v>0</v>
      </c>
      <c r="M20" s="29">
        <f t="shared" si="0"/>
        <v>0</v>
      </c>
      <c r="N20" s="28">
        <v>0</v>
      </c>
      <c r="O20" s="28">
        <v>0</v>
      </c>
      <c r="P20" s="28">
        <v>0</v>
      </c>
      <c r="Q20" s="29">
        <f t="shared" si="4"/>
        <v>0</v>
      </c>
      <c r="R20" s="28">
        <v>0</v>
      </c>
      <c r="S20" s="28">
        <v>0</v>
      </c>
      <c r="T20" s="28">
        <v>0</v>
      </c>
      <c r="U20" s="29">
        <f t="shared" si="1"/>
        <v>0</v>
      </c>
      <c r="V20" s="28">
        <v>0</v>
      </c>
      <c r="W20" s="28">
        <v>0</v>
      </c>
      <c r="X20" s="28">
        <v>0</v>
      </c>
      <c r="Y20" s="29">
        <f t="shared" si="2"/>
        <v>0</v>
      </c>
      <c r="Z20" s="30">
        <f t="shared" si="5"/>
        <v>0</v>
      </c>
    </row>
    <row r="21" spans="1:31" ht="15.75" customHeight="1" x14ac:dyDescent="0.25">
      <c r="A21" s="2" t="s">
        <v>464</v>
      </c>
      <c r="B21" s="3" t="s">
        <v>465</v>
      </c>
      <c r="C21" s="2" t="s">
        <v>15</v>
      </c>
      <c r="D21" s="31">
        <v>5</v>
      </c>
      <c r="E21" s="3" t="s">
        <v>33</v>
      </c>
      <c r="F21" s="28">
        <v>0</v>
      </c>
      <c r="G21" s="28">
        <v>0</v>
      </c>
      <c r="H21" s="28">
        <v>0</v>
      </c>
      <c r="I21" s="29">
        <f t="shared" si="3"/>
        <v>0</v>
      </c>
      <c r="J21" s="28">
        <v>0</v>
      </c>
      <c r="K21" s="28">
        <v>0</v>
      </c>
      <c r="L21" s="28">
        <v>0</v>
      </c>
      <c r="M21" s="29">
        <f t="shared" si="0"/>
        <v>0</v>
      </c>
      <c r="N21" s="28">
        <v>0</v>
      </c>
      <c r="O21" s="28">
        <v>0</v>
      </c>
      <c r="P21" s="28">
        <v>0</v>
      </c>
      <c r="Q21" s="29">
        <f t="shared" si="4"/>
        <v>0</v>
      </c>
      <c r="R21" s="28">
        <v>0</v>
      </c>
      <c r="S21" s="28">
        <v>0</v>
      </c>
      <c r="T21" s="28">
        <v>0</v>
      </c>
      <c r="U21" s="29">
        <f t="shared" si="1"/>
        <v>0</v>
      </c>
      <c r="V21" s="28">
        <v>0</v>
      </c>
      <c r="W21" s="28">
        <v>0</v>
      </c>
      <c r="X21" s="28">
        <v>0</v>
      </c>
      <c r="Y21" s="29">
        <f t="shared" si="2"/>
        <v>0</v>
      </c>
      <c r="Z21" s="30">
        <f t="shared" si="5"/>
        <v>0</v>
      </c>
    </row>
    <row r="22" spans="1:31" ht="15.75" customHeight="1" x14ac:dyDescent="0.25">
      <c r="A22" s="2" t="s">
        <v>412</v>
      </c>
      <c r="B22" s="3" t="s">
        <v>413</v>
      </c>
      <c r="C22" s="2" t="s">
        <v>15</v>
      </c>
      <c r="D22" s="31">
        <v>5</v>
      </c>
      <c r="E22" s="3" t="s">
        <v>33</v>
      </c>
      <c r="F22" s="28">
        <v>0</v>
      </c>
      <c r="G22" s="28">
        <v>0</v>
      </c>
      <c r="H22" s="28">
        <v>0</v>
      </c>
      <c r="I22" s="29">
        <f t="shared" si="3"/>
        <v>0</v>
      </c>
      <c r="J22" s="28">
        <v>0</v>
      </c>
      <c r="K22" s="28">
        <v>0</v>
      </c>
      <c r="L22" s="28">
        <v>0</v>
      </c>
      <c r="M22" s="29">
        <f t="shared" si="0"/>
        <v>0</v>
      </c>
      <c r="N22" s="28">
        <v>0</v>
      </c>
      <c r="O22" s="28">
        <v>0</v>
      </c>
      <c r="P22" s="28">
        <v>0</v>
      </c>
      <c r="Q22" s="29">
        <f t="shared" si="4"/>
        <v>0</v>
      </c>
      <c r="R22" s="28">
        <v>0</v>
      </c>
      <c r="S22" s="28">
        <v>0</v>
      </c>
      <c r="T22" s="28">
        <v>0</v>
      </c>
      <c r="U22" s="29">
        <f t="shared" si="1"/>
        <v>0</v>
      </c>
      <c r="V22" s="28">
        <v>0</v>
      </c>
      <c r="W22" s="28">
        <v>0</v>
      </c>
      <c r="X22" s="28">
        <v>0</v>
      </c>
      <c r="Y22" s="29">
        <f t="shared" si="2"/>
        <v>0</v>
      </c>
      <c r="Z22" s="30">
        <f t="shared" si="5"/>
        <v>0</v>
      </c>
    </row>
    <row r="23" spans="1:31" ht="15.75" customHeight="1" x14ac:dyDescent="0.25">
      <c r="A23" s="2" t="s">
        <v>434</v>
      </c>
      <c r="B23" s="3" t="s">
        <v>435</v>
      </c>
      <c r="C23" s="2" t="s">
        <v>15</v>
      </c>
      <c r="D23" s="31">
        <v>5</v>
      </c>
      <c r="E23" s="3" t="s">
        <v>33</v>
      </c>
      <c r="F23" s="28">
        <v>0</v>
      </c>
      <c r="G23" s="28">
        <v>0</v>
      </c>
      <c r="H23" s="28">
        <v>0</v>
      </c>
      <c r="I23" s="29">
        <f t="shared" si="3"/>
        <v>0</v>
      </c>
      <c r="J23" s="28">
        <v>0</v>
      </c>
      <c r="K23" s="28">
        <v>0</v>
      </c>
      <c r="L23" s="28">
        <v>0</v>
      </c>
      <c r="M23" s="29">
        <f t="shared" si="0"/>
        <v>0</v>
      </c>
      <c r="N23" s="28">
        <v>0</v>
      </c>
      <c r="O23" s="28">
        <v>0</v>
      </c>
      <c r="P23" s="28">
        <v>0</v>
      </c>
      <c r="Q23" s="29">
        <f t="shared" si="4"/>
        <v>0</v>
      </c>
      <c r="R23" s="28">
        <v>0</v>
      </c>
      <c r="S23" s="28">
        <v>0</v>
      </c>
      <c r="T23" s="28">
        <v>0</v>
      </c>
      <c r="U23" s="29">
        <f t="shared" si="1"/>
        <v>0</v>
      </c>
      <c r="V23" s="28">
        <v>0</v>
      </c>
      <c r="W23" s="28">
        <v>0</v>
      </c>
      <c r="X23" s="28">
        <v>0</v>
      </c>
      <c r="Y23" s="29">
        <f t="shared" si="2"/>
        <v>0</v>
      </c>
      <c r="Z23" s="30">
        <f t="shared" si="5"/>
        <v>0</v>
      </c>
    </row>
    <row r="24" spans="1:31" ht="15.75" customHeight="1" x14ac:dyDescent="0.25">
      <c r="A24" s="2" t="s">
        <v>454</v>
      </c>
      <c r="B24" s="3" t="s">
        <v>455</v>
      </c>
      <c r="C24" s="2" t="s">
        <v>15</v>
      </c>
      <c r="D24" s="31">
        <v>5</v>
      </c>
      <c r="E24" s="3" t="s">
        <v>33</v>
      </c>
      <c r="F24" s="28">
        <v>0</v>
      </c>
      <c r="G24" s="28">
        <v>0</v>
      </c>
      <c r="H24" s="28">
        <v>0</v>
      </c>
      <c r="I24" s="29">
        <f t="shared" si="3"/>
        <v>0</v>
      </c>
      <c r="J24" s="28">
        <v>0</v>
      </c>
      <c r="K24" s="28">
        <v>0</v>
      </c>
      <c r="L24" s="28">
        <v>0</v>
      </c>
      <c r="M24" s="29">
        <f t="shared" si="0"/>
        <v>0</v>
      </c>
      <c r="N24" s="28">
        <v>0</v>
      </c>
      <c r="O24" s="28">
        <v>0</v>
      </c>
      <c r="P24" s="28">
        <v>0</v>
      </c>
      <c r="Q24" s="29">
        <f t="shared" si="4"/>
        <v>0</v>
      </c>
      <c r="R24" s="28">
        <v>0</v>
      </c>
      <c r="S24" s="28">
        <v>0</v>
      </c>
      <c r="T24" s="28">
        <v>0</v>
      </c>
      <c r="U24" s="29">
        <f t="shared" si="1"/>
        <v>0</v>
      </c>
      <c r="V24" s="28">
        <v>0</v>
      </c>
      <c r="W24" s="28">
        <v>0</v>
      </c>
      <c r="X24" s="28">
        <v>0</v>
      </c>
      <c r="Y24" s="29">
        <f t="shared" si="2"/>
        <v>0</v>
      </c>
      <c r="Z24" s="30">
        <f t="shared" si="5"/>
        <v>0</v>
      </c>
    </row>
    <row r="25" spans="1:31" ht="15.75" customHeight="1" x14ac:dyDescent="0.25">
      <c r="A25" s="2" t="s">
        <v>422</v>
      </c>
      <c r="B25" s="3" t="s">
        <v>423</v>
      </c>
      <c r="C25" s="2" t="s">
        <v>15</v>
      </c>
      <c r="D25" s="31">
        <v>5</v>
      </c>
      <c r="E25" s="3" t="s">
        <v>33</v>
      </c>
      <c r="F25" s="28">
        <v>0</v>
      </c>
      <c r="G25" s="28">
        <v>0</v>
      </c>
      <c r="H25" s="28">
        <v>0</v>
      </c>
      <c r="I25" s="29">
        <f t="shared" si="3"/>
        <v>0</v>
      </c>
      <c r="J25" s="28">
        <v>0</v>
      </c>
      <c r="K25" s="28">
        <v>0</v>
      </c>
      <c r="L25" s="28">
        <v>0</v>
      </c>
      <c r="M25" s="29">
        <f t="shared" si="0"/>
        <v>0</v>
      </c>
      <c r="N25" s="28">
        <v>0</v>
      </c>
      <c r="O25" s="28">
        <v>0</v>
      </c>
      <c r="P25" s="28">
        <v>0</v>
      </c>
      <c r="Q25" s="29">
        <f t="shared" si="4"/>
        <v>0</v>
      </c>
      <c r="R25" s="28">
        <v>0</v>
      </c>
      <c r="S25" s="28">
        <v>0</v>
      </c>
      <c r="T25" s="28">
        <v>0</v>
      </c>
      <c r="U25" s="29">
        <f t="shared" si="1"/>
        <v>0</v>
      </c>
      <c r="V25" s="28">
        <v>0</v>
      </c>
      <c r="W25" s="28">
        <v>0</v>
      </c>
      <c r="X25" s="28">
        <v>0</v>
      </c>
      <c r="Y25" s="29">
        <f t="shared" si="2"/>
        <v>0</v>
      </c>
      <c r="Z25" s="30">
        <f t="shared" si="5"/>
        <v>0</v>
      </c>
    </row>
    <row r="26" spans="1:31" ht="15.75" customHeight="1" x14ac:dyDescent="0.25">
      <c r="A26" s="2" t="s">
        <v>406</v>
      </c>
      <c r="B26" s="3" t="s">
        <v>407</v>
      </c>
      <c r="C26" s="2" t="s">
        <v>15</v>
      </c>
      <c r="D26" s="31">
        <v>5</v>
      </c>
      <c r="E26" s="3" t="s">
        <v>33</v>
      </c>
      <c r="F26" s="28">
        <v>0</v>
      </c>
      <c r="G26" s="28">
        <v>0</v>
      </c>
      <c r="H26" s="28">
        <v>0</v>
      </c>
      <c r="I26" s="29">
        <f t="shared" si="3"/>
        <v>0</v>
      </c>
      <c r="J26" s="28">
        <v>0</v>
      </c>
      <c r="K26" s="28">
        <v>0</v>
      </c>
      <c r="L26" s="28">
        <v>0</v>
      </c>
      <c r="M26" s="29">
        <f t="shared" si="0"/>
        <v>0</v>
      </c>
      <c r="N26" s="28">
        <v>0</v>
      </c>
      <c r="O26" s="28">
        <v>0</v>
      </c>
      <c r="P26" s="28">
        <v>0</v>
      </c>
      <c r="Q26" s="29">
        <f t="shared" si="4"/>
        <v>0</v>
      </c>
      <c r="R26" s="28">
        <v>0</v>
      </c>
      <c r="S26" s="28">
        <v>0</v>
      </c>
      <c r="T26" s="28">
        <v>0</v>
      </c>
      <c r="U26" s="29">
        <f t="shared" si="1"/>
        <v>0</v>
      </c>
      <c r="V26" s="28">
        <v>0</v>
      </c>
      <c r="W26" s="28">
        <v>0</v>
      </c>
      <c r="X26" s="28">
        <v>0</v>
      </c>
      <c r="Y26" s="29">
        <f t="shared" si="2"/>
        <v>0</v>
      </c>
      <c r="Z26" s="30">
        <f t="shared" si="5"/>
        <v>0</v>
      </c>
    </row>
    <row r="27" spans="1:31" ht="15.75" customHeight="1" x14ac:dyDescent="0.25">
      <c r="A27" s="2" t="s">
        <v>432</v>
      </c>
      <c r="B27" s="3" t="s">
        <v>433</v>
      </c>
      <c r="C27" s="2" t="s">
        <v>15</v>
      </c>
      <c r="D27" s="31">
        <v>5</v>
      </c>
      <c r="E27" s="3" t="s">
        <v>33</v>
      </c>
      <c r="F27" s="28">
        <v>0</v>
      </c>
      <c r="G27" s="28">
        <v>0</v>
      </c>
      <c r="H27" s="28">
        <v>0</v>
      </c>
      <c r="I27" s="29">
        <f t="shared" si="3"/>
        <v>0</v>
      </c>
      <c r="J27" s="28">
        <v>0</v>
      </c>
      <c r="K27" s="28">
        <v>0</v>
      </c>
      <c r="L27" s="28">
        <v>0</v>
      </c>
      <c r="M27" s="29">
        <f t="shared" si="0"/>
        <v>0</v>
      </c>
      <c r="N27" s="28">
        <v>0</v>
      </c>
      <c r="O27" s="28">
        <v>0</v>
      </c>
      <c r="P27" s="28">
        <v>0</v>
      </c>
      <c r="Q27" s="29">
        <f t="shared" si="4"/>
        <v>0</v>
      </c>
      <c r="R27" s="28">
        <v>0</v>
      </c>
      <c r="S27" s="28">
        <v>0</v>
      </c>
      <c r="T27" s="28">
        <v>0</v>
      </c>
      <c r="U27" s="29">
        <f t="shared" si="1"/>
        <v>0</v>
      </c>
      <c r="V27" s="28">
        <v>0</v>
      </c>
      <c r="W27" s="28">
        <v>0</v>
      </c>
      <c r="X27" s="28">
        <v>0</v>
      </c>
      <c r="Y27" s="29">
        <f t="shared" si="2"/>
        <v>0</v>
      </c>
      <c r="Z27" s="30">
        <f t="shared" si="5"/>
        <v>0</v>
      </c>
    </row>
    <row r="28" spans="1:31" ht="15.75" customHeight="1" x14ac:dyDescent="0.25">
      <c r="A28" s="2" t="s">
        <v>450</v>
      </c>
      <c r="B28" s="3" t="s">
        <v>451</v>
      </c>
      <c r="C28" s="2" t="s">
        <v>15</v>
      </c>
      <c r="D28" s="31">
        <v>5</v>
      </c>
      <c r="E28" s="3" t="s">
        <v>33</v>
      </c>
      <c r="F28" s="28">
        <v>0</v>
      </c>
      <c r="G28" s="28">
        <v>0</v>
      </c>
      <c r="H28" s="28">
        <v>0</v>
      </c>
      <c r="I28" s="29">
        <f t="shared" si="3"/>
        <v>0</v>
      </c>
      <c r="J28" s="28">
        <v>0</v>
      </c>
      <c r="K28" s="28">
        <v>0</v>
      </c>
      <c r="L28" s="28">
        <v>0</v>
      </c>
      <c r="M28" s="29">
        <f t="shared" si="0"/>
        <v>0</v>
      </c>
      <c r="N28" s="28">
        <v>0</v>
      </c>
      <c r="O28" s="28">
        <v>0</v>
      </c>
      <c r="P28" s="28">
        <v>0</v>
      </c>
      <c r="Q28" s="29">
        <f t="shared" si="4"/>
        <v>0</v>
      </c>
      <c r="R28" s="28">
        <v>0</v>
      </c>
      <c r="S28" s="28">
        <v>0</v>
      </c>
      <c r="T28" s="28">
        <v>0</v>
      </c>
      <c r="U28" s="29">
        <f t="shared" si="1"/>
        <v>0</v>
      </c>
      <c r="V28" s="28">
        <v>0</v>
      </c>
      <c r="W28" s="28">
        <v>0</v>
      </c>
      <c r="X28" s="28">
        <v>0</v>
      </c>
      <c r="Y28" s="29">
        <f t="shared" si="2"/>
        <v>0</v>
      </c>
      <c r="Z28" s="30">
        <f t="shared" si="5"/>
        <v>0</v>
      </c>
    </row>
    <row r="29" spans="1:31" ht="15.75" customHeight="1" x14ac:dyDescent="0.25">
      <c r="A29" s="2" t="s">
        <v>462</v>
      </c>
      <c r="B29" s="3" t="s">
        <v>463</v>
      </c>
      <c r="C29" s="2" t="s">
        <v>15</v>
      </c>
      <c r="D29" s="31">
        <v>5</v>
      </c>
      <c r="E29" s="3" t="s">
        <v>33</v>
      </c>
      <c r="F29" s="28">
        <v>0</v>
      </c>
      <c r="G29" s="28">
        <v>0</v>
      </c>
      <c r="H29" s="28">
        <v>0</v>
      </c>
      <c r="I29" s="29">
        <f t="shared" si="3"/>
        <v>0</v>
      </c>
      <c r="J29" s="28">
        <v>0</v>
      </c>
      <c r="K29" s="28">
        <v>0</v>
      </c>
      <c r="L29" s="28">
        <v>0</v>
      </c>
      <c r="M29" s="29">
        <f t="shared" si="0"/>
        <v>0</v>
      </c>
      <c r="N29" s="28">
        <v>0</v>
      </c>
      <c r="O29" s="28">
        <v>0</v>
      </c>
      <c r="P29" s="28">
        <v>0</v>
      </c>
      <c r="Q29" s="29">
        <f t="shared" si="4"/>
        <v>0</v>
      </c>
      <c r="R29" s="28">
        <v>0</v>
      </c>
      <c r="S29" s="28">
        <v>0</v>
      </c>
      <c r="T29" s="28">
        <v>0</v>
      </c>
      <c r="U29" s="29">
        <f t="shared" si="1"/>
        <v>0</v>
      </c>
      <c r="V29" s="28">
        <v>0</v>
      </c>
      <c r="W29" s="28">
        <v>0</v>
      </c>
      <c r="X29" s="28">
        <v>0</v>
      </c>
      <c r="Y29" s="29">
        <f t="shared" si="2"/>
        <v>0</v>
      </c>
      <c r="Z29" s="30">
        <f t="shared" si="5"/>
        <v>0</v>
      </c>
    </row>
    <row r="30" spans="1:31" ht="15.75" customHeight="1" x14ac:dyDescent="0.25">
      <c r="A30" s="2" t="s">
        <v>460</v>
      </c>
      <c r="B30" s="3" t="s">
        <v>461</v>
      </c>
      <c r="C30" s="2" t="s">
        <v>15</v>
      </c>
      <c r="D30" s="31">
        <v>5</v>
      </c>
      <c r="E30" s="3" t="s">
        <v>33</v>
      </c>
      <c r="F30" s="28">
        <v>0</v>
      </c>
      <c r="G30" s="28">
        <v>0</v>
      </c>
      <c r="H30" s="28">
        <v>0</v>
      </c>
      <c r="I30" s="29">
        <f t="shared" si="3"/>
        <v>0</v>
      </c>
      <c r="J30" s="28">
        <v>0</v>
      </c>
      <c r="K30" s="28">
        <v>0</v>
      </c>
      <c r="L30" s="28">
        <v>0</v>
      </c>
      <c r="M30" s="29">
        <f t="shared" si="0"/>
        <v>0</v>
      </c>
      <c r="N30" s="28">
        <v>0</v>
      </c>
      <c r="O30" s="28">
        <v>0</v>
      </c>
      <c r="P30" s="28">
        <v>0</v>
      </c>
      <c r="Q30" s="29">
        <f t="shared" si="4"/>
        <v>0</v>
      </c>
      <c r="R30" s="28">
        <v>0</v>
      </c>
      <c r="S30" s="28">
        <v>0</v>
      </c>
      <c r="T30" s="28">
        <v>0</v>
      </c>
      <c r="U30" s="29">
        <f t="shared" si="1"/>
        <v>0</v>
      </c>
      <c r="V30" s="28">
        <v>0</v>
      </c>
      <c r="W30" s="28">
        <v>0</v>
      </c>
      <c r="X30" s="28">
        <v>0</v>
      </c>
      <c r="Y30" s="29">
        <f t="shared" si="2"/>
        <v>0</v>
      </c>
      <c r="Z30" s="30">
        <f t="shared" si="5"/>
        <v>0</v>
      </c>
    </row>
    <row r="31" spans="1:31" ht="15.75" customHeight="1" x14ac:dyDescent="0.25">
      <c r="A31" s="2" t="s">
        <v>428</v>
      </c>
      <c r="B31" s="3" t="s">
        <v>429</v>
      </c>
      <c r="C31" s="2" t="s">
        <v>15</v>
      </c>
      <c r="D31" s="31">
        <v>5</v>
      </c>
      <c r="E31" s="3" t="s">
        <v>33</v>
      </c>
      <c r="F31" s="28">
        <v>0</v>
      </c>
      <c r="G31" s="28">
        <v>0</v>
      </c>
      <c r="H31" s="28">
        <v>0</v>
      </c>
      <c r="I31" s="29">
        <f t="shared" si="3"/>
        <v>0</v>
      </c>
      <c r="J31" s="28">
        <v>0</v>
      </c>
      <c r="K31" s="28">
        <v>0</v>
      </c>
      <c r="L31" s="28">
        <v>0</v>
      </c>
      <c r="M31" s="29">
        <f t="shared" si="0"/>
        <v>0</v>
      </c>
      <c r="N31" s="28">
        <v>0</v>
      </c>
      <c r="O31" s="28">
        <v>0</v>
      </c>
      <c r="P31" s="28">
        <v>0</v>
      </c>
      <c r="Q31" s="29">
        <f t="shared" si="4"/>
        <v>0</v>
      </c>
      <c r="R31" s="28">
        <v>0</v>
      </c>
      <c r="S31" s="28">
        <v>0</v>
      </c>
      <c r="T31" s="28">
        <v>0</v>
      </c>
      <c r="U31" s="29">
        <f t="shared" si="1"/>
        <v>0</v>
      </c>
      <c r="V31" s="28">
        <v>0</v>
      </c>
      <c r="W31" s="28">
        <v>0</v>
      </c>
      <c r="X31" s="28">
        <v>0</v>
      </c>
      <c r="Y31" s="29">
        <f t="shared" si="2"/>
        <v>0</v>
      </c>
      <c r="Z31" s="30">
        <f t="shared" si="5"/>
        <v>0</v>
      </c>
    </row>
    <row r="32" spans="1:31" ht="15.75" customHeight="1" x14ac:dyDescent="0.25">
      <c r="A32" s="2" t="s">
        <v>440</v>
      </c>
      <c r="B32" s="3" t="s">
        <v>441</v>
      </c>
      <c r="C32" s="2" t="s">
        <v>15</v>
      </c>
      <c r="D32" s="31">
        <v>5</v>
      </c>
      <c r="E32" s="3" t="s">
        <v>33</v>
      </c>
      <c r="F32" s="28">
        <v>0</v>
      </c>
      <c r="G32" s="28">
        <v>0</v>
      </c>
      <c r="H32" s="28">
        <v>0</v>
      </c>
      <c r="I32" s="29">
        <f t="shared" ref="I32:I37" si="6">AVERAGE(F32:H32)</f>
        <v>0</v>
      </c>
      <c r="J32" s="28">
        <v>0</v>
      </c>
      <c r="K32" s="28">
        <v>0</v>
      </c>
      <c r="L32" s="28">
        <v>0</v>
      </c>
      <c r="M32" s="29">
        <f t="shared" ref="M32:M37" si="7">AVERAGE(J32:L32)</f>
        <v>0</v>
      </c>
      <c r="N32" s="28">
        <v>0</v>
      </c>
      <c r="O32" s="28">
        <v>0</v>
      </c>
      <c r="P32" s="28">
        <v>0</v>
      </c>
      <c r="Q32" s="29">
        <f t="shared" ref="Q32:Q37" si="8">AVERAGE(N32:P32)</f>
        <v>0</v>
      </c>
      <c r="R32" s="28">
        <v>0</v>
      </c>
      <c r="S32" s="28">
        <v>0</v>
      </c>
      <c r="T32" s="28">
        <v>0</v>
      </c>
      <c r="U32" s="29">
        <f t="shared" ref="U32:U37" si="9">AVERAGE(R32:T32)</f>
        <v>0</v>
      </c>
      <c r="V32" s="28">
        <v>0</v>
      </c>
      <c r="W32" s="28">
        <v>0</v>
      </c>
      <c r="X32" s="28">
        <v>0</v>
      </c>
      <c r="Y32" s="29">
        <f t="shared" ref="Y32:Y37" si="10">AVERAGE(V32:X32)</f>
        <v>0</v>
      </c>
      <c r="Z32" s="30">
        <f t="shared" ref="Z32:Z37" si="11">AVERAGE(I32,M32,Q32,U32,Y32)</f>
        <v>0</v>
      </c>
    </row>
    <row r="33" spans="1:26" ht="15.75" customHeight="1" x14ac:dyDescent="0.25">
      <c r="A33" s="2" t="s">
        <v>448</v>
      </c>
      <c r="B33" s="3" t="s">
        <v>449</v>
      </c>
      <c r="C33" s="2" t="s">
        <v>15</v>
      </c>
      <c r="D33" s="31">
        <v>5</v>
      </c>
      <c r="E33" s="3" t="s">
        <v>33</v>
      </c>
      <c r="F33" s="28">
        <v>0</v>
      </c>
      <c r="G33" s="28">
        <v>0</v>
      </c>
      <c r="H33" s="28">
        <v>0</v>
      </c>
      <c r="I33" s="29">
        <f t="shared" si="6"/>
        <v>0</v>
      </c>
      <c r="J33" s="28">
        <v>0</v>
      </c>
      <c r="K33" s="28">
        <v>0</v>
      </c>
      <c r="L33" s="28">
        <v>0</v>
      </c>
      <c r="M33" s="29">
        <f t="shared" si="7"/>
        <v>0</v>
      </c>
      <c r="N33" s="28">
        <v>0</v>
      </c>
      <c r="O33" s="28">
        <v>0</v>
      </c>
      <c r="P33" s="28">
        <v>0</v>
      </c>
      <c r="Q33" s="29">
        <f t="shared" si="8"/>
        <v>0</v>
      </c>
      <c r="R33" s="28">
        <v>0</v>
      </c>
      <c r="S33" s="28">
        <v>0</v>
      </c>
      <c r="T33" s="28">
        <v>0</v>
      </c>
      <c r="U33" s="29">
        <f t="shared" si="9"/>
        <v>0</v>
      </c>
      <c r="V33" s="28">
        <v>0</v>
      </c>
      <c r="W33" s="28">
        <v>0</v>
      </c>
      <c r="X33" s="28">
        <v>0</v>
      </c>
      <c r="Y33" s="29">
        <f t="shared" si="10"/>
        <v>0</v>
      </c>
      <c r="Z33" s="30">
        <f t="shared" si="11"/>
        <v>0</v>
      </c>
    </row>
    <row r="34" spans="1:26" ht="15.75" customHeight="1" x14ac:dyDescent="0.25">
      <c r="A34" s="2" t="s">
        <v>408</v>
      </c>
      <c r="B34" s="3" t="s">
        <v>409</v>
      </c>
      <c r="C34" s="2" t="s">
        <v>15</v>
      </c>
      <c r="D34" s="31">
        <v>5</v>
      </c>
      <c r="E34" s="3" t="s">
        <v>33</v>
      </c>
      <c r="F34" s="28">
        <v>0</v>
      </c>
      <c r="G34" s="28">
        <v>0</v>
      </c>
      <c r="H34" s="28">
        <v>0</v>
      </c>
      <c r="I34" s="29">
        <f t="shared" si="6"/>
        <v>0</v>
      </c>
      <c r="J34" s="28">
        <v>0</v>
      </c>
      <c r="K34" s="28">
        <v>0</v>
      </c>
      <c r="L34" s="28">
        <v>0</v>
      </c>
      <c r="M34" s="29">
        <f t="shared" si="7"/>
        <v>0</v>
      </c>
      <c r="N34" s="28">
        <v>0</v>
      </c>
      <c r="O34" s="28">
        <v>0</v>
      </c>
      <c r="P34" s="28">
        <v>0</v>
      </c>
      <c r="Q34" s="29">
        <f t="shared" si="8"/>
        <v>0</v>
      </c>
      <c r="R34" s="28">
        <v>0</v>
      </c>
      <c r="S34" s="28">
        <v>0</v>
      </c>
      <c r="T34" s="28">
        <v>0</v>
      </c>
      <c r="U34" s="29">
        <f t="shared" si="9"/>
        <v>0</v>
      </c>
      <c r="V34" s="28">
        <v>0</v>
      </c>
      <c r="W34" s="28">
        <v>0</v>
      </c>
      <c r="X34" s="28">
        <v>0</v>
      </c>
      <c r="Y34" s="29">
        <f t="shared" si="10"/>
        <v>0</v>
      </c>
      <c r="Z34" s="30">
        <f t="shared" si="11"/>
        <v>0</v>
      </c>
    </row>
    <row r="35" spans="1:26" ht="15.75" customHeight="1" x14ac:dyDescent="0.25">
      <c r="A35" s="2" t="s">
        <v>426</v>
      </c>
      <c r="B35" s="3" t="s">
        <v>427</v>
      </c>
      <c r="C35" s="2" t="s">
        <v>15</v>
      </c>
      <c r="D35" s="31">
        <v>5</v>
      </c>
      <c r="E35" s="3" t="s">
        <v>33</v>
      </c>
      <c r="F35" s="28">
        <v>0</v>
      </c>
      <c r="G35" s="28">
        <v>0</v>
      </c>
      <c r="H35" s="28">
        <v>0</v>
      </c>
      <c r="I35" s="29">
        <f t="shared" si="6"/>
        <v>0</v>
      </c>
      <c r="J35" s="28">
        <v>0</v>
      </c>
      <c r="K35" s="28">
        <v>0</v>
      </c>
      <c r="L35" s="28">
        <v>0</v>
      </c>
      <c r="M35" s="29">
        <f t="shared" si="7"/>
        <v>0</v>
      </c>
      <c r="N35" s="28">
        <v>0</v>
      </c>
      <c r="O35" s="28">
        <v>0</v>
      </c>
      <c r="P35" s="28">
        <v>0</v>
      </c>
      <c r="Q35" s="29">
        <f t="shared" si="8"/>
        <v>0</v>
      </c>
      <c r="R35" s="28">
        <v>0</v>
      </c>
      <c r="S35" s="28">
        <v>0</v>
      </c>
      <c r="T35" s="28">
        <v>0</v>
      </c>
      <c r="U35" s="29">
        <f t="shared" si="9"/>
        <v>0</v>
      </c>
      <c r="V35" s="28">
        <v>0</v>
      </c>
      <c r="W35" s="28">
        <v>0</v>
      </c>
      <c r="X35" s="28">
        <v>0</v>
      </c>
      <c r="Y35" s="29">
        <f t="shared" si="10"/>
        <v>0</v>
      </c>
      <c r="Z35" s="30">
        <f t="shared" si="11"/>
        <v>0</v>
      </c>
    </row>
    <row r="36" spans="1:26" ht="15.75" customHeight="1" x14ac:dyDescent="0.25">
      <c r="A36" s="2" t="s">
        <v>466</v>
      </c>
      <c r="B36" s="3" t="s">
        <v>467</v>
      </c>
      <c r="C36" s="2" t="s">
        <v>15</v>
      </c>
      <c r="D36" s="31">
        <v>5</v>
      </c>
      <c r="E36" s="3" t="s">
        <v>33</v>
      </c>
      <c r="F36" s="28">
        <v>0</v>
      </c>
      <c r="G36" s="28">
        <v>0</v>
      </c>
      <c r="H36" s="28">
        <v>0</v>
      </c>
      <c r="I36" s="29">
        <f t="shared" si="6"/>
        <v>0</v>
      </c>
      <c r="J36" s="28">
        <v>0</v>
      </c>
      <c r="K36" s="28">
        <v>0</v>
      </c>
      <c r="L36" s="28">
        <v>0</v>
      </c>
      <c r="M36" s="29">
        <f t="shared" si="7"/>
        <v>0</v>
      </c>
      <c r="N36" s="28">
        <v>0</v>
      </c>
      <c r="O36" s="28">
        <v>0</v>
      </c>
      <c r="P36" s="28">
        <v>0</v>
      </c>
      <c r="Q36" s="29">
        <f t="shared" si="8"/>
        <v>0</v>
      </c>
      <c r="R36" s="28">
        <v>0</v>
      </c>
      <c r="S36" s="28">
        <v>0</v>
      </c>
      <c r="T36" s="28">
        <v>0</v>
      </c>
      <c r="U36" s="29">
        <f t="shared" si="9"/>
        <v>0</v>
      </c>
      <c r="V36" s="28">
        <v>0</v>
      </c>
      <c r="W36" s="28">
        <v>0</v>
      </c>
      <c r="X36" s="28">
        <v>0</v>
      </c>
      <c r="Y36" s="29">
        <f t="shared" si="10"/>
        <v>0</v>
      </c>
      <c r="Z36" s="30">
        <f t="shared" si="11"/>
        <v>0</v>
      </c>
    </row>
    <row r="37" spans="1:26" x14ac:dyDescent="0.25">
      <c r="A37" s="2" t="s">
        <v>424</v>
      </c>
      <c r="B37" s="3" t="s">
        <v>425</v>
      </c>
      <c r="C37" s="2" t="s">
        <v>15</v>
      </c>
      <c r="D37" s="31">
        <v>5</v>
      </c>
      <c r="E37" s="3" t="s">
        <v>33</v>
      </c>
      <c r="F37" s="28">
        <v>0</v>
      </c>
      <c r="G37" s="28">
        <v>0</v>
      </c>
      <c r="H37" s="28">
        <v>0</v>
      </c>
      <c r="I37" s="29">
        <f t="shared" si="6"/>
        <v>0</v>
      </c>
      <c r="J37" s="28">
        <v>0</v>
      </c>
      <c r="K37" s="28">
        <v>0</v>
      </c>
      <c r="L37" s="28">
        <v>0</v>
      </c>
      <c r="M37" s="29">
        <f t="shared" si="7"/>
        <v>0</v>
      </c>
      <c r="N37" s="28">
        <v>0</v>
      </c>
      <c r="O37" s="28">
        <v>0</v>
      </c>
      <c r="P37" s="28">
        <v>0</v>
      </c>
      <c r="Q37" s="29">
        <f t="shared" si="8"/>
        <v>0</v>
      </c>
      <c r="R37" s="28">
        <v>0</v>
      </c>
      <c r="S37" s="28">
        <v>0</v>
      </c>
      <c r="T37" s="28">
        <v>0</v>
      </c>
      <c r="U37" s="29">
        <f t="shared" si="9"/>
        <v>0</v>
      </c>
      <c r="V37" s="28">
        <v>0</v>
      </c>
      <c r="W37" s="28">
        <v>0</v>
      </c>
      <c r="X37" s="28">
        <v>0</v>
      </c>
      <c r="Y37" s="29">
        <f t="shared" si="10"/>
        <v>0</v>
      </c>
      <c r="Z37" s="30">
        <f t="shared" si="11"/>
        <v>0</v>
      </c>
    </row>
  </sheetData>
  <sortState xmlns:xlrd2="http://schemas.microsoft.com/office/spreadsheetml/2017/richdata2" ref="A3:Z37">
    <sortCondition ref="E1:E37"/>
  </sortState>
  <mergeCells count="5">
    <mergeCell ref="F1:I1"/>
    <mergeCell ref="J1:M1"/>
    <mergeCell ref="N1:Q1"/>
    <mergeCell ref="R1:U1"/>
    <mergeCell ref="V1:Y1"/>
  </mergeCells>
  <conditionalFormatting sqref="F3:H37">
    <cfRule type="cellIs" dxfId="648" priority="53" operator="lessThan">
      <formula>7.9</formula>
    </cfRule>
  </conditionalFormatting>
  <conditionalFormatting sqref="F3:H37">
    <cfRule type="cellIs" dxfId="647" priority="54" operator="lessThan">
      <formula>7.4</formula>
    </cfRule>
  </conditionalFormatting>
  <conditionalFormatting sqref="F5:H6">
    <cfRule type="cellIs" dxfId="646" priority="55" operator="lessThan">
      <formula>6.9</formula>
    </cfRule>
  </conditionalFormatting>
  <conditionalFormatting sqref="I3:I37">
    <cfRule type="cellIs" dxfId="645" priority="56" operator="lessThan">
      <formula>7.9</formula>
    </cfRule>
    <cfRule type="cellIs" dxfId="644" priority="65" operator="lessThan">
      <formula>6.9</formula>
    </cfRule>
    <cfRule type="cellIs" dxfId="643" priority="66" operator="lessThan">
      <formula>7.4</formula>
    </cfRule>
    <cfRule type="cellIs" dxfId="642" priority="67" operator="lessThan">
      <formula>7.9</formula>
    </cfRule>
  </conditionalFormatting>
  <conditionalFormatting sqref="I3:I37">
    <cfRule type="cellIs" dxfId="641" priority="57" operator="lessThan">
      <formula>6.9</formula>
    </cfRule>
    <cfRule type="cellIs" dxfId="640" priority="58" operator="lessThan">
      <formula>7.4</formula>
    </cfRule>
    <cfRule type="cellIs" dxfId="639" priority="59" operator="lessThan">
      <formula>7.9</formula>
    </cfRule>
    <cfRule type="cellIs" dxfId="638" priority="60" operator="lessThan">
      <formula>6.9</formula>
    </cfRule>
    <cfRule type="cellIs" dxfId="637" priority="61" operator="lessThan">
      <formula>7.9</formula>
    </cfRule>
    <cfRule type="cellIs" dxfId="636" priority="62" operator="lessThan">
      <formula>7.4</formula>
    </cfRule>
    <cfRule type="cellIs" dxfId="635" priority="63" operator="lessThan">
      <formula>6.9</formula>
    </cfRule>
    <cfRule type="cellIs" dxfId="634" priority="64" operator="lessThan">
      <formula>7.9</formula>
    </cfRule>
  </conditionalFormatting>
  <conditionalFormatting sqref="M3:M37">
    <cfRule type="cellIs" dxfId="633" priority="68" operator="lessThan">
      <formula>7.9</formula>
    </cfRule>
    <cfRule type="cellIs" dxfId="632" priority="69" operator="lessThan">
      <formula>6.9</formula>
    </cfRule>
    <cfRule type="cellIs" dxfId="631" priority="70" operator="lessThan">
      <formula>7.4</formula>
    </cfRule>
    <cfRule type="cellIs" dxfId="630" priority="71" operator="lessThan">
      <formula>7.9</formula>
    </cfRule>
    <cfRule type="cellIs" dxfId="629" priority="72" operator="lessThan">
      <formula>6.9</formula>
    </cfRule>
    <cfRule type="cellIs" dxfId="628" priority="73" operator="lessThan">
      <formula>7.9</formula>
    </cfRule>
    <cfRule type="cellIs" dxfId="627" priority="74" operator="lessThan">
      <formula>7.4</formula>
    </cfRule>
    <cfRule type="cellIs" dxfId="626" priority="75" operator="lessThan">
      <formula>6.9</formula>
    </cfRule>
    <cfRule type="cellIs" dxfId="625" priority="76" operator="lessThan">
      <formula>7.9</formula>
    </cfRule>
    <cfRule type="cellIs" dxfId="624" priority="77" operator="lessThan">
      <formula>6.9</formula>
    </cfRule>
    <cfRule type="cellIs" dxfId="623" priority="78" operator="lessThan">
      <formula>7.4</formula>
    </cfRule>
    <cfRule type="cellIs" dxfId="622" priority="79" operator="lessThan">
      <formula>6.9</formula>
    </cfRule>
    <cfRule type="cellIs" dxfId="621" priority="80" operator="lessThan">
      <formula>7.4</formula>
    </cfRule>
    <cfRule type="cellIs" dxfId="620" priority="81" operator="lessThan">
      <formula>7.9</formula>
    </cfRule>
  </conditionalFormatting>
  <conditionalFormatting sqref="J3:L37">
    <cfRule type="cellIs" dxfId="619" priority="50" operator="lessThan">
      <formula>7.9</formula>
    </cfRule>
  </conditionalFormatting>
  <conditionalFormatting sqref="J3:L37">
    <cfRule type="cellIs" dxfId="618" priority="51" operator="lessThan">
      <formula>7.4</formula>
    </cfRule>
  </conditionalFormatting>
  <conditionalFormatting sqref="J5:L6">
    <cfRule type="cellIs" dxfId="617" priority="52" operator="lessThan">
      <formula>6.9</formula>
    </cfRule>
  </conditionalFormatting>
  <conditionalFormatting sqref="N3:P37">
    <cfRule type="cellIs" dxfId="616" priority="21" operator="lessThan">
      <formula>7.9</formula>
    </cfRule>
  </conditionalFormatting>
  <conditionalFormatting sqref="N3:P37">
    <cfRule type="cellIs" dxfId="615" priority="22" operator="lessThan">
      <formula>7.4</formula>
    </cfRule>
  </conditionalFormatting>
  <conditionalFormatting sqref="N5:P6">
    <cfRule type="cellIs" dxfId="614" priority="23" operator="lessThan">
      <formula>6.9</formula>
    </cfRule>
  </conditionalFormatting>
  <conditionalFormatting sqref="Q3:Q37">
    <cfRule type="cellIs" dxfId="613" priority="24" operator="lessThan">
      <formula>7.9</formula>
    </cfRule>
    <cfRule type="cellIs" dxfId="612" priority="33" operator="lessThan">
      <formula>6.9</formula>
    </cfRule>
    <cfRule type="cellIs" dxfId="611" priority="34" operator="lessThan">
      <formula>7.4</formula>
    </cfRule>
    <cfRule type="cellIs" dxfId="610" priority="35" operator="lessThan">
      <formula>7.9</formula>
    </cfRule>
  </conditionalFormatting>
  <conditionalFormatting sqref="Q3:Q37">
    <cfRule type="cellIs" dxfId="609" priority="25" operator="lessThan">
      <formula>6.9</formula>
    </cfRule>
    <cfRule type="cellIs" dxfId="608" priority="26" operator="lessThan">
      <formula>7.4</formula>
    </cfRule>
    <cfRule type="cellIs" dxfId="607" priority="27" operator="lessThan">
      <formula>7.9</formula>
    </cfRule>
    <cfRule type="cellIs" dxfId="606" priority="28" operator="lessThan">
      <formula>6.9</formula>
    </cfRule>
    <cfRule type="cellIs" dxfId="605" priority="29" operator="lessThan">
      <formula>7.9</formula>
    </cfRule>
    <cfRule type="cellIs" dxfId="604" priority="30" operator="lessThan">
      <formula>7.4</formula>
    </cfRule>
    <cfRule type="cellIs" dxfId="603" priority="31" operator="lessThan">
      <formula>6.9</formula>
    </cfRule>
    <cfRule type="cellIs" dxfId="602" priority="32" operator="lessThan">
      <formula>7.9</formula>
    </cfRule>
  </conditionalFormatting>
  <conditionalFormatting sqref="U3:U37">
    <cfRule type="cellIs" dxfId="601" priority="36" operator="lessThan">
      <formula>7.9</formula>
    </cfRule>
    <cfRule type="cellIs" dxfId="600" priority="37" operator="lessThan">
      <formula>6.9</formula>
    </cfRule>
    <cfRule type="cellIs" dxfId="599" priority="38" operator="lessThan">
      <formula>7.4</formula>
    </cfRule>
    <cfRule type="cellIs" dxfId="598" priority="39" operator="lessThan">
      <formula>7.9</formula>
    </cfRule>
    <cfRule type="cellIs" dxfId="597" priority="40" operator="lessThan">
      <formula>6.9</formula>
    </cfRule>
    <cfRule type="cellIs" dxfId="596" priority="41" operator="lessThan">
      <formula>7.9</formula>
    </cfRule>
    <cfRule type="cellIs" dxfId="595" priority="42" operator="lessThan">
      <formula>7.4</formula>
    </cfRule>
    <cfRule type="cellIs" dxfId="594" priority="43" operator="lessThan">
      <formula>6.9</formula>
    </cfRule>
    <cfRule type="cellIs" dxfId="593" priority="44" operator="lessThan">
      <formula>7.9</formula>
    </cfRule>
    <cfRule type="cellIs" dxfId="592" priority="45" operator="lessThan">
      <formula>6.9</formula>
    </cfRule>
    <cfRule type="cellIs" dxfId="591" priority="46" operator="lessThan">
      <formula>7.4</formula>
    </cfRule>
    <cfRule type="cellIs" dxfId="590" priority="47" operator="lessThan">
      <formula>6.9</formula>
    </cfRule>
    <cfRule type="cellIs" dxfId="589" priority="48" operator="lessThan">
      <formula>7.4</formula>
    </cfRule>
    <cfRule type="cellIs" dxfId="588" priority="49" operator="lessThan">
      <formula>7.9</formula>
    </cfRule>
  </conditionalFormatting>
  <conditionalFormatting sqref="R3:T37">
    <cfRule type="cellIs" dxfId="587" priority="18" operator="lessThan">
      <formula>7.9</formula>
    </cfRule>
  </conditionalFormatting>
  <conditionalFormatting sqref="R3:T37">
    <cfRule type="cellIs" dxfId="586" priority="19" operator="lessThan">
      <formula>7.4</formula>
    </cfRule>
  </conditionalFormatting>
  <conditionalFormatting sqref="R5:T6">
    <cfRule type="cellIs" dxfId="585" priority="20" operator="lessThan">
      <formula>6.9</formula>
    </cfRule>
  </conditionalFormatting>
  <conditionalFormatting sqref="Y3:Y37">
    <cfRule type="cellIs" dxfId="584" priority="4" operator="lessThan">
      <formula>7.9</formula>
    </cfRule>
    <cfRule type="cellIs" dxfId="583" priority="5" operator="lessThan">
      <formula>6.9</formula>
    </cfRule>
    <cfRule type="cellIs" dxfId="582" priority="6" operator="lessThan">
      <formula>7.4</formula>
    </cfRule>
    <cfRule type="cellIs" dxfId="581" priority="7" operator="lessThan">
      <formula>7.9</formula>
    </cfRule>
    <cfRule type="cellIs" dxfId="580" priority="8" operator="lessThan">
      <formula>6.9</formula>
    </cfRule>
    <cfRule type="cellIs" dxfId="579" priority="9" operator="lessThan">
      <formula>7.9</formula>
    </cfRule>
    <cfRule type="cellIs" dxfId="578" priority="10" operator="lessThan">
      <formula>7.4</formula>
    </cfRule>
    <cfRule type="cellIs" dxfId="577" priority="11" operator="lessThan">
      <formula>6.9</formula>
    </cfRule>
    <cfRule type="cellIs" dxfId="576" priority="12" operator="lessThan">
      <formula>7.9</formula>
    </cfRule>
    <cfRule type="cellIs" dxfId="575" priority="13" operator="lessThan">
      <formula>6.9</formula>
    </cfRule>
    <cfRule type="cellIs" dxfId="574" priority="14" operator="lessThan">
      <formula>7.4</formula>
    </cfRule>
    <cfRule type="cellIs" dxfId="573" priority="15" operator="lessThan">
      <formula>6.9</formula>
    </cfRule>
    <cfRule type="cellIs" dxfId="572" priority="16" operator="lessThan">
      <formula>7.4</formula>
    </cfRule>
    <cfRule type="cellIs" dxfId="571" priority="17" operator="lessThan">
      <formula>7.9</formula>
    </cfRule>
  </conditionalFormatting>
  <conditionalFormatting sqref="V3:X37">
    <cfRule type="cellIs" dxfId="570" priority="1" operator="lessThan">
      <formula>7.9</formula>
    </cfRule>
  </conditionalFormatting>
  <conditionalFormatting sqref="V3:X37">
    <cfRule type="cellIs" dxfId="569" priority="2" operator="lessThan">
      <formula>7.4</formula>
    </cfRule>
  </conditionalFormatting>
  <conditionalFormatting sqref="V5:X6">
    <cfRule type="cellIs" dxfId="568" priority="3" operator="lessThan">
      <formula>6.9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E30"/>
  <sheetViews>
    <sheetView topLeftCell="J1" workbookViewId="0">
      <selection activeCell="F2" sqref="F1:Z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7" max="31" width="3.140625" customWidth="1"/>
  </cols>
  <sheetData>
    <row r="1" spans="1:31" ht="15" x14ac:dyDescent="0.2">
      <c r="A1" s="1"/>
      <c r="B1" s="1"/>
      <c r="C1" s="1"/>
      <c r="D1" s="1"/>
      <c r="E1" s="1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1" t="s">
        <v>122</v>
      </c>
      <c r="O1" s="22"/>
      <c r="P1" s="22"/>
      <c r="Q1" s="23"/>
      <c r="R1" s="21" t="s">
        <v>123</v>
      </c>
      <c r="S1" s="22"/>
      <c r="T1" s="22"/>
      <c r="U1" s="23"/>
      <c r="V1" s="21" t="s">
        <v>124</v>
      </c>
      <c r="W1" s="22"/>
      <c r="X1" s="22"/>
      <c r="Y1" s="23"/>
      <c r="Z1" s="24" t="s">
        <v>2</v>
      </c>
      <c r="AA1" s="11"/>
      <c r="AB1" s="11"/>
      <c r="AC1" s="11"/>
      <c r="AD1" s="11"/>
      <c r="AE1" s="11"/>
    </row>
    <row r="2" spans="1:31" x14ac:dyDescent="0.2">
      <c r="A2" s="1" t="s">
        <v>3</v>
      </c>
      <c r="B2" s="1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5" t="s">
        <v>8</v>
      </c>
      <c r="O2" s="25" t="s">
        <v>9</v>
      </c>
      <c r="P2" s="25" t="s">
        <v>10</v>
      </c>
      <c r="Q2" s="26" t="s">
        <v>11</v>
      </c>
      <c r="R2" s="25" t="s">
        <v>8</v>
      </c>
      <c r="S2" s="25" t="s">
        <v>9</v>
      </c>
      <c r="T2" s="25" t="s">
        <v>10</v>
      </c>
      <c r="U2" s="26" t="s">
        <v>11</v>
      </c>
      <c r="V2" s="25" t="s">
        <v>8</v>
      </c>
      <c r="W2" s="25" t="s">
        <v>9</v>
      </c>
      <c r="X2" s="25" t="s">
        <v>10</v>
      </c>
      <c r="Y2" s="26" t="s">
        <v>11</v>
      </c>
      <c r="Z2" s="24" t="s">
        <v>12</v>
      </c>
      <c r="AA2" s="5"/>
      <c r="AB2" s="5"/>
      <c r="AC2" s="5"/>
      <c r="AD2" s="5"/>
      <c r="AE2" s="5"/>
    </row>
    <row r="3" spans="1:31" ht="15.75" customHeight="1" x14ac:dyDescent="0.25">
      <c r="A3" s="2" t="s">
        <v>524</v>
      </c>
      <c r="B3" s="3" t="s">
        <v>525</v>
      </c>
      <c r="C3" s="2" t="s">
        <v>15</v>
      </c>
      <c r="D3" s="32">
        <v>6</v>
      </c>
      <c r="E3" s="32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30" si="0">AVERAGE(J3:L3)</f>
        <v>0</v>
      </c>
      <c r="N3" s="28">
        <v>0</v>
      </c>
      <c r="O3" s="28">
        <v>0</v>
      </c>
      <c r="P3" s="28">
        <v>0</v>
      </c>
      <c r="Q3" s="29">
        <f>AVERAGE(N3:P3)</f>
        <v>0</v>
      </c>
      <c r="R3" s="28">
        <v>0</v>
      </c>
      <c r="S3" s="28">
        <v>0</v>
      </c>
      <c r="T3" s="28">
        <v>0</v>
      </c>
      <c r="U3" s="29">
        <f t="shared" ref="U3:U30" si="1">AVERAGE(R3:T3)</f>
        <v>0</v>
      </c>
      <c r="V3" s="28">
        <v>0</v>
      </c>
      <c r="W3" s="28">
        <v>0</v>
      </c>
      <c r="X3" s="28">
        <v>0</v>
      </c>
      <c r="Y3" s="29">
        <f t="shared" ref="Y3:Y30" si="2">AVERAGE(V3:X3)</f>
        <v>0</v>
      </c>
      <c r="Z3" s="30">
        <f>AVERAGE(I3,M3,Q3,U3,Y3)</f>
        <v>0</v>
      </c>
      <c r="AA3" s="6"/>
      <c r="AB3" s="6"/>
      <c r="AC3" s="7"/>
      <c r="AD3" s="6"/>
      <c r="AE3" s="7"/>
    </row>
    <row r="4" spans="1:31" ht="15.75" customHeight="1" x14ac:dyDescent="0.25">
      <c r="A4" s="2" t="s">
        <v>498</v>
      </c>
      <c r="B4" s="3" t="s">
        <v>499</v>
      </c>
      <c r="C4" s="2" t="s">
        <v>15</v>
      </c>
      <c r="D4" s="32">
        <v>6</v>
      </c>
      <c r="E4" s="32" t="s">
        <v>16</v>
      </c>
      <c r="F4" s="28">
        <v>0</v>
      </c>
      <c r="G4" s="28">
        <v>0</v>
      </c>
      <c r="H4" s="28">
        <v>0</v>
      </c>
      <c r="I4" s="29">
        <f t="shared" ref="I4:I30" si="3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28">
        <v>0</v>
      </c>
      <c r="O4" s="28">
        <v>0</v>
      </c>
      <c r="P4" s="28">
        <v>0</v>
      </c>
      <c r="Q4" s="29">
        <f t="shared" ref="Q4:Q30" si="4">AVERAGE(N4:P4)</f>
        <v>0</v>
      </c>
      <c r="R4" s="28">
        <v>0</v>
      </c>
      <c r="S4" s="28">
        <v>0</v>
      </c>
      <c r="T4" s="28">
        <v>0</v>
      </c>
      <c r="U4" s="29">
        <f t="shared" si="1"/>
        <v>0</v>
      </c>
      <c r="V4" s="28">
        <v>0</v>
      </c>
      <c r="W4" s="28">
        <v>0</v>
      </c>
      <c r="X4" s="28">
        <v>0</v>
      </c>
      <c r="Y4" s="29">
        <f t="shared" si="2"/>
        <v>0</v>
      </c>
      <c r="Z4" s="30">
        <f t="shared" ref="Z4:Z30" si="5">AVERAGE(I4,M4,Q4,U4,Y4)</f>
        <v>0</v>
      </c>
      <c r="AA4" s="7"/>
      <c r="AB4" s="7"/>
      <c r="AC4" s="7"/>
      <c r="AD4" s="7"/>
      <c r="AE4" s="7"/>
    </row>
    <row r="5" spans="1:31" ht="15.75" customHeight="1" x14ac:dyDescent="0.25">
      <c r="A5" s="2" t="s">
        <v>474</v>
      </c>
      <c r="B5" s="3" t="s">
        <v>475</v>
      </c>
      <c r="C5" s="2" t="s">
        <v>15</v>
      </c>
      <c r="D5" s="32">
        <v>6</v>
      </c>
      <c r="E5" s="32" t="s">
        <v>16</v>
      </c>
      <c r="F5" s="28">
        <v>0</v>
      </c>
      <c r="G5" s="28">
        <v>0</v>
      </c>
      <c r="H5" s="28">
        <v>0</v>
      </c>
      <c r="I5" s="29">
        <f t="shared" si="3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28">
        <v>0</v>
      </c>
      <c r="O5" s="28">
        <v>0</v>
      </c>
      <c r="P5" s="28">
        <v>0</v>
      </c>
      <c r="Q5" s="29">
        <f t="shared" si="4"/>
        <v>0</v>
      </c>
      <c r="R5" s="28">
        <v>0</v>
      </c>
      <c r="S5" s="28">
        <v>0</v>
      </c>
      <c r="T5" s="28">
        <v>0</v>
      </c>
      <c r="U5" s="29">
        <f t="shared" si="1"/>
        <v>0</v>
      </c>
      <c r="V5" s="28">
        <v>0</v>
      </c>
      <c r="W5" s="28">
        <v>0</v>
      </c>
      <c r="X5" s="28">
        <v>0</v>
      </c>
      <c r="Y5" s="29">
        <f t="shared" si="2"/>
        <v>0</v>
      </c>
      <c r="Z5" s="30">
        <f t="shared" si="5"/>
        <v>0</v>
      </c>
      <c r="AA5" s="7"/>
      <c r="AB5" s="7"/>
      <c r="AC5" s="7"/>
      <c r="AD5" s="8"/>
      <c r="AE5" s="7"/>
    </row>
    <row r="6" spans="1:31" ht="15.75" customHeight="1" x14ac:dyDescent="0.25">
      <c r="A6" s="2" t="s">
        <v>500</v>
      </c>
      <c r="B6" s="3" t="s">
        <v>501</v>
      </c>
      <c r="C6" s="2" t="s">
        <v>15</v>
      </c>
      <c r="D6" s="32">
        <v>6</v>
      </c>
      <c r="E6" s="32" t="s">
        <v>16</v>
      </c>
      <c r="F6" s="28">
        <v>0</v>
      </c>
      <c r="G6" s="28">
        <v>0</v>
      </c>
      <c r="H6" s="28">
        <v>0</v>
      </c>
      <c r="I6" s="29">
        <f t="shared" si="3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28">
        <v>0</v>
      </c>
      <c r="O6" s="28">
        <v>0</v>
      </c>
      <c r="P6" s="28">
        <v>0</v>
      </c>
      <c r="Q6" s="29">
        <f t="shared" si="4"/>
        <v>0</v>
      </c>
      <c r="R6" s="28">
        <v>0</v>
      </c>
      <c r="S6" s="28">
        <v>0</v>
      </c>
      <c r="T6" s="28">
        <v>0</v>
      </c>
      <c r="U6" s="29">
        <f t="shared" si="1"/>
        <v>0</v>
      </c>
      <c r="V6" s="28">
        <v>0</v>
      </c>
      <c r="W6" s="28">
        <v>0</v>
      </c>
      <c r="X6" s="28">
        <v>0</v>
      </c>
      <c r="Y6" s="29">
        <f t="shared" si="2"/>
        <v>0</v>
      </c>
      <c r="Z6" s="30">
        <f t="shared" si="5"/>
        <v>0</v>
      </c>
      <c r="AA6" s="7"/>
      <c r="AB6" s="7"/>
      <c r="AC6" s="7"/>
      <c r="AD6" s="8"/>
      <c r="AE6" s="7"/>
    </row>
    <row r="7" spans="1:31" ht="15.75" customHeight="1" x14ac:dyDescent="0.25">
      <c r="A7" s="2" t="s">
        <v>484</v>
      </c>
      <c r="B7" s="3" t="s">
        <v>485</v>
      </c>
      <c r="C7" s="2" t="s">
        <v>15</v>
      </c>
      <c r="D7" s="32">
        <v>6</v>
      </c>
      <c r="E7" s="32" t="s">
        <v>16</v>
      </c>
      <c r="F7" s="28">
        <v>0</v>
      </c>
      <c r="G7" s="28">
        <v>0</v>
      </c>
      <c r="H7" s="28">
        <v>0</v>
      </c>
      <c r="I7" s="29">
        <f t="shared" si="3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28">
        <v>0</v>
      </c>
      <c r="O7" s="28">
        <v>0</v>
      </c>
      <c r="P7" s="28">
        <v>0</v>
      </c>
      <c r="Q7" s="29">
        <f t="shared" si="4"/>
        <v>0</v>
      </c>
      <c r="R7" s="28">
        <v>0</v>
      </c>
      <c r="S7" s="28">
        <v>0</v>
      </c>
      <c r="T7" s="28">
        <v>0</v>
      </c>
      <c r="U7" s="29">
        <f t="shared" si="1"/>
        <v>0</v>
      </c>
      <c r="V7" s="28">
        <v>0</v>
      </c>
      <c r="W7" s="28">
        <v>0</v>
      </c>
      <c r="X7" s="28">
        <v>0</v>
      </c>
      <c r="Y7" s="29">
        <f t="shared" si="2"/>
        <v>0</v>
      </c>
      <c r="Z7" s="30">
        <f t="shared" si="5"/>
        <v>0</v>
      </c>
      <c r="AA7" s="9"/>
      <c r="AB7" s="9"/>
      <c r="AC7" s="6"/>
      <c r="AD7" s="6"/>
      <c r="AE7" s="7"/>
    </row>
    <row r="8" spans="1:31" ht="15.75" customHeight="1" x14ac:dyDescent="0.25">
      <c r="A8" s="2" t="s">
        <v>516</v>
      </c>
      <c r="B8" s="3" t="s">
        <v>517</v>
      </c>
      <c r="C8" s="2" t="s">
        <v>15</v>
      </c>
      <c r="D8" s="32">
        <v>6</v>
      </c>
      <c r="E8" s="32" t="s">
        <v>16</v>
      </c>
      <c r="F8" s="28">
        <v>0</v>
      </c>
      <c r="G8" s="28">
        <v>0</v>
      </c>
      <c r="H8" s="28">
        <v>0</v>
      </c>
      <c r="I8" s="29">
        <f t="shared" si="3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28">
        <v>0</v>
      </c>
      <c r="O8" s="28">
        <v>0</v>
      </c>
      <c r="P8" s="28">
        <v>0</v>
      </c>
      <c r="Q8" s="29">
        <f t="shared" si="4"/>
        <v>0</v>
      </c>
      <c r="R8" s="28">
        <v>0</v>
      </c>
      <c r="S8" s="28">
        <v>0</v>
      </c>
      <c r="T8" s="28">
        <v>0</v>
      </c>
      <c r="U8" s="29">
        <f t="shared" si="1"/>
        <v>0</v>
      </c>
      <c r="V8" s="28">
        <v>0</v>
      </c>
      <c r="W8" s="28">
        <v>0</v>
      </c>
      <c r="X8" s="28">
        <v>0</v>
      </c>
      <c r="Y8" s="29">
        <f t="shared" si="2"/>
        <v>0</v>
      </c>
      <c r="Z8" s="30">
        <f t="shared" si="5"/>
        <v>0</v>
      </c>
      <c r="AA8" s="7"/>
      <c r="AB8" s="7"/>
      <c r="AC8" s="6"/>
      <c r="AD8" s="6"/>
      <c r="AE8" s="7"/>
    </row>
    <row r="9" spans="1:31" ht="15.75" customHeight="1" x14ac:dyDescent="0.25">
      <c r="A9" s="2" t="s">
        <v>520</v>
      </c>
      <c r="B9" s="3" t="s">
        <v>521</v>
      </c>
      <c r="C9" s="2" t="s">
        <v>15</v>
      </c>
      <c r="D9" s="32">
        <v>6</v>
      </c>
      <c r="E9" s="32" t="s">
        <v>16</v>
      </c>
      <c r="F9" s="28">
        <v>0</v>
      </c>
      <c r="G9" s="28">
        <v>0</v>
      </c>
      <c r="H9" s="28">
        <v>0</v>
      </c>
      <c r="I9" s="29">
        <f t="shared" si="3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28">
        <v>0</v>
      </c>
      <c r="O9" s="28">
        <v>0</v>
      </c>
      <c r="P9" s="28">
        <v>0</v>
      </c>
      <c r="Q9" s="29">
        <f t="shared" si="4"/>
        <v>0</v>
      </c>
      <c r="R9" s="28">
        <v>0</v>
      </c>
      <c r="S9" s="28">
        <v>0</v>
      </c>
      <c r="T9" s="28">
        <v>0</v>
      </c>
      <c r="U9" s="29">
        <f t="shared" si="1"/>
        <v>0</v>
      </c>
      <c r="V9" s="28">
        <v>0</v>
      </c>
      <c r="W9" s="28">
        <v>0</v>
      </c>
      <c r="X9" s="28">
        <v>0</v>
      </c>
      <c r="Y9" s="29">
        <f t="shared" si="2"/>
        <v>0</v>
      </c>
      <c r="Z9" s="30">
        <f t="shared" si="5"/>
        <v>0</v>
      </c>
      <c r="AA9" s="6"/>
      <c r="AB9" s="6"/>
      <c r="AC9" s="10"/>
      <c r="AD9" s="8"/>
      <c r="AE9" s="7"/>
    </row>
    <row r="10" spans="1:31" ht="15.75" customHeight="1" x14ac:dyDescent="0.25">
      <c r="A10" s="2" t="s">
        <v>476</v>
      </c>
      <c r="B10" s="3" t="s">
        <v>477</v>
      </c>
      <c r="C10" s="2" t="s">
        <v>15</v>
      </c>
      <c r="D10" s="32">
        <v>6</v>
      </c>
      <c r="E10" s="32" t="s">
        <v>16</v>
      </c>
      <c r="F10" s="28">
        <v>0</v>
      </c>
      <c r="G10" s="28">
        <v>0</v>
      </c>
      <c r="H10" s="28">
        <v>0</v>
      </c>
      <c r="I10" s="29">
        <f t="shared" si="3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28">
        <v>0</v>
      </c>
      <c r="O10" s="28">
        <v>0</v>
      </c>
      <c r="P10" s="28">
        <v>0</v>
      </c>
      <c r="Q10" s="29">
        <f t="shared" si="4"/>
        <v>0</v>
      </c>
      <c r="R10" s="28">
        <v>0</v>
      </c>
      <c r="S10" s="28">
        <v>0</v>
      </c>
      <c r="T10" s="28">
        <v>0</v>
      </c>
      <c r="U10" s="29">
        <f t="shared" si="1"/>
        <v>0</v>
      </c>
      <c r="V10" s="28">
        <v>0</v>
      </c>
      <c r="W10" s="28">
        <v>0</v>
      </c>
      <c r="X10" s="28">
        <v>0</v>
      </c>
      <c r="Y10" s="29">
        <f t="shared" si="2"/>
        <v>0</v>
      </c>
      <c r="Z10" s="30">
        <f t="shared" si="5"/>
        <v>0</v>
      </c>
      <c r="AA10" s="7"/>
      <c r="AB10" s="7"/>
      <c r="AC10" s="7"/>
      <c r="AD10" s="7"/>
      <c r="AE10" s="7"/>
    </row>
    <row r="11" spans="1:31" ht="15.75" customHeight="1" x14ac:dyDescent="0.25">
      <c r="A11" s="2" t="s">
        <v>478</v>
      </c>
      <c r="B11" s="3" t="s">
        <v>479</v>
      </c>
      <c r="C11" s="2" t="s">
        <v>15</v>
      </c>
      <c r="D11" s="32">
        <v>6</v>
      </c>
      <c r="E11" s="32" t="s">
        <v>16</v>
      </c>
      <c r="F11" s="28">
        <v>0</v>
      </c>
      <c r="G11" s="28">
        <v>0</v>
      </c>
      <c r="H11" s="28">
        <v>0</v>
      </c>
      <c r="I11" s="29">
        <f t="shared" si="3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28">
        <v>0</v>
      </c>
      <c r="O11" s="28">
        <v>0</v>
      </c>
      <c r="P11" s="28">
        <v>0</v>
      </c>
      <c r="Q11" s="29">
        <f t="shared" si="4"/>
        <v>0</v>
      </c>
      <c r="R11" s="28">
        <v>0</v>
      </c>
      <c r="S11" s="28">
        <v>0</v>
      </c>
      <c r="T11" s="28">
        <v>0</v>
      </c>
      <c r="U11" s="29">
        <f t="shared" si="1"/>
        <v>0</v>
      </c>
      <c r="V11" s="28">
        <v>0</v>
      </c>
      <c r="W11" s="28">
        <v>0</v>
      </c>
      <c r="X11" s="28">
        <v>0</v>
      </c>
      <c r="Y11" s="29">
        <f t="shared" si="2"/>
        <v>0</v>
      </c>
      <c r="Z11" s="30">
        <f t="shared" si="5"/>
        <v>0</v>
      </c>
      <c r="AA11" s="8"/>
      <c r="AB11" s="8"/>
      <c r="AC11" s="6"/>
      <c r="AD11" s="6"/>
      <c r="AE11" s="7"/>
    </row>
    <row r="12" spans="1:31" ht="15.75" customHeight="1" x14ac:dyDescent="0.25">
      <c r="A12" s="2" t="s">
        <v>496</v>
      </c>
      <c r="B12" s="3" t="s">
        <v>497</v>
      </c>
      <c r="C12" s="2" t="s">
        <v>15</v>
      </c>
      <c r="D12" s="32">
        <v>6</v>
      </c>
      <c r="E12" s="32" t="s">
        <v>16</v>
      </c>
      <c r="F12" s="28">
        <v>0</v>
      </c>
      <c r="G12" s="28">
        <v>0</v>
      </c>
      <c r="H12" s="28">
        <v>0</v>
      </c>
      <c r="I12" s="29">
        <f t="shared" si="3"/>
        <v>0</v>
      </c>
      <c r="J12" s="28">
        <v>0</v>
      </c>
      <c r="K12" s="28">
        <v>0</v>
      </c>
      <c r="L12" s="28">
        <v>0</v>
      </c>
      <c r="M12" s="29">
        <f t="shared" si="0"/>
        <v>0</v>
      </c>
      <c r="N12" s="28">
        <v>0</v>
      </c>
      <c r="O12" s="28">
        <v>0</v>
      </c>
      <c r="P12" s="28">
        <v>0</v>
      </c>
      <c r="Q12" s="29">
        <f t="shared" si="4"/>
        <v>0</v>
      </c>
      <c r="R12" s="28">
        <v>0</v>
      </c>
      <c r="S12" s="28">
        <v>0</v>
      </c>
      <c r="T12" s="28">
        <v>0</v>
      </c>
      <c r="U12" s="29">
        <f t="shared" si="1"/>
        <v>0</v>
      </c>
      <c r="V12" s="28">
        <v>0</v>
      </c>
      <c r="W12" s="28">
        <v>0</v>
      </c>
      <c r="X12" s="28">
        <v>0</v>
      </c>
      <c r="Y12" s="29">
        <f t="shared" si="2"/>
        <v>0</v>
      </c>
      <c r="Z12" s="30">
        <f t="shared" si="5"/>
        <v>0</v>
      </c>
      <c r="AA12" s="8"/>
      <c r="AB12" s="6"/>
      <c r="AC12" s="6"/>
      <c r="AD12" s="10"/>
      <c r="AE12" s="7"/>
    </row>
    <row r="13" spans="1:31" ht="15.75" customHeight="1" x14ac:dyDescent="0.25">
      <c r="A13" s="2" t="s">
        <v>482</v>
      </c>
      <c r="B13" s="3" t="s">
        <v>483</v>
      </c>
      <c r="C13" s="2" t="s">
        <v>15</v>
      </c>
      <c r="D13" s="32">
        <v>6</v>
      </c>
      <c r="E13" s="32" t="s">
        <v>16</v>
      </c>
      <c r="F13" s="28">
        <v>0</v>
      </c>
      <c r="G13" s="28">
        <v>0</v>
      </c>
      <c r="H13" s="28">
        <v>0</v>
      </c>
      <c r="I13" s="29">
        <f t="shared" si="3"/>
        <v>0</v>
      </c>
      <c r="J13" s="28">
        <v>0</v>
      </c>
      <c r="K13" s="28">
        <v>0</v>
      </c>
      <c r="L13" s="28">
        <v>0</v>
      </c>
      <c r="M13" s="29">
        <f t="shared" si="0"/>
        <v>0</v>
      </c>
      <c r="N13" s="28">
        <v>0</v>
      </c>
      <c r="O13" s="28">
        <v>0</v>
      </c>
      <c r="P13" s="28">
        <v>0</v>
      </c>
      <c r="Q13" s="29">
        <f t="shared" si="4"/>
        <v>0</v>
      </c>
      <c r="R13" s="28">
        <v>0</v>
      </c>
      <c r="S13" s="28">
        <v>0</v>
      </c>
      <c r="T13" s="28">
        <v>0</v>
      </c>
      <c r="U13" s="29">
        <f t="shared" si="1"/>
        <v>0</v>
      </c>
      <c r="V13" s="28">
        <v>0</v>
      </c>
      <c r="W13" s="28">
        <v>0</v>
      </c>
      <c r="X13" s="28">
        <v>0</v>
      </c>
      <c r="Y13" s="29">
        <f t="shared" si="2"/>
        <v>0</v>
      </c>
      <c r="Z13" s="30">
        <f t="shared" si="5"/>
        <v>0</v>
      </c>
      <c r="AA13" s="8"/>
      <c r="AB13" s="7"/>
      <c r="AC13" s="7"/>
      <c r="AD13" s="8"/>
      <c r="AE13" s="7"/>
    </row>
    <row r="14" spans="1:31" ht="15.75" customHeight="1" x14ac:dyDescent="0.25">
      <c r="A14" s="2" t="s">
        <v>514</v>
      </c>
      <c r="B14" s="3" t="s">
        <v>515</v>
      </c>
      <c r="C14" s="2" t="s">
        <v>15</v>
      </c>
      <c r="D14" s="32">
        <v>6</v>
      </c>
      <c r="E14" s="32" t="s">
        <v>16</v>
      </c>
      <c r="F14" s="28">
        <v>0</v>
      </c>
      <c r="G14" s="28">
        <v>0</v>
      </c>
      <c r="H14" s="28">
        <v>0</v>
      </c>
      <c r="I14" s="29">
        <f t="shared" si="3"/>
        <v>0</v>
      </c>
      <c r="J14" s="28">
        <v>0</v>
      </c>
      <c r="K14" s="28">
        <v>0</v>
      </c>
      <c r="L14" s="28">
        <v>0</v>
      </c>
      <c r="M14" s="29">
        <f t="shared" si="0"/>
        <v>0</v>
      </c>
      <c r="N14" s="28">
        <v>0</v>
      </c>
      <c r="O14" s="28">
        <v>0</v>
      </c>
      <c r="P14" s="28">
        <v>0</v>
      </c>
      <c r="Q14" s="29">
        <f t="shared" si="4"/>
        <v>0</v>
      </c>
      <c r="R14" s="28">
        <v>0</v>
      </c>
      <c r="S14" s="28">
        <v>0</v>
      </c>
      <c r="T14" s="28">
        <v>0</v>
      </c>
      <c r="U14" s="29">
        <f t="shared" si="1"/>
        <v>0</v>
      </c>
      <c r="V14" s="28">
        <v>0</v>
      </c>
      <c r="W14" s="28">
        <v>0</v>
      </c>
      <c r="X14" s="28">
        <v>0</v>
      </c>
      <c r="Y14" s="29">
        <f t="shared" si="2"/>
        <v>0</v>
      </c>
      <c r="Z14" s="30">
        <f t="shared" si="5"/>
        <v>0</v>
      </c>
      <c r="AA14" s="8"/>
      <c r="AB14" s="8"/>
      <c r="AC14" s="7"/>
      <c r="AD14" s="7"/>
      <c r="AE14" s="7"/>
    </row>
    <row r="15" spans="1:31" ht="15.75" customHeight="1" x14ac:dyDescent="0.25">
      <c r="A15" s="2" t="s">
        <v>494</v>
      </c>
      <c r="B15" s="3" t="s">
        <v>495</v>
      </c>
      <c r="C15" s="2" t="s">
        <v>15</v>
      </c>
      <c r="D15" s="32">
        <v>6</v>
      </c>
      <c r="E15" s="32" t="s">
        <v>16</v>
      </c>
      <c r="F15" s="28">
        <v>0</v>
      </c>
      <c r="G15" s="28">
        <v>0</v>
      </c>
      <c r="H15" s="28">
        <v>0</v>
      </c>
      <c r="I15" s="29">
        <f t="shared" si="3"/>
        <v>0</v>
      </c>
      <c r="J15" s="28">
        <v>0</v>
      </c>
      <c r="K15" s="28">
        <v>0</v>
      </c>
      <c r="L15" s="28">
        <v>0</v>
      </c>
      <c r="M15" s="29">
        <f t="shared" si="0"/>
        <v>0</v>
      </c>
      <c r="N15" s="28">
        <v>0</v>
      </c>
      <c r="O15" s="28">
        <v>0</v>
      </c>
      <c r="P15" s="28">
        <v>0</v>
      </c>
      <c r="Q15" s="29">
        <f t="shared" si="4"/>
        <v>0</v>
      </c>
      <c r="R15" s="28">
        <v>0</v>
      </c>
      <c r="S15" s="28">
        <v>0</v>
      </c>
      <c r="T15" s="28">
        <v>0</v>
      </c>
      <c r="U15" s="29">
        <f t="shared" si="1"/>
        <v>0</v>
      </c>
      <c r="V15" s="28">
        <v>0</v>
      </c>
      <c r="W15" s="28">
        <v>0</v>
      </c>
      <c r="X15" s="28">
        <v>0</v>
      </c>
      <c r="Y15" s="29">
        <f t="shared" si="2"/>
        <v>0</v>
      </c>
      <c r="Z15" s="30">
        <f t="shared" si="5"/>
        <v>0</v>
      </c>
      <c r="AA15" s="10"/>
      <c r="AB15" s="8"/>
      <c r="AC15" s="8"/>
      <c r="AD15" s="6"/>
      <c r="AE15" s="7"/>
    </row>
    <row r="16" spans="1:31" ht="15.75" customHeight="1" x14ac:dyDescent="0.25">
      <c r="A16" s="2" t="s">
        <v>488</v>
      </c>
      <c r="B16" s="3" t="s">
        <v>489</v>
      </c>
      <c r="C16" s="2" t="s">
        <v>15</v>
      </c>
      <c r="D16" s="32">
        <v>6</v>
      </c>
      <c r="E16" s="32" t="s">
        <v>16</v>
      </c>
      <c r="F16" s="28">
        <v>0</v>
      </c>
      <c r="G16" s="28">
        <v>0</v>
      </c>
      <c r="H16" s="28">
        <v>0</v>
      </c>
      <c r="I16" s="29">
        <f t="shared" si="3"/>
        <v>0</v>
      </c>
      <c r="J16" s="28">
        <v>0</v>
      </c>
      <c r="K16" s="28">
        <v>0</v>
      </c>
      <c r="L16" s="28">
        <v>0</v>
      </c>
      <c r="M16" s="29">
        <f t="shared" si="0"/>
        <v>0</v>
      </c>
      <c r="N16" s="28">
        <v>0</v>
      </c>
      <c r="O16" s="28">
        <v>0</v>
      </c>
      <c r="P16" s="28">
        <v>0</v>
      </c>
      <c r="Q16" s="29">
        <f t="shared" si="4"/>
        <v>0</v>
      </c>
      <c r="R16" s="28">
        <v>0</v>
      </c>
      <c r="S16" s="28">
        <v>0</v>
      </c>
      <c r="T16" s="28">
        <v>0</v>
      </c>
      <c r="U16" s="29">
        <f t="shared" si="1"/>
        <v>0</v>
      </c>
      <c r="V16" s="28">
        <v>0</v>
      </c>
      <c r="W16" s="28">
        <v>0</v>
      </c>
      <c r="X16" s="28">
        <v>0</v>
      </c>
      <c r="Y16" s="29">
        <f t="shared" si="2"/>
        <v>0</v>
      </c>
      <c r="Z16" s="30">
        <f t="shared" si="5"/>
        <v>0</v>
      </c>
      <c r="AA16" s="6"/>
      <c r="AB16" s="6"/>
      <c r="AC16" s="7"/>
      <c r="AD16" s="7"/>
      <c r="AE16" s="7"/>
    </row>
    <row r="17" spans="1:31" ht="15.75" customHeight="1" x14ac:dyDescent="0.25">
      <c r="A17" s="2" t="s">
        <v>510</v>
      </c>
      <c r="B17" s="3" t="s">
        <v>511</v>
      </c>
      <c r="C17" s="2" t="s">
        <v>15</v>
      </c>
      <c r="D17" s="32">
        <v>6</v>
      </c>
      <c r="E17" s="32" t="s">
        <v>33</v>
      </c>
      <c r="F17" s="28">
        <v>0</v>
      </c>
      <c r="G17" s="28">
        <v>0</v>
      </c>
      <c r="H17" s="28">
        <v>0</v>
      </c>
      <c r="I17" s="29">
        <f t="shared" si="3"/>
        <v>0</v>
      </c>
      <c r="J17" s="28">
        <v>0</v>
      </c>
      <c r="K17" s="28">
        <v>0</v>
      </c>
      <c r="L17" s="28">
        <v>0</v>
      </c>
      <c r="M17" s="29">
        <f t="shared" si="0"/>
        <v>0</v>
      </c>
      <c r="N17" s="28">
        <v>0</v>
      </c>
      <c r="O17" s="28">
        <v>0</v>
      </c>
      <c r="P17" s="28">
        <v>0</v>
      </c>
      <c r="Q17" s="29">
        <f t="shared" si="4"/>
        <v>0</v>
      </c>
      <c r="R17" s="28">
        <v>0</v>
      </c>
      <c r="S17" s="28">
        <v>0</v>
      </c>
      <c r="T17" s="28">
        <v>0</v>
      </c>
      <c r="U17" s="29">
        <f t="shared" si="1"/>
        <v>0</v>
      </c>
      <c r="V17" s="28">
        <v>0</v>
      </c>
      <c r="W17" s="28">
        <v>0</v>
      </c>
      <c r="X17" s="28">
        <v>0</v>
      </c>
      <c r="Y17" s="29">
        <f t="shared" si="2"/>
        <v>0</v>
      </c>
      <c r="Z17" s="30">
        <f t="shared" si="5"/>
        <v>0</v>
      </c>
      <c r="AA17" s="6"/>
      <c r="AB17" s="6"/>
      <c r="AC17" s="6"/>
      <c r="AD17" s="6"/>
      <c r="AE17" s="7"/>
    </row>
    <row r="18" spans="1:31" ht="15.75" customHeight="1" x14ac:dyDescent="0.25">
      <c r="A18" s="2" t="s">
        <v>506</v>
      </c>
      <c r="B18" s="3" t="s">
        <v>507</v>
      </c>
      <c r="C18" s="2" t="s">
        <v>15</v>
      </c>
      <c r="D18" s="32">
        <v>6</v>
      </c>
      <c r="E18" s="32" t="s">
        <v>33</v>
      </c>
      <c r="F18" s="28">
        <v>0</v>
      </c>
      <c r="G18" s="28">
        <v>0</v>
      </c>
      <c r="H18" s="28">
        <v>0</v>
      </c>
      <c r="I18" s="29">
        <f t="shared" si="3"/>
        <v>0</v>
      </c>
      <c r="J18" s="28">
        <v>0</v>
      </c>
      <c r="K18" s="28">
        <v>0</v>
      </c>
      <c r="L18" s="28">
        <v>0</v>
      </c>
      <c r="M18" s="29">
        <f t="shared" si="0"/>
        <v>0</v>
      </c>
      <c r="N18" s="28">
        <v>0</v>
      </c>
      <c r="O18" s="28">
        <v>0</v>
      </c>
      <c r="P18" s="28">
        <v>0</v>
      </c>
      <c r="Q18" s="29">
        <f t="shared" si="4"/>
        <v>0</v>
      </c>
      <c r="R18" s="28">
        <v>0</v>
      </c>
      <c r="S18" s="28">
        <v>0</v>
      </c>
      <c r="T18" s="28">
        <v>0</v>
      </c>
      <c r="U18" s="29">
        <f t="shared" si="1"/>
        <v>0</v>
      </c>
      <c r="V18" s="28">
        <v>0</v>
      </c>
      <c r="W18" s="28">
        <v>0</v>
      </c>
      <c r="X18" s="28">
        <v>0</v>
      </c>
      <c r="Y18" s="29">
        <f t="shared" si="2"/>
        <v>0</v>
      </c>
      <c r="Z18" s="30">
        <f t="shared" si="5"/>
        <v>0</v>
      </c>
    </row>
    <row r="19" spans="1:31" ht="15.75" customHeight="1" x14ac:dyDescent="0.25">
      <c r="A19" s="2" t="s">
        <v>502</v>
      </c>
      <c r="B19" s="3" t="s">
        <v>503</v>
      </c>
      <c r="C19" s="2" t="s">
        <v>15</v>
      </c>
      <c r="D19" s="32">
        <v>6</v>
      </c>
      <c r="E19" s="32" t="s">
        <v>33</v>
      </c>
      <c r="F19" s="28">
        <v>0</v>
      </c>
      <c r="G19" s="28">
        <v>0</v>
      </c>
      <c r="H19" s="28">
        <v>0</v>
      </c>
      <c r="I19" s="29">
        <f t="shared" si="3"/>
        <v>0</v>
      </c>
      <c r="J19" s="28">
        <v>0</v>
      </c>
      <c r="K19" s="28">
        <v>0</v>
      </c>
      <c r="L19" s="28">
        <v>0</v>
      </c>
      <c r="M19" s="29">
        <f t="shared" si="0"/>
        <v>0</v>
      </c>
      <c r="N19" s="28">
        <v>0</v>
      </c>
      <c r="O19" s="28">
        <v>0</v>
      </c>
      <c r="P19" s="28">
        <v>0</v>
      </c>
      <c r="Q19" s="29">
        <f t="shared" si="4"/>
        <v>0</v>
      </c>
      <c r="R19" s="28">
        <v>0</v>
      </c>
      <c r="S19" s="28">
        <v>0</v>
      </c>
      <c r="T19" s="28">
        <v>0</v>
      </c>
      <c r="U19" s="29">
        <f t="shared" si="1"/>
        <v>0</v>
      </c>
      <c r="V19" s="28">
        <v>0</v>
      </c>
      <c r="W19" s="28">
        <v>0</v>
      </c>
      <c r="X19" s="28">
        <v>0</v>
      </c>
      <c r="Y19" s="29">
        <f t="shared" si="2"/>
        <v>0</v>
      </c>
      <c r="Z19" s="30">
        <f t="shared" si="5"/>
        <v>0</v>
      </c>
    </row>
    <row r="20" spans="1:31" ht="15.75" customHeight="1" x14ac:dyDescent="0.25">
      <c r="A20" s="2" t="s">
        <v>490</v>
      </c>
      <c r="B20" s="12" t="s">
        <v>491</v>
      </c>
      <c r="C20" s="2" t="s">
        <v>15</v>
      </c>
      <c r="D20" s="32">
        <v>6</v>
      </c>
      <c r="E20" s="32" t="s">
        <v>33</v>
      </c>
      <c r="F20" s="28">
        <v>0</v>
      </c>
      <c r="G20" s="28">
        <v>0</v>
      </c>
      <c r="H20" s="28">
        <v>0</v>
      </c>
      <c r="I20" s="29">
        <f t="shared" si="3"/>
        <v>0</v>
      </c>
      <c r="J20" s="28">
        <v>0</v>
      </c>
      <c r="K20" s="28">
        <v>0</v>
      </c>
      <c r="L20" s="28">
        <v>0</v>
      </c>
      <c r="M20" s="29">
        <f t="shared" si="0"/>
        <v>0</v>
      </c>
      <c r="N20" s="28">
        <v>0</v>
      </c>
      <c r="O20" s="28">
        <v>0</v>
      </c>
      <c r="P20" s="28">
        <v>0</v>
      </c>
      <c r="Q20" s="29">
        <f t="shared" si="4"/>
        <v>0</v>
      </c>
      <c r="R20" s="28">
        <v>0</v>
      </c>
      <c r="S20" s="28">
        <v>0</v>
      </c>
      <c r="T20" s="28">
        <v>0</v>
      </c>
      <c r="U20" s="29">
        <f t="shared" si="1"/>
        <v>0</v>
      </c>
      <c r="V20" s="28">
        <v>0</v>
      </c>
      <c r="W20" s="28">
        <v>0</v>
      </c>
      <c r="X20" s="28">
        <v>0</v>
      </c>
      <c r="Y20" s="29">
        <f t="shared" si="2"/>
        <v>0</v>
      </c>
      <c r="Z20" s="30">
        <f t="shared" si="5"/>
        <v>0</v>
      </c>
    </row>
    <row r="21" spans="1:31" ht="15.75" customHeight="1" x14ac:dyDescent="0.25">
      <c r="A21" s="2" t="s">
        <v>470</v>
      </c>
      <c r="B21" s="3" t="s">
        <v>471</v>
      </c>
      <c r="C21" s="2" t="s">
        <v>15</v>
      </c>
      <c r="D21" s="32">
        <v>6</v>
      </c>
      <c r="E21" s="32" t="s">
        <v>33</v>
      </c>
      <c r="F21" s="28">
        <v>0</v>
      </c>
      <c r="G21" s="28">
        <v>0</v>
      </c>
      <c r="H21" s="28">
        <v>0</v>
      </c>
      <c r="I21" s="29">
        <f t="shared" si="3"/>
        <v>0</v>
      </c>
      <c r="J21" s="28">
        <v>0</v>
      </c>
      <c r="K21" s="28">
        <v>0</v>
      </c>
      <c r="L21" s="28">
        <v>0</v>
      </c>
      <c r="M21" s="29">
        <f t="shared" si="0"/>
        <v>0</v>
      </c>
      <c r="N21" s="28">
        <v>0</v>
      </c>
      <c r="O21" s="28">
        <v>0</v>
      </c>
      <c r="P21" s="28">
        <v>0</v>
      </c>
      <c r="Q21" s="29">
        <f t="shared" si="4"/>
        <v>0</v>
      </c>
      <c r="R21" s="28">
        <v>0</v>
      </c>
      <c r="S21" s="28">
        <v>0</v>
      </c>
      <c r="T21" s="28">
        <v>0</v>
      </c>
      <c r="U21" s="29">
        <f t="shared" si="1"/>
        <v>0</v>
      </c>
      <c r="V21" s="28">
        <v>0</v>
      </c>
      <c r="W21" s="28">
        <v>0</v>
      </c>
      <c r="X21" s="28">
        <v>0</v>
      </c>
      <c r="Y21" s="29">
        <f t="shared" si="2"/>
        <v>0</v>
      </c>
      <c r="Z21" s="30">
        <f t="shared" si="5"/>
        <v>0</v>
      </c>
    </row>
    <row r="22" spans="1:31" ht="15.75" customHeight="1" x14ac:dyDescent="0.25">
      <c r="A22" s="2" t="s">
        <v>518</v>
      </c>
      <c r="B22" s="3" t="s">
        <v>519</v>
      </c>
      <c r="C22" s="2" t="s">
        <v>15</v>
      </c>
      <c r="D22" s="32">
        <v>6</v>
      </c>
      <c r="E22" s="32" t="s">
        <v>33</v>
      </c>
      <c r="F22" s="28">
        <v>0</v>
      </c>
      <c r="G22" s="28">
        <v>0</v>
      </c>
      <c r="H22" s="28">
        <v>0</v>
      </c>
      <c r="I22" s="29">
        <f t="shared" si="3"/>
        <v>0</v>
      </c>
      <c r="J22" s="28">
        <v>0</v>
      </c>
      <c r="K22" s="28">
        <v>0</v>
      </c>
      <c r="L22" s="28">
        <v>0</v>
      </c>
      <c r="M22" s="29">
        <f t="shared" si="0"/>
        <v>0</v>
      </c>
      <c r="N22" s="28">
        <v>0</v>
      </c>
      <c r="O22" s="28">
        <v>0</v>
      </c>
      <c r="P22" s="28">
        <v>0</v>
      </c>
      <c r="Q22" s="29">
        <f t="shared" si="4"/>
        <v>0</v>
      </c>
      <c r="R22" s="28">
        <v>0</v>
      </c>
      <c r="S22" s="28">
        <v>0</v>
      </c>
      <c r="T22" s="28">
        <v>0</v>
      </c>
      <c r="U22" s="29">
        <f t="shared" si="1"/>
        <v>0</v>
      </c>
      <c r="V22" s="28">
        <v>0</v>
      </c>
      <c r="W22" s="28">
        <v>0</v>
      </c>
      <c r="X22" s="28">
        <v>0</v>
      </c>
      <c r="Y22" s="29">
        <f t="shared" si="2"/>
        <v>0</v>
      </c>
      <c r="Z22" s="30">
        <f t="shared" si="5"/>
        <v>0</v>
      </c>
    </row>
    <row r="23" spans="1:31" ht="15.75" customHeight="1" x14ac:dyDescent="0.25">
      <c r="A23" s="2" t="s">
        <v>504</v>
      </c>
      <c r="B23" s="3" t="s">
        <v>505</v>
      </c>
      <c r="C23" s="2" t="s">
        <v>15</v>
      </c>
      <c r="D23" s="32">
        <v>6</v>
      </c>
      <c r="E23" s="32" t="s">
        <v>33</v>
      </c>
      <c r="F23" s="28">
        <v>0</v>
      </c>
      <c r="G23" s="28">
        <v>0</v>
      </c>
      <c r="H23" s="28">
        <v>0</v>
      </c>
      <c r="I23" s="29">
        <f t="shared" si="3"/>
        <v>0</v>
      </c>
      <c r="J23" s="28">
        <v>0</v>
      </c>
      <c r="K23" s="28">
        <v>0</v>
      </c>
      <c r="L23" s="28">
        <v>0</v>
      </c>
      <c r="M23" s="29">
        <f t="shared" si="0"/>
        <v>0</v>
      </c>
      <c r="N23" s="28">
        <v>0</v>
      </c>
      <c r="O23" s="28">
        <v>0</v>
      </c>
      <c r="P23" s="28">
        <v>0</v>
      </c>
      <c r="Q23" s="29">
        <f t="shared" si="4"/>
        <v>0</v>
      </c>
      <c r="R23" s="28">
        <v>0</v>
      </c>
      <c r="S23" s="28">
        <v>0</v>
      </c>
      <c r="T23" s="28">
        <v>0</v>
      </c>
      <c r="U23" s="29">
        <f t="shared" si="1"/>
        <v>0</v>
      </c>
      <c r="V23" s="28">
        <v>0</v>
      </c>
      <c r="W23" s="28">
        <v>0</v>
      </c>
      <c r="X23" s="28">
        <v>0</v>
      </c>
      <c r="Y23" s="29">
        <f t="shared" si="2"/>
        <v>0</v>
      </c>
      <c r="Z23" s="30">
        <f t="shared" si="5"/>
        <v>0</v>
      </c>
    </row>
    <row r="24" spans="1:31" ht="15.75" customHeight="1" x14ac:dyDescent="0.25">
      <c r="A24" s="2" t="s">
        <v>480</v>
      </c>
      <c r="B24" s="3" t="s">
        <v>481</v>
      </c>
      <c r="C24" s="2" t="s">
        <v>15</v>
      </c>
      <c r="D24" s="32">
        <v>6</v>
      </c>
      <c r="E24" s="32" t="s">
        <v>33</v>
      </c>
      <c r="F24" s="28">
        <v>0</v>
      </c>
      <c r="G24" s="28">
        <v>0</v>
      </c>
      <c r="H24" s="28">
        <v>0</v>
      </c>
      <c r="I24" s="29">
        <f t="shared" si="3"/>
        <v>0</v>
      </c>
      <c r="J24" s="28">
        <v>0</v>
      </c>
      <c r="K24" s="28">
        <v>0</v>
      </c>
      <c r="L24" s="28">
        <v>0</v>
      </c>
      <c r="M24" s="29">
        <f t="shared" si="0"/>
        <v>0</v>
      </c>
      <c r="N24" s="28">
        <v>0</v>
      </c>
      <c r="O24" s="28">
        <v>0</v>
      </c>
      <c r="P24" s="28">
        <v>0</v>
      </c>
      <c r="Q24" s="29">
        <f t="shared" si="4"/>
        <v>0</v>
      </c>
      <c r="R24" s="28">
        <v>0</v>
      </c>
      <c r="S24" s="28">
        <v>0</v>
      </c>
      <c r="T24" s="28">
        <v>0</v>
      </c>
      <c r="U24" s="29">
        <f t="shared" si="1"/>
        <v>0</v>
      </c>
      <c r="V24" s="28">
        <v>0</v>
      </c>
      <c r="W24" s="28">
        <v>0</v>
      </c>
      <c r="X24" s="28">
        <v>0</v>
      </c>
      <c r="Y24" s="29">
        <f t="shared" si="2"/>
        <v>0</v>
      </c>
      <c r="Z24" s="30">
        <f t="shared" si="5"/>
        <v>0</v>
      </c>
    </row>
    <row r="25" spans="1:31" ht="15.75" customHeight="1" x14ac:dyDescent="0.25">
      <c r="A25" s="2" t="s">
        <v>522</v>
      </c>
      <c r="B25" s="3" t="s">
        <v>523</v>
      </c>
      <c r="C25" s="2" t="s">
        <v>15</v>
      </c>
      <c r="D25" s="32">
        <v>6</v>
      </c>
      <c r="E25" s="32" t="s">
        <v>33</v>
      </c>
      <c r="F25" s="28">
        <v>0</v>
      </c>
      <c r="G25" s="28">
        <v>0</v>
      </c>
      <c r="H25" s="28">
        <v>0</v>
      </c>
      <c r="I25" s="29">
        <f t="shared" si="3"/>
        <v>0</v>
      </c>
      <c r="J25" s="28">
        <v>0</v>
      </c>
      <c r="K25" s="28">
        <v>0</v>
      </c>
      <c r="L25" s="28">
        <v>0</v>
      </c>
      <c r="M25" s="29">
        <f t="shared" si="0"/>
        <v>0</v>
      </c>
      <c r="N25" s="28">
        <v>0</v>
      </c>
      <c r="O25" s="28">
        <v>0</v>
      </c>
      <c r="P25" s="28">
        <v>0</v>
      </c>
      <c r="Q25" s="29">
        <f t="shared" si="4"/>
        <v>0</v>
      </c>
      <c r="R25" s="28">
        <v>0</v>
      </c>
      <c r="S25" s="28">
        <v>0</v>
      </c>
      <c r="T25" s="28">
        <v>0</v>
      </c>
      <c r="U25" s="29">
        <f t="shared" si="1"/>
        <v>0</v>
      </c>
      <c r="V25" s="28">
        <v>0</v>
      </c>
      <c r="W25" s="28">
        <v>0</v>
      </c>
      <c r="X25" s="28">
        <v>0</v>
      </c>
      <c r="Y25" s="29">
        <f t="shared" si="2"/>
        <v>0</v>
      </c>
      <c r="Z25" s="30">
        <f t="shared" si="5"/>
        <v>0</v>
      </c>
    </row>
    <row r="26" spans="1:31" ht="15.75" customHeight="1" x14ac:dyDescent="0.25">
      <c r="A26" s="2" t="s">
        <v>486</v>
      </c>
      <c r="B26" s="3" t="s">
        <v>487</v>
      </c>
      <c r="C26" s="2" t="s">
        <v>15</v>
      </c>
      <c r="D26" s="32">
        <v>6</v>
      </c>
      <c r="E26" s="32" t="s">
        <v>33</v>
      </c>
      <c r="F26" s="28">
        <v>0</v>
      </c>
      <c r="G26" s="28">
        <v>0</v>
      </c>
      <c r="H26" s="28">
        <v>0</v>
      </c>
      <c r="I26" s="29">
        <f t="shared" si="3"/>
        <v>0</v>
      </c>
      <c r="J26" s="28">
        <v>0</v>
      </c>
      <c r="K26" s="28">
        <v>0</v>
      </c>
      <c r="L26" s="28">
        <v>0</v>
      </c>
      <c r="M26" s="29">
        <f t="shared" si="0"/>
        <v>0</v>
      </c>
      <c r="N26" s="28">
        <v>0</v>
      </c>
      <c r="O26" s="28">
        <v>0</v>
      </c>
      <c r="P26" s="28">
        <v>0</v>
      </c>
      <c r="Q26" s="29">
        <f t="shared" si="4"/>
        <v>0</v>
      </c>
      <c r="R26" s="28">
        <v>0</v>
      </c>
      <c r="S26" s="28">
        <v>0</v>
      </c>
      <c r="T26" s="28">
        <v>0</v>
      </c>
      <c r="U26" s="29">
        <f t="shared" si="1"/>
        <v>0</v>
      </c>
      <c r="V26" s="28">
        <v>0</v>
      </c>
      <c r="W26" s="28">
        <v>0</v>
      </c>
      <c r="X26" s="28">
        <v>0</v>
      </c>
      <c r="Y26" s="29">
        <f t="shared" si="2"/>
        <v>0</v>
      </c>
      <c r="Z26" s="30">
        <f t="shared" si="5"/>
        <v>0</v>
      </c>
    </row>
    <row r="27" spans="1:31" ht="15.75" customHeight="1" x14ac:dyDescent="0.25">
      <c r="A27" s="2" t="s">
        <v>492</v>
      </c>
      <c r="B27" s="3" t="s">
        <v>493</v>
      </c>
      <c r="C27" s="2" t="s">
        <v>15</v>
      </c>
      <c r="D27" s="32">
        <v>6</v>
      </c>
      <c r="E27" s="32" t="s">
        <v>33</v>
      </c>
      <c r="F27" s="28">
        <v>0</v>
      </c>
      <c r="G27" s="28">
        <v>0</v>
      </c>
      <c r="H27" s="28">
        <v>0</v>
      </c>
      <c r="I27" s="29">
        <f t="shared" si="3"/>
        <v>0</v>
      </c>
      <c r="J27" s="28">
        <v>0</v>
      </c>
      <c r="K27" s="28">
        <v>0</v>
      </c>
      <c r="L27" s="28">
        <v>0</v>
      </c>
      <c r="M27" s="29">
        <f t="shared" si="0"/>
        <v>0</v>
      </c>
      <c r="N27" s="28">
        <v>0</v>
      </c>
      <c r="O27" s="28">
        <v>0</v>
      </c>
      <c r="P27" s="28">
        <v>0</v>
      </c>
      <c r="Q27" s="29">
        <f t="shared" si="4"/>
        <v>0</v>
      </c>
      <c r="R27" s="28">
        <v>0</v>
      </c>
      <c r="S27" s="28">
        <v>0</v>
      </c>
      <c r="T27" s="28">
        <v>0</v>
      </c>
      <c r="U27" s="29">
        <f t="shared" si="1"/>
        <v>0</v>
      </c>
      <c r="V27" s="28">
        <v>0</v>
      </c>
      <c r="W27" s="28">
        <v>0</v>
      </c>
      <c r="X27" s="28">
        <v>0</v>
      </c>
      <c r="Y27" s="29">
        <f t="shared" si="2"/>
        <v>0</v>
      </c>
      <c r="Z27" s="30">
        <f t="shared" si="5"/>
        <v>0</v>
      </c>
    </row>
    <row r="28" spans="1:31" ht="15.75" customHeight="1" x14ac:dyDescent="0.25">
      <c r="A28" s="2" t="s">
        <v>472</v>
      </c>
      <c r="B28" s="3" t="s">
        <v>473</v>
      </c>
      <c r="C28" s="2" t="s">
        <v>15</v>
      </c>
      <c r="D28" s="32">
        <v>6</v>
      </c>
      <c r="E28" s="32" t="s">
        <v>33</v>
      </c>
      <c r="F28" s="28">
        <v>0</v>
      </c>
      <c r="G28" s="28">
        <v>0</v>
      </c>
      <c r="H28" s="28">
        <v>0</v>
      </c>
      <c r="I28" s="29">
        <f t="shared" si="3"/>
        <v>0</v>
      </c>
      <c r="J28" s="28">
        <v>0</v>
      </c>
      <c r="K28" s="28">
        <v>0</v>
      </c>
      <c r="L28" s="28">
        <v>0</v>
      </c>
      <c r="M28" s="29">
        <f t="shared" si="0"/>
        <v>0</v>
      </c>
      <c r="N28" s="28">
        <v>0</v>
      </c>
      <c r="O28" s="28">
        <v>0</v>
      </c>
      <c r="P28" s="28">
        <v>0</v>
      </c>
      <c r="Q28" s="29">
        <f t="shared" si="4"/>
        <v>0</v>
      </c>
      <c r="R28" s="28">
        <v>0</v>
      </c>
      <c r="S28" s="28">
        <v>0</v>
      </c>
      <c r="T28" s="28">
        <v>0</v>
      </c>
      <c r="U28" s="29">
        <f t="shared" si="1"/>
        <v>0</v>
      </c>
      <c r="V28" s="28">
        <v>0</v>
      </c>
      <c r="W28" s="28">
        <v>0</v>
      </c>
      <c r="X28" s="28">
        <v>0</v>
      </c>
      <c r="Y28" s="29">
        <f t="shared" si="2"/>
        <v>0</v>
      </c>
      <c r="Z28" s="30">
        <f t="shared" si="5"/>
        <v>0</v>
      </c>
    </row>
    <row r="29" spans="1:31" ht="15.75" customHeight="1" x14ac:dyDescent="0.25">
      <c r="A29" s="2" t="s">
        <v>508</v>
      </c>
      <c r="B29" s="3" t="s">
        <v>509</v>
      </c>
      <c r="C29" s="2" t="s">
        <v>15</v>
      </c>
      <c r="D29" s="32">
        <v>6</v>
      </c>
      <c r="E29" s="32" t="s">
        <v>33</v>
      </c>
      <c r="F29" s="28">
        <v>0</v>
      </c>
      <c r="G29" s="28">
        <v>0</v>
      </c>
      <c r="H29" s="28">
        <v>0</v>
      </c>
      <c r="I29" s="29">
        <f t="shared" si="3"/>
        <v>0</v>
      </c>
      <c r="J29" s="28">
        <v>0</v>
      </c>
      <c r="K29" s="28">
        <v>0</v>
      </c>
      <c r="L29" s="28">
        <v>0</v>
      </c>
      <c r="M29" s="29">
        <f t="shared" si="0"/>
        <v>0</v>
      </c>
      <c r="N29" s="28">
        <v>0</v>
      </c>
      <c r="O29" s="28">
        <v>0</v>
      </c>
      <c r="P29" s="28">
        <v>0</v>
      </c>
      <c r="Q29" s="29">
        <f t="shared" si="4"/>
        <v>0</v>
      </c>
      <c r="R29" s="28">
        <v>0</v>
      </c>
      <c r="S29" s="28">
        <v>0</v>
      </c>
      <c r="T29" s="28">
        <v>0</v>
      </c>
      <c r="U29" s="29">
        <f t="shared" si="1"/>
        <v>0</v>
      </c>
      <c r="V29" s="28">
        <v>0</v>
      </c>
      <c r="W29" s="28">
        <v>0</v>
      </c>
      <c r="X29" s="28">
        <v>0</v>
      </c>
      <c r="Y29" s="29">
        <f t="shared" si="2"/>
        <v>0</v>
      </c>
      <c r="Z29" s="30">
        <f t="shared" si="5"/>
        <v>0</v>
      </c>
    </row>
    <row r="30" spans="1:31" ht="15.75" customHeight="1" x14ac:dyDescent="0.25">
      <c r="A30" s="2" t="s">
        <v>512</v>
      </c>
      <c r="B30" s="3" t="s">
        <v>513</v>
      </c>
      <c r="C30" s="2" t="s">
        <v>15</v>
      </c>
      <c r="D30" s="32">
        <v>6</v>
      </c>
      <c r="E30" s="32" t="s">
        <v>33</v>
      </c>
      <c r="F30" s="28">
        <v>0</v>
      </c>
      <c r="G30" s="28">
        <v>0</v>
      </c>
      <c r="H30" s="28">
        <v>0</v>
      </c>
      <c r="I30" s="29">
        <f t="shared" si="3"/>
        <v>0</v>
      </c>
      <c r="J30" s="28">
        <v>0</v>
      </c>
      <c r="K30" s="28">
        <v>0</v>
      </c>
      <c r="L30" s="28">
        <v>0</v>
      </c>
      <c r="M30" s="29">
        <f t="shared" si="0"/>
        <v>0</v>
      </c>
      <c r="N30" s="28">
        <v>0</v>
      </c>
      <c r="O30" s="28">
        <v>0</v>
      </c>
      <c r="P30" s="28">
        <v>0</v>
      </c>
      <c r="Q30" s="29">
        <f t="shared" si="4"/>
        <v>0</v>
      </c>
      <c r="R30" s="28">
        <v>0</v>
      </c>
      <c r="S30" s="28">
        <v>0</v>
      </c>
      <c r="T30" s="28">
        <v>0</v>
      </c>
      <c r="U30" s="29">
        <f t="shared" si="1"/>
        <v>0</v>
      </c>
      <c r="V30" s="28">
        <v>0</v>
      </c>
      <c r="W30" s="28">
        <v>0</v>
      </c>
      <c r="X30" s="28">
        <v>0</v>
      </c>
      <c r="Y30" s="29">
        <f t="shared" si="2"/>
        <v>0</v>
      </c>
      <c r="Z30" s="30">
        <f t="shared" si="5"/>
        <v>0</v>
      </c>
    </row>
  </sheetData>
  <sortState xmlns:xlrd2="http://schemas.microsoft.com/office/spreadsheetml/2017/richdata2" ref="A3:Z30">
    <sortCondition ref="E1:E30"/>
  </sortState>
  <mergeCells count="5">
    <mergeCell ref="F1:I1"/>
    <mergeCell ref="J1:M1"/>
    <mergeCell ref="N1:Q1"/>
    <mergeCell ref="R1:U1"/>
    <mergeCell ref="V1:Y1"/>
  </mergeCells>
  <conditionalFormatting sqref="F3:H30">
    <cfRule type="cellIs" dxfId="567" priority="53" operator="lessThan">
      <formula>7.9</formula>
    </cfRule>
  </conditionalFormatting>
  <conditionalFormatting sqref="F3:H30">
    <cfRule type="cellIs" dxfId="566" priority="54" operator="lessThan">
      <formula>7.4</formula>
    </cfRule>
  </conditionalFormatting>
  <conditionalFormatting sqref="F5:H6">
    <cfRule type="cellIs" dxfId="565" priority="55" operator="lessThan">
      <formula>6.9</formula>
    </cfRule>
  </conditionalFormatting>
  <conditionalFormatting sqref="I3:I30">
    <cfRule type="cellIs" dxfId="564" priority="56" operator="lessThan">
      <formula>7.9</formula>
    </cfRule>
    <cfRule type="cellIs" dxfId="563" priority="65" operator="lessThan">
      <formula>6.9</formula>
    </cfRule>
    <cfRule type="cellIs" dxfId="562" priority="66" operator="lessThan">
      <formula>7.4</formula>
    </cfRule>
    <cfRule type="cellIs" dxfId="561" priority="67" operator="lessThan">
      <formula>7.9</formula>
    </cfRule>
  </conditionalFormatting>
  <conditionalFormatting sqref="I3:I30">
    <cfRule type="cellIs" dxfId="560" priority="57" operator="lessThan">
      <formula>6.9</formula>
    </cfRule>
    <cfRule type="cellIs" dxfId="559" priority="58" operator="lessThan">
      <formula>7.4</formula>
    </cfRule>
    <cfRule type="cellIs" dxfId="558" priority="59" operator="lessThan">
      <formula>7.9</formula>
    </cfRule>
    <cfRule type="cellIs" dxfId="557" priority="60" operator="lessThan">
      <formula>6.9</formula>
    </cfRule>
    <cfRule type="cellIs" dxfId="556" priority="61" operator="lessThan">
      <formula>7.9</formula>
    </cfRule>
    <cfRule type="cellIs" dxfId="555" priority="62" operator="lessThan">
      <formula>7.4</formula>
    </cfRule>
    <cfRule type="cellIs" dxfId="554" priority="63" operator="lessThan">
      <formula>6.9</formula>
    </cfRule>
    <cfRule type="cellIs" dxfId="553" priority="64" operator="lessThan">
      <formula>7.9</formula>
    </cfRule>
  </conditionalFormatting>
  <conditionalFormatting sqref="M3:M30">
    <cfRule type="cellIs" dxfId="552" priority="68" operator="lessThan">
      <formula>7.9</formula>
    </cfRule>
    <cfRule type="cellIs" dxfId="551" priority="69" operator="lessThan">
      <formula>6.9</formula>
    </cfRule>
    <cfRule type="cellIs" dxfId="550" priority="70" operator="lessThan">
      <formula>7.4</formula>
    </cfRule>
    <cfRule type="cellIs" dxfId="549" priority="71" operator="lessThan">
      <formula>7.9</formula>
    </cfRule>
    <cfRule type="cellIs" dxfId="548" priority="72" operator="lessThan">
      <formula>6.9</formula>
    </cfRule>
    <cfRule type="cellIs" dxfId="547" priority="73" operator="lessThan">
      <formula>7.9</formula>
    </cfRule>
    <cfRule type="cellIs" dxfId="546" priority="74" operator="lessThan">
      <formula>7.4</formula>
    </cfRule>
    <cfRule type="cellIs" dxfId="545" priority="75" operator="lessThan">
      <formula>6.9</formula>
    </cfRule>
    <cfRule type="cellIs" dxfId="544" priority="76" operator="lessThan">
      <formula>7.9</formula>
    </cfRule>
    <cfRule type="cellIs" dxfId="543" priority="77" operator="lessThan">
      <formula>6.9</formula>
    </cfRule>
    <cfRule type="cellIs" dxfId="542" priority="78" operator="lessThan">
      <formula>7.4</formula>
    </cfRule>
    <cfRule type="cellIs" dxfId="541" priority="79" operator="lessThan">
      <formula>6.9</formula>
    </cfRule>
    <cfRule type="cellIs" dxfId="540" priority="80" operator="lessThan">
      <formula>7.4</formula>
    </cfRule>
    <cfRule type="cellIs" dxfId="539" priority="81" operator="lessThan">
      <formula>7.9</formula>
    </cfRule>
  </conditionalFormatting>
  <conditionalFormatting sqref="J3:L30">
    <cfRule type="cellIs" dxfId="538" priority="50" operator="lessThan">
      <formula>7.9</formula>
    </cfRule>
  </conditionalFormatting>
  <conditionalFormatting sqref="J3:L30">
    <cfRule type="cellIs" dxfId="537" priority="51" operator="lessThan">
      <formula>7.4</formula>
    </cfRule>
  </conditionalFormatting>
  <conditionalFormatting sqref="J5:L6">
    <cfRule type="cellIs" dxfId="536" priority="52" operator="lessThan">
      <formula>6.9</formula>
    </cfRule>
  </conditionalFormatting>
  <conditionalFormatting sqref="N3:P30">
    <cfRule type="cellIs" dxfId="535" priority="21" operator="lessThan">
      <formula>7.9</formula>
    </cfRule>
  </conditionalFormatting>
  <conditionalFormatting sqref="N3:P30">
    <cfRule type="cellIs" dxfId="534" priority="22" operator="lessThan">
      <formula>7.4</formula>
    </cfRule>
  </conditionalFormatting>
  <conditionalFormatting sqref="N5:P6">
    <cfRule type="cellIs" dxfId="533" priority="23" operator="lessThan">
      <formula>6.9</formula>
    </cfRule>
  </conditionalFormatting>
  <conditionalFormatting sqref="Q3:Q30">
    <cfRule type="cellIs" dxfId="532" priority="24" operator="lessThan">
      <formula>7.9</formula>
    </cfRule>
    <cfRule type="cellIs" dxfId="531" priority="33" operator="lessThan">
      <formula>6.9</formula>
    </cfRule>
    <cfRule type="cellIs" dxfId="530" priority="34" operator="lessThan">
      <formula>7.4</formula>
    </cfRule>
    <cfRule type="cellIs" dxfId="529" priority="35" operator="lessThan">
      <formula>7.9</formula>
    </cfRule>
  </conditionalFormatting>
  <conditionalFormatting sqref="Q3:Q30">
    <cfRule type="cellIs" dxfId="528" priority="25" operator="lessThan">
      <formula>6.9</formula>
    </cfRule>
    <cfRule type="cellIs" dxfId="527" priority="26" operator="lessThan">
      <formula>7.4</formula>
    </cfRule>
    <cfRule type="cellIs" dxfId="526" priority="27" operator="lessThan">
      <formula>7.9</formula>
    </cfRule>
    <cfRule type="cellIs" dxfId="525" priority="28" operator="lessThan">
      <formula>6.9</formula>
    </cfRule>
    <cfRule type="cellIs" dxfId="524" priority="29" operator="lessThan">
      <formula>7.9</formula>
    </cfRule>
    <cfRule type="cellIs" dxfId="523" priority="30" operator="lessThan">
      <formula>7.4</formula>
    </cfRule>
    <cfRule type="cellIs" dxfId="522" priority="31" operator="lessThan">
      <formula>6.9</formula>
    </cfRule>
    <cfRule type="cellIs" dxfId="521" priority="32" operator="lessThan">
      <formula>7.9</formula>
    </cfRule>
  </conditionalFormatting>
  <conditionalFormatting sqref="U3:U30">
    <cfRule type="cellIs" dxfId="520" priority="36" operator="lessThan">
      <formula>7.9</formula>
    </cfRule>
    <cfRule type="cellIs" dxfId="519" priority="37" operator="lessThan">
      <formula>6.9</formula>
    </cfRule>
    <cfRule type="cellIs" dxfId="518" priority="38" operator="lessThan">
      <formula>7.4</formula>
    </cfRule>
    <cfRule type="cellIs" dxfId="517" priority="39" operator="lessThan">
      <formula>7.9</formula>
    </cfRule>
    <cfRule type="cellIs" dxfId="516" priority="40" operator="lessThan">
      <formula>6.9</formula>
    </cfRule>
    <cfRule type="cellIs" dxfId="515" priority="41" operator="lessThan">
      <formula>7.9</formula>
    </cfRule>
    <cfRule type="cellIs" dxfId="514" priority="42" operator="lessThan">
      <formula>7.4</formula>
    </cfRule>
    <cfRule type="cellIs" dxfId="513" priority="43" operator="lessThan">
      <formula>6.9</formula>
    </cfRule>
    <cfRule type="cellIs" dxfId="512" priority="44" operator="lessThan">
      <formula>7.9</formula>
    </cfRule>
    <cfRule type="cellIs" dxfId="511" priority="45" operator="lessThan">
      <formula>6.9</formula>
    </cfRule>
    <cfRule type="cellIs" dxfId="510" priority="46" operator="lessThan">
      <formula>7.4</formula>
    </cfRule>
    <cfRule type="cellIs" dxfId="509" priority="47" operator="lessThan">
      <formula>6.9</formula>
    </cfRule>
    <cfRule type="cellIs" dxfId="508" priority="48" operator="lessThan">
      <formula>7.4</formula>
    </cfRule>
    <cfRule type="cellIs" dxfId="507" priority="49" operator="lessThan">
      <formula>7.9</formula>
    </cfRule>
  </conditionalFormatting>
  <conditionalFormatting sqref="R3:T30">
    <cfRule type="cellIs" dxfId="506" priority="18" operator="lessThan">
      <formula>7.9</formula>
    </cfRule>
  </conditionalFormatting>
  <conditionalFormatting sqref="R3:T30">
    <cfRule type="cellIs" dxfId="505" priority="19" operator="lessThan">
      <formula>7.4</formula>
    </cfRule>
  </conditionalFormatting>
  <conditionalFormatting sqref="R5:T6">
    <cfRule type="cellIs" dxfId="504" priority="20" operator="lessThan">
      <formula>6.9</formula>
    </cfRule>
  </conditionalFormatting>
  <conditionalFormatting sqref="Y3:Y30">
    <cfRule type="cellIs" dxfId="503" priority="4" operator="lessThan">
      <formula>7.9</formula>
    </cfRule>
    <cfRule type="cellIs" dxfId="502" priority="5" operator="lessThan">
      <formula>6.9</formula>
    </cfRule>
    <cfRule type="cellIs" dxfId="501" priority="6" operator="lessThan">
      <formula>7.4</formula>
    </cfRule>
    <cfRule type="cellIs" dxfId="500" priority="7" operator="lessThan">
      <formula>7.9</formula>
    </cfRule>
    <cfRule type="cellIs" dxfId="499" priority="8" operator="lessThan">
      <formula>6.9</formula>
    </cfRule>
    <cfRule type="cellIs" dxfId="498" priority="9" operator="lessThan">
      <formula>7.9</formula>
    </cfRule>
    <cfRule type="cellIs" dxfId="497" priority="10" operator="lessThan">
      <formula>7.4</formula>
    </cfRule>
    <cfRule type="cellIs" dxfId="496" priority="11" operator="lessThan">
      <formula>6.9</formula>
    </cfRule>
    <cfRule type="cellIs" dxfId="495" priority="12" operator="lessThan">
      <formula>7.9</formula>
    </cfRule>
    <cfRule type="cellIs" dxfId="494" priority="13" operator="lessThan">
      <formula>6.9</formula>
    </cfRule>
    <cfRule type="cellIs" dxfId="493" priority="14" operator="lessThan">
      <formula>7.4</formula>
    </cfRule>
    <cfRule type="cellIs" dxfId="492" priority="15" operator="lessThan">
      <formula>6.9</formula>
    </cfRule>
    <cfRule type="cellIs" dxfId="491" priority="16" operator="lessThan">
      <formula>7.4</formula>
    </cfRule>
    <cfRule type="cellIs" dxfId="490" priority="17" operator="lessThan">
      <formula>7.9</formula>
    </cfRule>
  </conditionalFormatting>
  <conditionalFormatting sqref="V3:X30">
    <cfRule type="cellIs" dxfId="489" priority="1" operator="lessThan">
      <formula>7.9</formula>
    </cfRule>
  </conditionalFormatting>
  <conditionalFormatting sqref="V3:X30">
    <cfRule type="cellIs" dxfId="488" priority="2" operator="lessThan">
      <formula>7.4</formula>
    </cfRule>
  </conditionalFormatting>
  <conditionalFormatting sqref="V5:X6">
    <cfRule type="cellIs" dxfId="487" priority="3" operator="lessThan">
      <formula>6.9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E33"/>
  <sheetViews>
    <sheetView topLeftCell="D1" workbookViewId="0">
      <selection activeCell="F2" sqref="F1:Z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7" max="31" width="3.140625" customWidth="1"/>
  </cols>
  <sheetData>
    <row r="1" spans="1:31" ht="44.25" x14ac:dyDescent="0.2">
      <c r="A1" s="1"/>
      <c r="B1" s="1"/>
      <c r="C1" s="33"/>
      <c r="D1" s="33"/>
      <c r="E1" s="33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1" t="s">
        <v>122</v>
      </c>
      <c r="O1" s="22"/>
      <c r="P1" s="22"/>
      <c r="Q1" s="23"/>
      <c r="R1" s="21" t="s">
        <v>123</v>
      </c>
      <c r="S1" s="22"/>
      <c r="T1" s="22"/>
      <c r="U1" s="23"/>
      <c r="V1" s="21" t="s">
        <v>124</v>
      </c>
      <c r="W1" s="22"/>
      <c r="X1" s="22"/>
      <c r="Y1" s="23"/>
      <c r="Z1" s="24" t="s">
        <v>2</v>
      </c>
      <c r="AA1" s="11"/>
      <c r="AB1" s="11"/>
      <c r="AC1" s="11"/>
      <c r="AD1" s="11"/>
      <c r="AE1" s="11"/>
    </row>
    <row r="2" spans="1:31" x14ac:dyDescent="0.2">
      <c r="A2" s="1" t="s">
        <v>3</v>
      </c>
      <c r="B2" s="1" t="s">
        <v>4</v>
      </c>
      <c r="C2" s="25" t="s">
        <v>848</v>
      </c>
      <c r="D2" s="25" t="s">
        <v>849</v>
      </c>
      <c r="E2" s="25" t="s">
        <v>850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5" t="s">
        <v>8</v>
      </c>
      <c r="O2" s="25" t="s">
        <v>9</v>
      </c>
      <c r="P2" s="25" t="s">
        <v>10</v>
      </c>
      <c r="Q2" s="26" t="s">
        <v>11</v>
      </c>
      <c r="R2" s="25" t="s">
        <v>8</v>
      </c>
      <c r="S2" s="25" t="s">
        <v>9</v>
      </c>
      <c r="T2" s="25" t="s">
        <v>10</v>
      </c>
      <c r="U2" s="26" t="s">
        <v>11</v>
      </c>
      <c r="V2" s="25" t="s">
        <v>8</v>
      </c>
      <c r="W2" s="25" t="s">
        <v>9</v>
      </c>
      <c r="X2" s="25" t="s">
        <v>10</v>
      </c>
      <c r="Y2" s="26" t="s">
        <v>11</v>
      </c>
      <c r="Z2" s="24" t="s">
        <v>12</v>
      </c>
      <c r="AA2" s="5"/>
      <c r="AB2" s="5"/>
      <c r="AC2" s="5"/>
      <c r="AD2" s="5"/>
      <c r="AE2" s="5"/>
    </row>
    <row r="3" spans="1:31" ht="15.75" customHeight="1" x14ac:dyDescent="0.25">
      <c r="A3" s="1" t="s">
        <v>582</v>
      </c>
      <c r="B3" s="13" t="s">
        <v>583</v>
      </c>
      <c r="C3" s="2" t="s">
        <v>15</v>
      </c>
      <c r="D3" s="32">
        <v>1</v>
      </c>
      <c r="E3" s="32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30" si="0">AVERAGE(J3:L3)</f>
        <v>0</v>
      </c>
      <c r="N3" s="28">
        <v>0</v>
      </c>
      <c r="O3" s="28">
        <v>0</v>
      </c>
      <c r="P3" s="28">
        <v>0</v>
      </c>
      <c r="Q3" s="29">
        <f>AVERAGE(N3:P3)</f>
        <v>0</v>
      </c>
      <c r="R3" s="28">
        <v>0</v>
      </c>
      <c r="S3" s="28">
        <v>0</v>
      </c>
      <c r="T3" s="28">
        <v>0</v>
      </c>
      <c r="U3" s="29">
        <f t="shared" ref="U3:U30" si="1">AVERAGE(R3:T3)</f>
        <v>0</v>
      </c>
      <c r="V3" s="28">
        <v>0</v>
      </c>
      <c r="W3" s="28">
        <v>0</v>
      </c>
      <c r="X3" s="28">
        <v>0</v>
      </c>
      <c r="Y3" s="29">
        <f t="shared" ref="Y3:Y30" si="2">AVERAGE(V3:X3)</f>
        <v>0</v>
      </c>
      <c r="Z3" s="30">
        <f>AVERAGE(I3,M3,Q3,U3,Y3)</f>
        <v>0</v>
      </c>
      <c r="AA3" s="6"/>
      <c r="AB3" s="6"/>
      <c r="AC3" s="7"/>
      <c r="AD3" s="6"/>
      <c r="AE3" s="7"/>
    </row>
    <row r="4" spans="1:31" ht="15.75" customHeight="1" x14ac:dyDescent="0.25">
      <c r="A4" s="1" t="s">
        <v>576</v>
      </c>
      <c r="B4" s="13" t="s">
        <v>577</v>
      </c>
      <c r="C4" s="2" t="s">
        <v>15</v>
      </c>
      <c r="D4" s="32">
        <v>1</v>
      </c>
      <c r="E4" s="32" t="s">
        <v>16</v>
      </c>
      <c r="F4" s="28">
        <v>0</v>
      </c>
      <c r="G4" s="28">
        <v>0</v>
      </c>
      <c r="H4" s="28">
        <v>0</v>
      </c>
      <c r="I4" s="29">
        <f t="shared" ref="I4:I30" si="3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28">
        <v>0</v>
      </c>
      <c r="O4" s="28">
        <v>0</v>
      </c>
      <c r="P4" s="28">
        <v>0</v>
      </c>
      <c r="Q4" s="29">
        <f t="shared" ref="Q4:Q30" si="4">AVERAGE(N4:P4)</f>
        <v>0</v>
      </c>
      <c r="R4" s="28">
        <v>0</v>
      </c>
      <c r="S4" s="28">
        <v>0</v>
      </c>
      <c r="T4" s="28">
        <v>0</v>
      </c>
      <c r="U4" s="29">
        <f t="shared" si="1"/>
        <v>0</v>
      </c>
      <c r="V4" s="28">
        <v>0</v>
      </c>
      <c r="W4" s="28">
        <v>0</v>
      </c>
      <c r="X4" s="28">
        <v>0</v>
      </c>
      <c r="Y4" s="29">
        <f t="shared" si="2"/>
        <v>0</v>
      </c>
      <c r="Z4" s="30">
        <f t="shared" ref="Z4:Z30" si="5">AVERAGE(I4,M4,Q4,U4,Y4)</f>
        <v>0</v>
      </c>
      <c r="AA4" s="7"/>
      <c r="AB4" s="7"/>
      <c r="AC4" s="7"/>
      <c r="AD4" s="7"/>
      <c r="AE4" s="7"/>
    </row>
    <row r="5" spans="1:31" ht="15.75" customHeight="1" x14ac:dyDescent="0.25">
      <c r="A5" s="1" t="s">
        <v>526</v>
      </c>
      <c r="B5" s="13" t="s">
        <v>527</v>
      </c>
      <c r="C5" s="2" t="s">
        <v>15</v>
      </c>
      <c r="D5" s="32">
        <v>1</v>
      </c>
      <c r="E5" s="32" t="s">
        <v>16</v>
      </c>
      <c r="F5" s="28">
        <v>0</v>
      </c>
      <c r="G5" s="28">
        <v>0</v>
      </c>
      <c r="H5" s="28">
        <v>0</v>
      </c>
      <c r="I5" s="29">
        <f t="shared" si="3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28">
        <v>0</v>
      </c>
      <c r="O5" s="28">
        <v>0</v>
      </c>
      <c r="P5" s="28">
        <v>0</v>
      </c>
      <c r="Q5" s="29">
        <f t="shared" si="4"/>
        <v>0</v>
      </c>
      <c r="R5" s="28">
        <v>0</v>
      </c>
      <c r="S5" s="28">
        <v>0</v>
      </c>
      <c r="T5" s="28">
        <v>0</v>
      </c>
      <c r="U5" s="29">
        <f t="shared" si="1"/>
        <v>0</v>
      </c>
      <c r="V5" s="28">
        <v>0</v>
      </c>
      <c r="W5" s="28">
        <v>0</v>
      </c>
      <c r="X5" s="28">
        <v>0</v>
      </c>
      <c r="Y5" s="29">
        <f t="shared" si="2"/>
        <v>0</v>
      </c>
      <c r="Z5" s="30">
        <f t="shared" si="5"/>
        <v>0</v>
      </c>
      <c r="AA5" s="7"/>
      <c r="AB5" s="7"/>
      <c r="AC5" s="7"/>
      <c r="AD5" s="8"/>
      <c r="AE5" s="7"/>
    </row>
    <row r="6" spans="1:31" ht="15.75" customHeight="1" x14ac:dyDescent="0.25">
      <c r="A6" s="1" t="s">
        <v>544</v>
      </c>
      <c r="B6" s="13" t="s">
        <v>545</v>
      </c>
      <c r="C6" s="2" t="s">
        <v>15</v>
      </c>
      <c r="D6" s="32">
        <v>1</v>
      </c>
      <c r="E6" s="32" t="s">
        <v>16</v>
      </c>
      <c r="F6" s="28">
        <v>0</v>
      </c>
      <c r="G6" s="28">
        <v>0</v>
      </c>
      <c r="H6" s="28">
        <v>0</v>
      </c>
      <c r="I6" s="29">
        <f t="shared" si="3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28">
        <v>0</v>
      </c>
      <c r="O6" s="28">
        <v>0</v>
      </c>
      <c r="P6" s="28">
        <v>0</v>
      </c>
      <c r="Q6" s="29">
        <f t="shared" si="4"/>
        <v>0</v>
      </c>
      <c r="R6" s="28">
        <v>0</v>
      </c>
      <c r="S6" s="28">
        <v>0</v>
      </c>
      <c r="T6" s="28">
        <v>0</v>
      </c>
      <c r="U6" s="29">
        <f t="shared" si="1"/>
        <v>0</v>
      </c>
      <c r="V6" s="28">
        <v>0</v>
      </c>
      <c r="W6" s="28">
        <v>0</v>
      </c>
      <c r="X6" s="28">
        <v>0</v>
      </c>
      <c r="Y6" s="29">
        <f t="shared" si="2"/>
        <v>0</v>
      </c>
      <c r="Z6" s="30">
        <f t="shared" si="5"/>
        <v>0</v>
      </c>
      <c r="AA6" s="7"/>
      <c r="AB6" s="7"/>
      <c r="AC6" s="7"/>
      <c r="AD6" s="8"/>
      <c r="AE6" s="7"/>
    </row>
    <row r="7" spans="1:31" ht="15.75" customHeight="1" x14ac:dyDescent="0.25">
      <c r="A7" s="1" t="s">
        <v>586</v>
      </c>
      <c r="B7" s="13" t="s">
        <v>587</v>
      </c>
      <c r="C7" s="2" t="s">
        <v>15</v>
      </c>
      <c r="D7" s="32">
        <v>1</v>
      </c>
      <c r="E7" s="32" t="s">
        <v>16</v>
      </c>
      <c r="F7" s="28">
        <v>0</v>
      </c>
      <c r="G7" s="28">
        <v>0</v>
      </c>
      <c r="H7" s="28">
        <v>0</v>
      </c>
      <c r="I7" s="29">
        <f t="shared" si="3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28">
        <v>0</v>
      </c>
      <c r="O7" s="28">
        <v>0</v>
      </c>
      <c r="P7" s="28">
        <v>0</v>
      </c>
      <c r="Q7" s="29">
        <f t="shared" si="4"/>
        <v>0</v>
      </c>
      <c r="R7" s="28">
        <v>0</v>
      </c>
      <c r="S7" s="28">
        <v>0</v>
      </c>
      <c r="T7" s="28">
        <v>0</v>
      </c>
      <c r="U7" s="29">
        <f t="shared" si="1"/>
        <v>0</v>
      </c>
      <c r="V7" s="28">
        <v>0</v>
      </c>
      <c r="W7" s="28">
        <v>0</v>
      </c>
      <c r="X7" s="28">
        <v>0</v>
      </c>
      <c r="Y7" s="29">
        <f t="shared" si="2"/>
        <v>0</v>
      </c>
      <c r="Z7" s="30">
        <f t="shared" si="5"/>
        <v>0</v>
      </c>
      <c r="AA7" s="9"/>
      <c r="AB7" s="9"/>
      <c r="AC7" s="6"/>
      <c r="AD7" s="6"/>
      <c r="AE7" s="7"/>
    </row>
    <row r="8" spans="1:31" ht="15.75" customHeight="1" x14ac:dyDescent="0.25">
      <c r="A8" s="1" t="s">
        <v>542</v>
      </c>
      <c r="B8" s="13" t="s">
        <v>543</v>
      </c>
      <c r="C8" s="2" t="s">
        <v>15</v>
      </c>
      <c r="D8" s="32">
        <v>1</v>
      </c>
      <c r="E8" s="32" t="s">
        <v>16</v>
      </c>
      <c r="F8" s="28">
        <v>0</v>
      </c>
      <c r="G8" s="28">
        <v>0</v>
      </c>
      <c r="H8" s="28">
        <v>0</v>
      </c>
      <c r="I8" s="29">
        <f t="shared" si="3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28">
        <v>0</v>
      </c>
      <c r="O8" s="28">
        <v>0</v>
      </c>
      <c r="P8" s="28">
        <v>0</v>
      </c>
      <c r="Q8" s="29">
        <f t="shared" si="4"/>
        <v>0</v>
      </c>
      <c r="R8" s="28">
        <v>0</v>
      </c>
      <c r="S8" s="28">
        <v>0</v>
      </c>
      <c r="T8" s="28">
        <v>0</v>
      </c>
      <c r="U8" s="29">
        <f t="shared" si="1"/>
        <v>0</v>
      </c>
      <c r="V8" s="28">
        <v>0</v>
      </c>
      <c r="W8" s="28">
        <v>0</v>
      </c>
      <c r="X8" s="28">
        <v>0</v>
      </c>
      <c r="Y8" s="29">
        <f t="shared" si="2"/>
        <v>0</v>
      </c>
      <c r="Z8" s="30">
        <f t="shared" si="5"/>
        <v>0</v>
      </c>
      <c r="AA8" s="7"/>
      <c r="AB8" s="7"/>
      <c r="AC8" s="6"/>
      <c r="AD8" s="6"/>
      <c r="AE8" s="7"/>
    </row>
    <row r="9" spans="1:31" ht="15.75" customHeight="1" x14ac:dyDescent="0.25">
      <c r="A9" s="1" t="s">
        <v>552</v>
      </c>
      <c r="B9" s="13" t="s">
        <v>553</v>
      </c>
      <c r="C9" s="2" t="s">
        <v>15</v>
      </c>
      <c r="D9" s="32">
        <v>1</v>
      </c>
      <c r="E9" s="32" t="s">
        <v>16</v>
      </c>
      <c r="F9" s="28">
        <v>0</v>
      </c>
      <c r="G9" s="28">
        <v>0</v>
      </c>
      <c r="H9" s="28">
        <v>0</v>
      </c>
      <c r="I9" s="29">
        <f t="shared" si="3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28">
        <v>0</v>
      </c>
      <c r="O9" s="28">
        <v>0</v>
      </c>
      <c r="P9" s="28">
        <v>0</v>
      </c>
      <c r="Q9" s="29">
        <f t="shared" si="4"/>
        <v>0</v>
      </c>
      <c r="R9" s="28">
        <v>0</v>
      </c>
      <c r="S9" s="28">
        <v>0</v>
      </c>
      <c r="T9" s="28">
        <v>0</v>
      </c>
      <c r="U9" s="29">
        <f t="shared" si="1"/>
        <v>0</v>
      </c>
      <c r="V9" s="28">
        <v>0</v>
      </c>
      <c r="W9" s="28">
        <v>0</v>
      </c>
      <c r="X9" s="28">
        <v>0</v>
      </c>
      <c r="Y9" s="29">
        <f t="shared" si="2"/>
        <v>0</v>
      </c>
      <c r="Z9" s="30">
        <f t="shared" si="5"/>
        <v>0</v>
      </c>
      <c r="AA9" s="6"/>
      <c r="AB9" s="6"/>
      <c r="AC9" s="10"/>
      <c r="AD9" s="8"/>
      <c r="AE9" s="7"/>
    </row>
    <row r="10" spans="1:31" ht="15.75" customHeight="1" x14ac:dyDescent="0.25">
      <c r="A10" s="1" t="s">
        <v>560</v>
      </c>
      <c r="B10" s="13" t="s">
        <v>561</v>
      </c>
      <c r="C10" s="2" t="s">
        <v>15</v>
      </c>
      <c r="D10" s="32">
        <v>1</v>
      </c>
      <c r="E10" s="32" t="s">
        <v>16</v>
      </c>
      <c r="F10" s="28">
        <v>0</v>
      </c>
      <c r="G10" s="28">
        <v>0</v>
      </c>
      <c r="H10" s="28">
        <v>0</v>
      </c>
      <c r="I10" s="29">
        <f t="shared" si="3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28">
        <v>0</v>
      </c>
      <c r="O10" s="28">
        <v>0</v>
      </c>
      <c r="P10" s="28">
        <v>0</v>
      </c>
      <c r="Q10" s="29">
        <f t="shared" si="4"/>
        <v>0</v>
      </c>
      <c r="R10" s="28">
        <v>0</v>
      </c>
      <c r="S10" s="28">
        <v>0</v>
      </c>
      <c r="T10" s="28">
        <v>0</v>
      </c>
      <c r="U10" s="29">
        <f t="shared" si="1"/>
        <v>0</v>
      </c>
      <c r="V10" s="28">
        <v>0</v>
      </c>
      <c r="W10" s="28">
        <v>0</v>
      </c>
      <c r="X10" s="28">
        <v>0</v>
      </c>
      <c r="Y10" s="29">
        <f t="shared" si="2"/>
        <v>0</v>
      </c>
      <c r="Z10" s="30">
        <f t="shared" si="5"/>
        <v>0</v>
      </c>
      <c r="AA10" s="7"/>
      <c r="AB10" s="7"/>
      <c r="AC10" s="7"/>
      <c r="AD10" s="7"/>
      <c r="AE10" s="7"/>
    </row>
    <row r="11" spans="1:31" ht="15.75" customHeight="1" x14ac:dyDescent="0.25">
      <c r="A11" s="1" t="s">
        <v>570</v>
      </c>
      <c r="B11" s="13" t="s">
        <v>571</v>
      </c>
      <c r="C11" s="2" t="s">
        <v>15</v>
      </c>
      <c r="D11" s="32">
        <v>1</v>
      </c>
      <c r="E11" s="32" t="s">
        <v>16</v>
      </c>
      <c r="F11" s="28">
        <v>0</v>
      </c>
      <c r="G11" s="28">
        <v>0</v>
      </c>
      <c r="H11" s="28">
        <v>0</v>
      </c>
      <c r="I11" s="29">
        <f t="shared" si="3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28">
        <v>0</v>
      </c>
      <c r="O11" s="28">
        <v>0</v>
      </c>
      <c r="P11" s="28">
        <v>0</v>
      </c>
      <c r="Q11" s="29">
        <f t="shared" si="4"/>
        <v>0</v>
      </c>
      <c r="R11" s="28">
        <v>0</v>
      </c>
      <c r="S11" s="28">
        <v>0</v>
      </c>
      <c r="T11" s="28">
        <v>0</v>
      </c>
      <c r="U11" s="29">
        <f t="shared" si="1"/>
        <v>0</v>
      </c>
      <c r="V11" s="28">
        <v>0</v>
      </c>
      <c r="W11" s="28">
        <v>0</v>
      </c>
      <c r="X11" s="28">
        <v>0</v>
      </c>
      <c r="Y11" s="29">
        <f t="shared" si="2"/>
        <v>0</v>
      </c>
      <c r="Z11" s="30">
        <f t="shared" si="5"/>
        <v>0</v>
      </c>
      <c r="AA11" s="8"/>
      <c r="AB11" s="8"/>
      <c r="AC11" s="6"/>
      <c r="AD11" s="6"/>
      <c r="AE11" s="7"/>
    </row>
    <row r="12" spans="1:31" ht="15.75" customHeight="1" x14ac:dyDescent="0.25">
      <c r="A12" s="1" t="s">
        <v>554</v>
      </c>
      <c r="B12" s="13" t="s">
        <v>555</v>
      </c>
      <c r="C12" s="2" t="s">
        <v>15</v>
      </c>
      <c r="D12" s="32">
        <v>1</v>
      </c>
      <c r="E12" s="32" t="s">
        <v>16</v>
      </c>
      <c r="F12" s="28">
        <v>0</v>
      </c>
      <c r="G12" s="28">
        <v>0</v>
      </c>
      <c r="H12" s="28">
        <v>0</v>
      </c>
      <c r="I12" s="29">
        <f t="shared" si="3"/>
        <v>0</v>
      </c>
      <c r="J12" s="28">
        <v>0</v>
      </c>
      <c r="K12" s="28">
        <v>0</v>
      </c>
      <c r="L12" s="28">
        <v>0</v>
      </c>
      <c r="M12" s="29">
        <f t="shared" si="0"/>
        <v>0</v>
      </c>
      <c r="N12" s="28">
        <v>0</v>
      </c>
      <c r="O12" s="28">
        <v>0</v>
      </c>
      <c r="P12" s="28">
        <v>0</v>
      </c>
      <c r="Q12" s="29">
        <f t="shared" si="4"/>
        <v>0</v>
      </c>
      <c r="R12" s="28">
        <v>0</v>
      </c>
      <c r="S12" s="28">
        <v>0</v>
      </c>
      <c r="T12" s="28">
        <v>0</v>
      </c>
      <c r="U12" s="29">
        <f t="shared" si="1"/>
        <v>0</v>
      </c>
      <c r="V12" s="28">
        <v>0</v>
      </c>
      <c r="W12" s="28">
        <v>0</v>
      </c>
      <c r="X12" s="28">
        <v>0</v>
      </c>
      <c r="Y12" s="29">
        <f t="shared" si="2"/>
        <v>0</v>
      </c>
      <c r="Z12" s="30">
        <f t="shared" si="5"/>
        <v>0</v>
      </c>
      <c r="AA12" s="8"/>
      <c r="AB12" s="6"/>
      <c r="AC12" s="6"/>
      <c r="AD12" s="10"/>
      <c r="AE12" s="7"/>
    </row>
    <row r="13" spans="1:31" ht="15.75" customHeight="1" x14ac:dyDescent="0.25">
      <c r="A13" s="1" t="s">
        <v>530</v>
      </c>
      <c r="B13" s="14" t="s">
        <v>531</v>
      </c>
      <c r="C13" s="2" t="s">
        <v>15</v>
      </c>
      <c r="D13" s="32">
        <v>1</v>
      </c>
      <c r="E13" s="32" t="s">
        <v>16</v>
      </c>
      <c r="F13" s="28">
        <v>0</v>
      </c>
      <c r="G13" s="28">
        <v>0</v>
      </c>
      <c r="H13" s="28">
        <v>0</v>
      </c>
      <c r="I13" s="29">
        <f t="shared" si="3"/>
        <v>0</v>
      </c>
      <c r="J13" s="28">
        <v>0</v>
      </c>
      <c r="K13" s="28">
        <v>0</v>
      </c>
      <c r="L13" s="28">
        <v>0</v>
      </c>
      <c r="M13" s="29">
        <f t="shared" si="0"/>
        <v>0</v>
      </c>
      <c r="N13" s="28">
        <v>0</v>
      </c>
      <c r="O13" s="28">
        <v>0</v>
      </c>
      <c r="P13" s="28">
        <v>0</v>
      </c>
      <c r="Q13" s="29">
        <f t="shared" si="4"/>
        <v>0</v>
      </c>
      <c r="R13" s="28">
        <v>0</v>
      </c>
      <c r="S13" s="28">
        <v>0</v>
      </c>
      <c r="T13" s="28">
        <v>0</v>
      </c>
      <c r="U13" s="29">
        <f t="shared" si="1"/>
        <v>0</v>
      </c>
      <c r="V13" s="28">
        <v>0</v>
      </c>
      <c r="W13" s="28">
        <v>0</v>
      </c>
      <c r="X13" s="28">
        <v>0</v>
      </c>
      <c r="Y13" s="29">
        <f t="shared" si="2"/>
        <v>0</v>
      </c>
      <c r="Z13" s="30">
        <f t="shared" si="5"/>
        <v>0</v>
      </c>
      <c r="AA13" s="8"/>
      <c r="AB13" s="7"/>
      <c r="AC13" s="7"/>
      <c r="AD13" s="8"/>
      <c r="AE13" s="7"/>
    </row>
    <row r="14" spans="1:31" ht="15.75" customHeight="1" x14ac:dyDescent="0.25">
      <c r="A14" s="1" t="s">
        <v>578</v>
      </c>
      <c r="B14" s="13" t="s">
        <v>579</v>
      </c>
      <c r="C14" s="2" t="s">
        <v>15</v>
      </c>
      <c r="D14" s="32">
        <v>1</v>
      </c>
      <c r="E14" s="32" t="s">
        <v>16</v>
      </c>
      <c r="F14" s="28">
        <v>0</v>
      </c>
      <c r="G14" s="28">
        <v>0</v>
      </c>
      <c r="H14" s="28">
        <v>0</v>
      </c>
      <c r="I14" s="29">
        <f t="shared" si="3"/>
        <v>0</v>
      </c>
      <c r="J14" s="28">
        <v>0</v>
      </c>
      <c r="K14" s="28">
        <v>0</v>
      </c>
      <c r="L14" s="28">
        <v>0</v>
      </c>
      <c r="M14" s="29">
        <f t="shared" si="0"/>
        <v>0</v>
      </c>
      <c r="N14" s="28">
        <v>0</v>
      </c>
      <c r="O14" s="28">
        <v>0</v>
      </c>
      <c r="P14" s="28">
        <v>0</v>
      </c>
      <c r="Q14" s="29">
        <f t="shared" si="4"/>
        <v>0</v>
      </c>
      <c r="R14" s="28">
        <v>0</v>
      </c>
      <c r="S14" s="28">
        <v>0</v>
      </c>
      <c r="T14" s="28">
        <v>0</v>
      </c>
      <c r="U14" s="29">
        <f t="shared" si="1"/>
        <v>0</v>
      </c>
      <c r="V14" s="28">
        <v>0</v>
      </c>
      <c r="W14" s="28">
        <v>0</v>
      </c>
      <c r="X14" s="28">
        <v>0</v>
      </c>
      <c r="Y14" s="29">
        <f t="shared" si="2"/>
        <v>0</v>
      </c>
      <c r="Z14" s="30">
        <f t="shared" si="5"/>
        <v>0</v>
      </c>
      <c r="AA14" s="8"/>
      <c r="AB14" s="8"/>
      <c r="AC14" s="7"/>
      <c r="AD14" s="7"/>
      <c r="AE14" s="7"/>
    </row>
    <row r="15" spans="1:31" ht="15.75" customHeight="1" x14ac:dyDescent="0.25">
      <c r="A15" s="1" t="s">
        <v>574</v>
      </c>
      <c r="B15" s="13" t="s">
        <v>575</v>
      </c>
      <c r="C15" s="2" t="s">
        <v>15</v>
      </c>
      <c r="D15" s="32">
        <v>1</v>
      </c>
      <c r="E15" s="32" t="s">
        <v>16</v>
      </c>
      <c r="F15" s="28">
        <v>0</v>
      </c>
      <c r="G15" s="28">
        <v>0</v>
      </c>
      <c r="H15" s="28">
        <v>0</v>
      </c>
      <c r="I15" s="29">
        <f t="shared" si="3"/>
        <v>0</v>
      </c>
      <c r="J15" s="28">
        <v>0</v>
      </c>
      <c r="K15" s="28">
        <v>0</v>
      </c>
      <c r="L15" s="28">
        <v>0</v>
      </c>
      <c r="M15" s="29">
        <f t="shared" si="0"/>
        <v>0</v>
      </c>
      <c r="N15" s="28">
        <v>0</v>
      </c>
      <c r="O15" s="28">
        <v>0</v>
      </c>
      <c r="P15" s="28">
        <v>0</v>
      </c>
      <c r="Q15" s="29">
        <f t="shared" si="4"/>
        <v>0</v>
      </c>
      <c r="R15" s="28">
        <v>0</v>
      </c>
      <c r="S15" s="28">
        <v>0</v>
      </c>
      <c r="T15" s="28">
        <v>0</v>
      </c>
      <c r="U15" s="29">
        <f t="shared" si="1"/>
        <v>0</v>
      </c>
      <c r="V15" s="28">
        <v>0</v>
      </c>
      <c r="W15" s="28">
        <v>0</v>
      </c>
      <c r="X15" s="28">
        <v>0</v>
      </c>
      <c r="Y15" s="29">
        <f t="shared" si="2"/>
        <v>0</v>
      </c>
      <c r="Z15" s="30">
        <f t="shared" si="5"/>
        <v>0</v>
      </c>
      <c r="AA15" s="10"/>
      <c r="AB15" s="8"/>
      <c r="AC15" s="8"/>
      <c r="AD15" s="6"/>
      <c r="AE15" s="7"/>
    </row>
    <row r="16" spans="1:31" ht="15.75" customHeight="1" x14ac:dyDescent="0.25">
      <c r="A16" s="1" t="s">
        <v>580</v>
      </c>
      <c r="B16" s="13" t="s">
        <v>581</v>
      </c>
      <c r="C16" s="2" t="s">
        <v>15</v>
      </c>
      <c r="D16" s="32">
        <v>1</v>
      </c>
      <c r="E16" s="32" t="s">
        <v>16</v>
      </c>
      <c r="F16" s="28">
        <v>0</v>
      </c>
      <c r="G16" s="28">
        <v>0</v>
      </c>
      <c r="H16" s="28">
        <v>0</v>
      </c>
      <c r="I16" s="29">
        <f t="shared" si="3"/>
        <v>0</v>
      </c>
      <c r="J16" s="28">
        <v>0</v>
      </c>
      <c r="K16" s="28">
        <v>0</v>
      </c>
      <c r="L16" s="28">
        <v>0</v>
      </c>
      <c r="M16" s="29">
        <f t="shared" si="0"/>
        <v>0</v>
      </c>
      <c r="N16" s="28">
        <v>0</v>
      </c>
      <c r="O16" s="28">
        <v>0</v>
      </c>
      <c r="P16" s="28">
        <v>0</v>
      </c>
      <c r="Q16" s="29">
        <f t="shared" si="4"/>
        <v>0</v>
      </c>
      <c r="R16" s="28">
        <v>0</v>
      </c>
      <c r="S16" s="28">
        <v>0</v>
      </c>
      <c r="T16" s="28">
        <v>0</v>
      </c>
      <c r="U16" s="29">
        <f t="shared" si="1"/>
        <v>0</v>
      </c>
      <c r="V16" s="28">
        <v>0</v>
      </c>
      <c r="W16" s="28">
        <v>0</v>
      </c>
      <c r="X16" s="28">
        <v>0</v>
      </c>
      <c r="Y16" s="29">
        <f t="shared" si="2"/>
        <v>0</v>
      </c>
      <c r="Z16" s="30">
        <f t="shared" si="5"/>
        <v>0</v>
      </c>
      <c r="AA16" s="6"/>
      <c r="AB16" s="6"/>
      <c r="AC16" s="7"/>
      <c r="AD16" s="7"/>
      <c r="AE16" s="7"/>
    </row>
    <row r="17" spans="1:31" ht="15.75" customHeight="1" x14ac:dyDescent="0.25">
      <c r="A17" s="1" t="s">
        <v>566</v>
      </c>
      <c r="B17" s="13" t="s">
        <v>567</v>
      </c>
      <c r="C17" s="2" t="s">
        <v>15</v>
      </c>
      <c r="D17" s="32">
        <v>1</v>
      </c>
      <c r="E17" s="32" t="s">
        <v>16</v>
      </c>
      <c r="F17" s="28">
        <v>0</v>
      </c>
      <c r="G17" s="28">
        <v>0</v>
      </c>
      <c r="H17" s="28">
        <v>0</v>
      </c>
      <c r="I17" s="29">
        <f t="shared" si="3"/>
        <v>0</v>
      </c>
      <c r="J17" s="28">
        <v>0</v>
      </c>
      <c r="K17" s="28">
        <v>0</v>
      </c>
      <c r="L17" s="28">
        <v>0</v>
      </c>
      <c r="M17" s="29">
        <f t="shared" si="0"/>
        <v>0</v>
      </c>
      <c r="N17" s="28">
        <v>0</v>
      </c>
      <c r="O17" s="28">
        <v>0</v>
      </c>
      <c r="P17" s="28">
        <v>0</v>
      </c>
      <c r="Q17" s="29">
        <f t="shared" si="4"/>
        <v>0</v>
      </c>
      <c r="R17" s="28">
        <v>0</v>
      </c>
      <c r="S17" s="28">
        <v>0</v>
      </c>
      <c r="T17" s="28">
        <v>0</v>
      </c>
      <c r="U17" s="29">
        <f t="shared" si="1"/>
        <v>0</v>
      </c>
      <c r="V17" s="28">
        <v>0</v>
      </c>
      <c r="W17" s="28">
        <v>0</v>
      </c>
      <c r="X17" s="28">
        <v>0</v>
      </c>
      <c r="Y17" s="29">
        <f t="shared" si="2"/>
        <v>0</v>
      </c>
      <c r="Z17" s="30">
        <f t="shared" si="5"/>
        <v>0</v>
      </c>
      <c r="AA17" s="6"/>
      <c r="AB17" s="6"/>
      <c r="AC17" s="6"/>
      <c r="AD17" s="6"/>
      <c r="AE17" s="7"/>
    </row>
    <row r="18" spans="1:31" ht="15.75" customHeight="1" x14ac:dyDescent="0.25">
      <c r="A18" s="34" t="s">
        <v>556</v>
      </c>
      <c r="B18" s="35" t="s">
        <v>557</v>
      </c>
      <c r="C18" s="36" t="s">
        <v>15</v>
      </c>
      <c r="D18" s="37">
        <v>1</v>
      </c>
      <c r="E18" s="38" t="s">
        <v>33</v>
      </c>
      <c r="F18" s="28">
        <v>0</v>
      </c>
      <c r="G18" s="28">
        <v>0</v>
      </c>
      <c r="H18" s="28">
        <v>0</v>
      </c>
      <c r="I18" s="29">
        <f t="shared" si="3"/>
        <v>0</v>
      </c>
      <c r="J18" s="28">
        <v>0</v>
      </c>
      <c r="K18" s="28">
        <v>0</v>
      </c>
      <c r="L18" s="28">
        <v>0</v>
      </c>
      <c r="M18" s="29">
        <f t="shared" si="0"/>
        <v>0</v>
      </c>
      <c r="N18" s="28">
        <v>0</v>
      </c>
      <c r="O18" s="28">
        <v>0</v>
      </c>
      <c r="P18" s="28">
        <v>0</v>
      </c>
      <c r="Q18" s="29">
        <f t="shared" si="4"/>
        <v>0</v>
      </c>
      <c r="R18" s="28">
        <v>0</v>
      </c>
      <c r="S18" s="28">
        <v>0</v>
      </c>
      <c r="T18" s="28">
        <v>0</v>
      </c>
      <c r="U18" s="29">
        <f t="shared" si="1"/>
        <v>0</v>
      </c>
      <c r="V18" s="28">
        <v>0</v>
      </c>
      <c r="W18" s="28">
        <v>0</v>
      </c>
      <c r="X18" s="28">
        <v>0</v>
      </c>
      <c r="Y18" s="29">
        <f t="shared" si="2"/>
        <v>0</v>
      </c>
      <c r="Z18" s="30">
        <f t="shared" si="5"/>
        <v>0</v>
      </c>
    </row>
    <row r="19" spans="1:31" ht="15.75" customHeight="1" x14ac:dyDescent="0.25">
      <c r="A19" s="1" t="s">
        <v>538</v>
      </c>
      <c r="B19" s="14" t="s">
        <v>539</v>
      </c>
      <c r="C19" s="2" t="s">
        <v>15</v>
      </c>
      <c r="D19" s="32">
        <v>1</v>
      </c>
      <c r="E19" s="39" t="s">
        <v>33</v>
      </c>
      <c r="F19" s="28">
        <v>0</v>
      </c>
      <c r="G19" s="28">
        <v>0</v>
      </c>
      <c r="H19" s="28">
        <v>0</v>
      </c>
      <c r="I19" s="29">
        <f t="shared" si="3"/>
        <v>0</v>
      </c>
      <c r="J19" s="28">
        <v>0</v>
      </c>
      <c r="K19" s="28">
        <v>0</v>
      </c>
      <c r="L19" s="28">
        <v>0</v>
      </c>
      <c r="M19" s="29">
        <f t="shared" si="0"/>
        <v>0</v>
      </c>
      <c r="N19" s="28">
        <v>0</v>
      </c>
      <c r="O19" s="28">
        <v>0</v>
      </c>
      <c r="P19" s="28">
        <v>0</v>
      </c>
      <c r="Q19" s="29">
        <f t="shared" si="4"/>
        <v>0</v>
      </c>
      <c r="R19" s="28">
        <v>0</v>
      </c>
      <c r="S19" s="28">
        <v>0</v>
      </c>
      <c r="T19" s="28">
        <v>0</v>
      </c>
      <c r="U19" s="29">
        <f t="shared" si="1"/>
        <v>0</v>
      </c>
      <c r="V19" s="28">
        <v>0</v>
      </c>
      <c r="W19" s="28">
        <v>0</v>
      </c>
      <c r="X19" s="28">
        <v>0</v>
      </c>
      <c r="Y19" s="29">
        <f t="shared" si="2"/>
        <v>0</v>
      </c>
      <c r="Z19" s="30">
        <f t="shared" si="5"/>
        <v>0</v>
      </c>
    </row>
    <row r="20" spans="1:31" ht="15.75" customHeight="1" x14ac:dyDescent="0.25">
      <c r="A20" s="1" t="s">
        <v>550</v>
      </c>
      <c r="B20" s="13" t="s">
        <v>551</v>
      </c>
      <c r="C20" s="2" t="s">
        <v>15</v>
      </c>
      <c r="D20" s="32">
        <v>1</v>
      </c>
      <c r="E20" s="39" t="s">
        <v>33</v>
      </c>
      <c r="F20" s="28">
        <v>0</v>
      </c>
      <c r="G20" s="28">
        <v>0</v>
      </c>
      <c r="H20" s="28">
        <v>0</v>
      </c>
      <c r="I20" s="29">
        <f t="shared" si="3"/>
        <v>0</v>
      </c>
      <c r="J20" s="28">
        <v>0</v>
      </c>
      <c r="K20" s="28">
        <v>0</v>
      </c>
      <c r="L20" s="28">
        <v>0</v>
      </c>
      <c r="M20" s="29">
        <f t="shared" si="0"/>
        <v>0</v>
      </c>
      <c r="N20" s="28">
        <v>0</v>
      </c>
      <c r="O20" s="28">
        <v>0</v>
      </c>
      <c r="P20" s="28">
        <v>0</v>
      </c>
      <c r="Q20" s="29">
        <f t="shared" si="4"/>
        <v>0</v>
      </c>
      <c r="R20" s="28">
        <v>0</v>
      </c>
      <c r="S20" s="28">
        <v>0</v>
      </c>
      <c r="T20" s="28">
        <v>0</v>
      </c>
      <c r="U20" s="29">
        <f t="shared" si="1"/>
        <v>0</v>
      </c>
      <c r="V20" s="28">
        <v>0</v>
      </c>
      <c r="W20" s="28">
        <v>0</v>
      </c>
      <c r="X20" s="28">
        <v>0</v>
      </c>
      <c r="Y20" s="29">
        <f t="shared" si="2"/>
        <v>0</v>
      </c>
      <c r="Z20" s="30">
        <f t="shared" si="5"/>
        <v>0</v>
      </c>
    </row>
    <row r="21" spans="1:31" ht="15.75" customHeight="1" x14ac:dyDescent="0.25">
      <c r="A21" s="1" t="s">
        <v>564</v>
      </c>
      <c r="B21" s="13" t="s">
        <v>565</v>
      </c>
      <c r="C21" s="2" t="s">
        <v>15</v>
      </c>
      <c r="D21" s="32">
        <v>1</v>
      </c>
      <c r="E21" s="39" t="s">
        <v>33</v>
      </c>
      <c r="F21" s="28">
        <v>0</v>
      </c>
      <c r="G21" s="28">
        <v>0</v>
      </c>
      <c r="H21" s="28">
        <v>0</v>
      </c>
      <c r="I21" s="29">
        <f t="shared" si="3"/>
        <v>0</v>
      </c>
      <c r="J21" s="28">
        <v>0</v>
      </c>
      <c r="K21" s="28">
        <v>0</v>
      </c>
      <c r="L21" s="28">
        <v>0</v>
      </c>
      <c r="M21" s="29">
        <f t="shared" si="0"/>
        <v>0</v>
      </c>
      <c r="N21" s="28">
        <v>0</v>
      </c>
      <c r="O21" s="28">
        <v>0</v>
      </c>
      <c r="P21" s="28">
        <v>0</v>
      </c>
      <c r="Q21" s="29">
        <f t="shared" si="4"/>
        <v>0</v>
      </c>
      <c r="R21" s="28">
        <v>0</v>
      </c>
      <c r="S21" s="28">
        <v>0</v>
      </c>
      <c r="T21" s="28">
        <v>0</v>
      </c>
      <c r="U21" s="29">
        <f t="shared" si="1"/>
        <v>0</v>
      </c>
      <c r="V21" s="28">
        <v>0</v>
      </c>
      <c r="W21" s="28">
        <v>0</v>
      </c>
      <c r="X21" s="28">
        <v>0</v>
      </c>
      <c r="Y21" s="29">
        <f t="shared" si="2"/>
        <v>0</v>
      </c>
      <c r="Z21" s="30">
        <f t="shared" si="5"/>
        <v>0</v>
      </c>
    </row>
    <row r="22" spans="1:31" ht="15.75" customHeight="1" x14ac:dyDescent="0.25">
      <c r="A22" s="1" t="s">
        <v>572</v>
      </c>
      <c r="B22" s="13" t="s">
        <v>573</v>
      </c>
      <c r="C22" s="2" t="s">
        <v>15</v>
      </c>
      <c r="D22" s="32">
        <v>1</v>
      </c>
      <c r="E22" s="39" t="s">
        <v>33</v>
      </c>
      <c r="F22" s="28">
        <v>0</v>
      </c>
      <c r="G22" s="28">
        <v>0</v>
      </c>
      <c r="H22" s="28">
        <v>0</v>
      </c>
      <c r="I22" s="29">
        <f t="shared" si="3"/>
        <v>0</v>
      </c>
      <c r="J22" s="28">
        <v>0</v>
      </c>
      <c r="K22" s="28">
        <v>0</v>
      </c>
      <c r="L22" s="28">
        <v>0</v>
      </c>
      <c r="M22" s="29">
        <f t="shared" si="0"/>
        <v>0</v>
      </c>
      <c r="N22" s="28">
        <v>0</v>
      </c>
      <c r="O22" s="28">
        <v>0</v>
      </c>
      <c r="P22" s="28">
        <v>0</v>
      </c>
      <c r="Q22" s="29">
        <f t="shared" si="4"/>
        <v>0</v>
      </c>
      <c r="R22" s="28">
        <v>0</v>
      </c>
      <c r="S22" s="28">
        <v>0</v>
      </c>
      <c r="T22" s="28">
        <v>0</v>
      </c>
      <c r="U22" s="29">
        <f t="shared" si="1"/>
        <v>0</v>
      </c>
      <c r="V22" s="28">
        <v>0</v>
      </c>
      <c r="W22" s="28">
        <v>0</v>
      </c>
      <c r="X22" s="28">
        <v>0</v>
      </c>
      <c r="Y22" s="29">
        <f t="shared" si="2"/>
        <v>0</v>
      </c>
      <c r="Z22" s="30">
        <f t="shared" si="5"/>
        <v>0</v>
      </c>
    </row>
    <row r="23" spans="1:31" ht="15.75" customHeight="1" x14ac:dyDescent="0.25">
      <c r="A23" s="1" t="s">
        <v>534</v>
      </c>
      <c r="B23" s="13" t="s">
        <v>535</v>
      </c>
      <c r="C23" s="2" t="s">
        <v>15</v>
      </c>
      <c r="D23" s="32">
        <v>1</v>
      </c>
      <c r="E23" s="39" t="s">
        <v>33</v>
      </c>
      <c r="F23" s="28">
        <v>0</v>
      </c>
      <c r="G23" s="28">
        <v>0</v>
      </c>
      <c r="H23" s="28">
        <v>0</v>
      </c>
      <c r="I23" s="29">
        <f t="shared" si="3"/>
        <v>0</v>
      </c>
      <c r="J23" s="28">
        <v>0</v>
      </c>
      <c r="K23" s="28">
        <v>0</v>
      </c>
      <c r="L23" s="28">
        <v>0</v>
      </c>
      <c r="M23" s="29">
        <f t="shared" si="0"/>
        <v>0</v>
      </c>
      <c r="N23" s="28">
        <v>0</v>
      </c>
      <c r="O23" s="28">
        <v>0</v>
      </c>
      <c r="P23" s="28">
        <v>0</v>
      </c>
      <c r="Q23" s="29">
        <f t="shared" si="4"/>
        <v>0</v>
      </c>
      <c r="R23" s="28">
        <v>0</v>
      </c>
      <c r="S23" s="28">
        <v>0</v>
      </c>
      <c r="T23" s="28">
        <v>0</v>
      </c>
      <c r="U23" s="29">
        <f t="shared" si="1"/>
        <v>0</v>
      </c>
      <c r="V23" s="28">
        <v>0</v>
      </c>
      <c r="W23" s="28">
        <v>0</v>
      </c>
      <c r="X23" s="28">
        <v>0</v>
      </c>
      <c r="Y23" s="29">
        <f t="shared" si="2"/>
        <v>0</v>
      </c>
      <c r="Z23" s="30">
        <f t="shared" si="5"/>
        <v>0</v>
      </c>
    </row>
    <row r="24" spans="1:31" ht="15.75" customHeight="1" x14ac:dyDescent="0.25">
      <c r="A24" s="1" t="s">
        <v>540</v>
      </c>
      <c r="B24" s="14" t="s">
        <v>541</v>
      </c>
      <c r="C24" s="2" t="s">
        <v>15</v>
      </c>
      <c r="D24" s="32">
        <v>1</v>
      </c>
      <c r="E24" s="39" t="s">
        <v>33</v>
      </c>
      <c r="F24" s="28">
        <v>0</v>
      </c>
      <c r="G24" s="28">
        <v>0</v>
      </c>
      <c r="H24" s="28">
        <v>0</v>
      </c>
      <c r="I24" s="29">
        <f t="shared" si="3"/>
        <v>0</v>
      </c>
      <c r="J24" s="28">
        <v>0</v>
      </c>
      <c r="K24" s="28">
        <v>0</v>
      </c>
      <c r="L24" s="28">
        <v>0</v>
      </c>
      <c r="M24" s="29">
        <f t="shared" si="0"/>
        <v>0</v>
      </c>
      <c r="N24" s="28">
        <v>0</v>
      </c>
      <c r="O24" s="28">
        <v>0</v>
      </c>
      <c r="P24" s="28">
        <v>0</v>
      </c>
      <c r="Q24" s="29">
        <f t="shared" si="4"/>
        <v>0</v>
      </c>
      <c r="R24" s="28">
        <v>0</v>
      </c>
      <c r="S24" s="28">
        <v>0</v>
      </c>
      <c r="T24" s="28">
        <v>0</v>
      </c>
      <c r="U24" s="29">
        <f t="shared" si="1"/>
        <v>0</v>
      </c>
      <c r="V24" s="28">
        <v>0</v>
      </c>
      <c r="W24" s="28">
        <v>0</v>
      </c>
      <c r="X24" s="28">
        <v>0</v>
      </c>
      <c r="Y24" s="29">
        <f t="shared" si="2"/>
        <v>0</v>
      </c>
      <c r="Z24" s="30">
        <f t="shared" si="5"/>
        <v>0</v>
      </c>
    </row>
    <row r="25" spans="1:31" ht="15.75" customHeight="1" x14ac:dyDescent="0.25">
      <c r="A25" s="1" t="s">
        <v>546</v>
      </c>
      <c r="B25" s="13" t="s">
        <v>547</v>
      </c>
      <c r="C25" s="2" t="s">
        <v>15</v>
      </c>
      <c r="D25" s="32">
        <v>1</v>
      </c>
      <c r="E25" s="39" t="s">
        <v>33</v>
      </c>
      <c r="F25" s="28">
        <v>0</v>
      </c>
      <c r="G25" s="28">
        <v>0</v>
      </c>
      <c r="H25" s="28">
        <v>0</v>
      </c>
      <c r="I25" s="29">
        <f t="shared" si="3"/>
        <v>0</v>
      </c>
      <c r="J25" s="28">
        <v>0</v>
      </c>
      <c r="K25" s="28">
        <v>0</v>
      </c>
      <c r="L25" s="28">
        <v>0</v>
      </c>
      <c r="M25" s="29">
        <f t="shared" si="0"/>
        <v>0</v>
      </c>
      <c r="N25" s="28">
        <v>0</v>
      </c>
      <c r="O25" s="28">
        <v>0</v>
      </c>
      <c r="P25" s="28">
        <v>0</v>
      </c>
      <c r="Q25" s="29">
        <f t="shared" si="4"/>
        <v>0</v>
      </c>
      <c r="R25" s="28">
        <v>0</v>
      </c>
      <c r="S25" s="28">
        <v>0</v>
      </c>
      <c r="T25" s="28">
        <v>0</v>
      </c>
      <c r="U25" s="29">
        <f t="shared" si="1"/>
        <v>0</v>
      </c>
      <c r="V25" s="28">
        <v>0</v>
      </c>
      <c r="W25" s="28">
        <v>0</v>
      </c>
      <c r="X25" s="28">
        <v>0</v>
      </c>
      <c r="Y25" s="29">
        <f t="shared" si="2"/>
        <v>0</v>
      </c>
      <c r="Z25" s="30">
        <f t="shared" si="5"/>
        <v>0</v>
      </c>
    </row>
    <row r="26" spans="1:31" ht="15.75" customHeight="1" x14ac:dyDescent="0.25">
      <c r="A26" s="1" t="s">
        <v>536</v>
      </c>
      <c r="B26" s="14" t="s">
        <v>537</v>
      </c>
      <c r="C26" s="2" t="s">
        <v>15</v>
      </c>
      <c r="D26" s="32">
        <v>1</v>
      </c>
      <c r="E26" s="39" t="s">
        <v>33</v>
      </c>
      <c r="F26" s="28">
        <v>0</v>
      </c>
      <c r="G26" s="28">
        <v>0</v>
      </c>
      <c r="H26" s="28">
        <v>0</v>
      </c>
      <c r="I26" s="29">
        <f t="shared" si="3"/>
        <v>0</v>
      </c>
      <c r="J26" s="28">
        <v>0</v>
      </c>
      <c r="K26" s="28">
        <v>0</v>
      </c>
      <c r="L26" s="28">
        <v>0</v>
      </c>
      <c r="M26" s="29">
        <f t="shared" si="0"/>
        <v>0</v>
      </c>
      <c r="N26" s="28">
        <v>0</v>
      </c>
      <c r="O26" s="28">
        <v>0</v>
      </c>
      <c r="P26" s="28">
        <v>0</v>
      </c>
      <c r="Q26" s="29">
        <f t="shared" si="4"/>
        <v>0</v>
      </c>
      <c r="R26" s="28">
        <v>0</v>
      </c>
      <c r="S26" s="28">
        <v>0</v>
      </c>
      <c r="T26" s="28">
        <v>0</v>
      </c>
      <c r="U26" s="29">
        <f t="shared" si="1"/>
        <v>0</v>
      </c>
      <c r="V26" s="28">
        <v>0</v>
      </c>
      <c r="W26" s="28">
        <v>0</v>
      </c>
      <c r="X26" s="28">
        <v>0</v>
      </c>
      <c r="Y26" s="29">
        <f t="shared" si="2"/>
        <v>0</v>
      </c>
      <c r="Z26" s="30">
        <f t="shared" si="5"/>
        <v>0</v>
      </c>
    </row>
    <row r="27" spans="1:31" ht="15.75" customHeight="1" x14ac:dyDescent="0.25">
      <c r="A27" s="1" t="s">
        <v>584</v>
      </c>
      <c r="B27" s="13" t="s">
        <v>585</v>
      </c>
      <c r="C27" s="2" t="s">
        <v>15</v>
      </c>
      <c r="D27" s="32">
        <v>1</v>
      </c>
      <c r="E27" s="39" t="s">
        <v>33</v>
      </c>
      <c r="F27" s="28">
        <v>0</v>
      </c>
      <c r="G27" s="28">
        <v>0</v>
      </c>
      <c r="H27" s="28">
        <v>0</v>
      </c>
      <c r="I27" s="29">
        <f t="shared" si="3"/>
        <v>0</v>
      </c>
      <c r="J27" s="28">
        <v>0</v>
      </c>
      <c r="K27" s="28">
        <v>0</v>
      </c>
      <c r="L27" s="28">
        <v>0</v>
      </c>
      <c r="M27" s="29">
        <f t="shared" si="0"/>
        <v>0</v>
      </c>
      <c r="N27" s="28">
        <v>0</v>
      </c>
      <c r="O27" s="28">
        <v>0</v>
      </c>
      <c r="P27" s="28">
        <v>0</v>
      </c>
      <c r="Q27" s="29">
        <f t="shared" si="4"/>
        <v>0</v>
      </c>
      <c r="R27" s="28">
        <v>0</v>
      </c>
      <c r="S27" s="28">
        <v>0</v>
      </c>
      <c r="T27" s="28">
        <v>0</v>
      </c>
      <c r="U27" s="29">
        <f t="shared" si="1"/>
        <v>0</v>
      </c>
      <c r="V27" s="28">
        <v>0</v>
      </c>
      <c r="W27" s="28">
        <v>0</v>
      </c>
      <c r="X27" s="28">
        <v>0</v>
      </c>
      <c r="Y27" s="29">
        <f t="shared" si="2"/>
        <v>0</v>
      </c>
      <c r="Z27" s="30">
        <f t="shared" si="5"/>
        <v>0</v>
      </c>
    </row>
    <row r="28" spans="1:31" ht="15.75" customHeight="1" x14ac:dyDescent="0.25">
      <c r="A28" s="1" t="s">
        <v>568</v>
      </c>
      <c r="B28" s="13" t="s">
        <v>569</v>
      </c>
      <c r="C28" s="2" t="s">
        <v>15</v>
      </c>
      <c r="D28" s="32">
        <v>1</v>
      </c>
      <c r="E28" s="39" t="s">
        <v>33</v>
      </c>
      <c r="F28" s="28">
        <v>0</v>
      </c>
      <c r="G28" s="28">
        <v>0</v>
      </c>
      <c r="H28" s="28">
        <v>0</v>
      </c>
      <c r="I28" s="29">
        <f t="shared" si="3"/>
        <v>0</v>
      </c>
      <c r="J28" s="28">
        <v>0</v>
      </c>
      <c r="K28" s="28">
        <v>0</v>
      </c>
      <c r="L28" s="28">
        <v>0</v>
      </c>
      <c r="M28" s="29">
        <f t="shared" si="0"/>
        <v>0</v>
      </c>
      <c r="N28" s="28">
        <v>0</v>
      </c>
      <c r="O28" s="28">
        <v>0</v>
      </c>
      <c r="P28" s="28">
        <v>0</v>
      </c>
      <c r="Q28" s="29">
        <f t="shared" si="4"/>
        <v>0</v>
      </c>
      <c r="R28" s="28">
        <v>0</v>
      </c>
      <c r="S28" s="28">
        <v>0</v>
      </c>
      <c r="T28" s="28">
        <v>0</v>
      </c>
      <c r="U28" s="29">
        <f t="shared" si="1"/>
        <v>0</v>
      </c>
      <c r="V28" s="28">
        <v>0</v>
      </c>
      <c r="W28" s="28">
        <v>0</v>
      </c>
      <c r="X28" s="28">
        <v>0</v>
      </c>
      <c r="Y28" s="29">
        <f t="shared" si="2"/>
        <v>0</v>
      </c>
      <c r="Z28" s="30">
        <f t="shared" si="5"/>
        <v>0</v>
      </c>
    </row>
    <row r="29" spans="1:31" ht="15.75" customHeight="1" x14ac:dyDescent="0.25">
      <c r="A29" s="1" t="s">
        <v>548</v>
      </c>
      <c r="B29" s="13" t="s">
        <v>549</v>
      </c>
      <c r="C29" s="2" t="s">
        <v>15</v>
      </c>
      <c r="D29" s="32">
        <v>1</v>
      </c>
      <c r="E29" s="39" t="s">
        <v>33</v>
      </c>
      <c r="F29" s="28">
        <v>0</v>
      </c>
      <c r="G29" s="28">
        <v>0</v>
      </c>
      <c r="H29" s="28">
        <v>0</v>
      </c>
      <c r="I29" s="29">
        <f t="shared" si="3"/>
        <v>0</v>
      </c>
      <c r="J29" s="28">
        <v>0</v>
      </c>
      <c r="K29" s="28">
        <v>0</v>
      </c>
      <c r="L29" s="28">
        <v>0</v>
      </c>
      <c r="M29" s="29">
        <f t="shared" si="0"/>
        <v>0</v>
      </c>
      <c r="N29" s="28">
        <v>0</v>
      </c>
      <c r="O29" s="28">
        <v>0</v>
      </c>
      <c r="P29" s="28">
        <v>0</v>
      </c>
      <c r="Q29" s="29">
        <f t="shared" si="4"/>
        <v>0</v>
      </c>
      <c r="R29" s="28">
        <v>0</v>
      </c>
      <c r="S29" s="28">
        <v>0</v>
      </c>
      <c r="T29" s="28">
        <v>0</v>
      </c>
      <c r="U29" s="29">
        <f t="shared" si="1"/>
        <v>0</v>
      </c>
      <c r="V29" s="28">
        <v>0</v>
      </c>
      <c r="W29" s="28">
        <v>0</v>
      </c>
      <c r="X29" s="28">
        <v>0</v>
      </c>
      <c r="Y29" s="29">
        <f t="shared" si="2"/>
        <v>0</v>
      </c>
      <c r="Z29" s="30">
        <f t="shared" si="5"/>
        <v>0</v>
      </c>
    </row>
    <row r="30" spans="1:31" ht="15.75" customHeight="1" x14ac:dyDescent="0.25">
      <c r="A30" s="1" t="s">
        <v>532</v>
      </c>
      <c r="B30" s="14" t="s">
        <v>533</v>
      </c>
      <c r="C30" s="2" t="s">
        <v>15</v>
      </c>
      <c r="D30" s="32">
        <v>1</v>
      </c>
      <c r="E30" s="39" t="s">
        <v>33</v>
      </c>
      <c r="F30" s="28">
        <v>0</v>
      </c>
      <c r="G30" s="28">
        <v>0</v>
      </c>
      <c r="H30" s="28">
        <v>0</v>
      </c>
      <c r="I30" s="29">
        <f t="shared" si="3"/>
        <v>0</v>
      </c>
      <c r="J30" s="28">
        <v>0</v>
      </c>
      <c r="K30" s="28">
        <v>0</v>
      </c>
      <c r="L30" s="28">
        <v>0</v>
      </c>
      <c r="M30" s="29">
        <f t="shared" si="0"/>
        <v>0</v>
      </c>
      <c r="N30" s="28">
        <v>0</v>
      </c>
      <c r="O30" s="28">
        <v>0</v>
      </c>
      <c r="P30" s="28">
        <v>0</v>
      </c>
      <c r="Q30" s="29">
        <f t="shared" si="4"/>
        <v>0</v>
      </c>
      <c r="R30" s="28">
        <v>0</v>
      </c>
      <c r="S30" s="28">
        <v>0</v>
      </c>
      <c r="T30" s="28">
        <v>0</v>
      </c>
      <c r="U30" s="29">
        <f t="shared" si="1"/>
        <v>0</v>
      </c>
      <c r="V30" s="28">
        <v>0</v>
      </c>
      <c r="W30" s="28">
        <v>0</v>
      </c>
      <c r="X30" s="28">
        <v>0</v>
      </c>
      <c r="Y30" s="29">
        <f t="shared" si="2"/>
        <v>0</v>
      </c>
      <c r="Z30" s="30">
        <f t="shared" si="5"/>
        <v>0</v>
      </c>
    </row>
    <row r="31" spans="1:31" ht="15.75" customHeight="1" x14ac:dyDescent="0.25">
      <c r="A31" s="1" t="s">
        <v>562</v>
      </c>
      <c r="B31" s="13" t="s">
        <v>563</v>
      </c>
      <c r="C31" s="2" t="s">
        <v>15</v>
      </c>
      <c r="D31" s="32">
        <v>1</v>
      </c>
      <c r="E31" s="39" t="s">
        <v>33</v>
      </c>
      <c r="F31" s="28">
        <v>0</v>
      </c>
      <c r="G31" s="28">
        <v>0</v>
      </c>
      <c r="H31" s="28">
        <v>0</v>
      </c>
      <c r="I31" s="29">
        <f t="shared" ref="I31:I33" si="6">AVERAGE(F31:H31)</f>
        <v>0</v>
      </c>
      <c r="J31" s="28">
        <v>0</v>
      </c>
      <c r="K31" s="28">
        <v>0</v>
      </c>
      <c r="L31" s="28">
        <v>0</v>
      </c>
      <c r="M31" s="29">
        <f t="shared" ref="M31:M33" si="7">AVERAGE(J31:L31)</f>
        <v>0</v>
      </c>
      <c r="N31" s="28">
        <v>0</v>
      </c>
      <c r="O31" s="28">
        <v>0</v>
      </c>
      <c r="P31" s="28">
        <v>0</v>
      </c>
      <c r="Q31" s="29">
        <f t="shared" ref="Q31:Q33" si="8">AVERAGE(N31:P31)</f>
        <v>0</v>
      </c>
      <c r="R31" s="28">
        <v>0</v>
      </c>
      <c r="S31" s="28">
        <v>0</v>
      </c>
      <c r="T31" s="28">
        <v>0</v>
      </c>
      <c r="U31" s="29">
        <f t="shared" ref="U31:U33" si="9">AVERAGE(R31:T31)</f>
        <v>0</v>
      </c>
      <c r="V31" s="28">
        <v>0</v>
      </c>
      <c r="W31" s="28">
        <v>0</v>
      </c>
      <c r="X31" s="28">
        <v>0</v>
      </c>
      <c r="Y31" s="29">
        <f t="shared" ref="Y31:Y33" si="10">AVERAGE(V31:X31)</f>
        <v>0</v>
      </c>
      <c r="Z31" s="30">
        <f t="shared" ref="Z31:Z33" si="11">AVERAGE(I31,M31,Q31,U31,Y31)</f>
        <v>0</v>
      </c>
    </row>
    <row r="32" spans="1:31" ht="15.75" customHeight="1" x14ac:dyDescent="0.25">
      <c r="A32" s="1" t="s">
        <v>528</v>
      </c>
      <c r="B32" s="14" t="s">
        <v>529</v>
      </c>
      <c r="C32" s="2" t="s">
        <v>15</v>
      </c>
      <c r="D32" s="32">
        <v>1</v>
      </c>
      <c r="E32" s="39" t="s">
        <v>33</v>
      </c>
      <c r="F32" s="28">
        <v>0</v>
      </c>
      <c r="G32" s="28">
        <v>0</v>
      </c>
      <c r="H32" s="28">
        <v>0</v>
      </c>
      <c r="I32" s="29">
        <f t="shared" si="6"/>
        <v>0</v>
      </c>
      <c r="J32" s="28">
        <v>0</v>
      </c>
      <c r="K32" s="28">
        <v>0</v>
      </c>
      <c r="L32" s="28">
        <v>0</v>
      </c>
      <c r="M32" s="29">
        <f t="shared" si="7"/>
        <v>0</v>
      </c>
      <c r="N32" s="28">
        <v>0</v>
      </c>
      <c r="O32" s="28">
        <v>0</v>
      </c>
      <c r="P32" s="28">
        <v>0</v>
      </c>
      <c r="Q32" s="29">
        <f t="shared" si="8"/>
        <v>0</v>
      </c>
      <c r="R32" s="28">
        <v>0</v>
      </c>
      <c r="S32" s="28">
        <v>0</v>
      </c>
      <c r="T32" s="28">
        <v>0</v>
      </c>
      <c r="U32" s="29">
        <f t="shared" si="9"/>
        <v>0</v>
      </c>
      <c r="V32" s="28">
        <v>0</v>
      </c>
      <c r="W32" s="28">
        <v>0</v>
      </c>
      <c r="X32" s="28">
        <v>0</v>
      </c>
      <c r="Y32" s="29">
        <f t="shared" si="10"/>
        <v>0</v>
      </c>
      <c r="Z32" s="30">
        <f t="shared" si="11"/>
        <v>0</v>
      </c>
    </row>
    <row r="33" spans="1:26" ht="15.75" customHeight="1" x14ac:dyDescent="0.25">
      <c r="A33" s="1" t="s">
        <v>558</v>
      </c>
      <c r="B33" s="13" t="s">
        <v>559</v>
      </c>
      <c r="C33" s="2" t="s">
        <v>15</v>
      </c>
      <c r="D33" s="32">
        <v>1</v>
      </c>
      <c r="E33" s="39" t="s">
        <v>33</v>
      </c>
      <c r="F33" s="28">
        <v>0</v>
      </c>
      <c r="G33" s="28">
        <v>0</v>
      </c>
      <c r="H33" s="28">
        <v>0</v>
      </c>
      <c r="I33" s="29">
        <f t="shared" si="6"/>
        <v>0</v>
      </c>
      <c r="J33" s="28">
        <v>0</v>
      </c>
      <c r="K33" s="28">
        <v>0</v>
      </c>
      <c r="L33" s="28">
        <v>0</v>
      </c>
      <c r="M33" s="29">
        <f t="shared" si="7"/>
        <v>0</v>
      </c>
      <c r="N33" s="28">
        <v>0</v>
      </c>
      <c r="O33" s="28">
        <v>0</v>
      </c>
      <c r="P33" s="28">
        <v>0</v>
      </c>
      <c r="Q33" s="29">
        <f t="shared" si="8"/>
        <v>0</v>
      </c>
      <c r="R33" s="28">
        <v>0</v>
      </c>
      <c r="S33" s="28">
        <v>0</v>
      </c>
      <c r="T33" s="28">
        <v>0</v>
      </c>
      <c r="U33" s="29">
        <f t="shared" si="9"/>
        <v>0</v>
      </c>
      <c r="V33" s="28">
        <v>0</v>
      </c>
      <c r="W33" s="28">
        <v>0</v>
      </c>
      <c r="X33" s="28">
        <v>0</v>
      </c>
      <c r="Y33" s="29">
        <f t="shared" si="10"/>
        <v>0</v>
      </c>
      <c r="Z33" s="30">
        <f t="shared" si="11"/>
        <v>0</v>
      </c>
    </row>
  </sheetData>
  <sortState xmlns:xlrd2="http://schemas.microsoft.com/office/spreadsheetml/2017/richdata2" ref="A3:Z33">
    <sortCondition ref="E1:E33"/>
  </sortState>
  <mergeCells count="5">
    <mergeCell ref="F1:I1"/>
    <mergeCell ref="J1:M1"/>
    <mergeCell ref="N1:Q1"/>
    <mergeCell ref="R1:U1"/>
    <mergeCell ref="V1:Y1"/>
  </mergeCells>
  <conditionalFormatting sqref="F3:H33">
    <cfRule type="cellIs" dxfId="486" priority="53" operator="lessThan">
      <formula>7.9</formula>
    </cfRule>
  </conditionalFormatting>
  <conditionalFormatting sqref="F3:H33">
    <cfRule type="cellIs" dxfId="485" priority="54" operator="lessThan">
      <formula>7.4</formula>
    </cfRule>
  </conditionalFormatting>
  <conditionalFormatting sqref="F5:H6">
    <cfRule type="cellIs" dxfId="484" priority="55" operator="lessThan">
      <formula>6.9</formula>
    </cfRule>
  </conditionalFormatting>
  <conditionalFormatting sqref="I3:I33">
    <cfRule type="cellIs" dxfId="483" priority="56" operator="lessThan">
      <formula>7.9</formula>
    </cfRule>
    <cfRule type="cellIs" dxfId="482" priority="65" operator="lessThan">
      <formula>6.9</formula>
    </cfRule>
    <cfRule type="cellIs" dxfId="481" priority="66" operator="lessThan">
      <formula>7.4</formula>
    </cfRule>
    <cfRule type="cellIs" dxfId="480" priority="67" operator="lessThan">
      <formula>7.9</formula>
    </cfRule>
  </conditionalFormatting>
  <conditionalFormatting sqref="I3:I33">
    <cfRule type="cellIs" dxfId="479" priority="57" operator="lessThan">
      <formula>6.9</formula>
    </cfRule>
    <cfRule type="cellIs" dxfId="478" priority="58" operator="lessThan">
      <formula>7.4</formula>
    </cfRule>
    <cfRule type="cellIs" dxfId="477" priority="59" operator="lessThan">
      <formula>7.9</formula>
    </cfRule>
    <cfRule type="cellIs" dxfId="476" priority="60" operator="lessThan">
      <formula>6.9</formula>
    </cfRule>
    <cfRule type="cellIs" dxfId="475" priority="61" operator="lessThan">
      <formula>7.9</formula>
    </cfRule>
    <cfRule type="cellIs" dxfId="474" priority="62" operator="lessThan">
      <formula>7.4</formula>
    </cfRule>
    <cfRule type="cellIs" dxfId="473" priority="63" operator="lessThan">
      <formula>6.9</formula>
    </cfRule>
    <cfRule type="cellIs" dxfId="472" priority="64" operator="lessThan">
      <formula>7.9</formula>
    </cfRule>
  </conditionalFormatting>
  <conditionalFormatting sqref="M3:M33">
    <cfRule type="cellIs" dxfId="471" priority="68" operator="lessThan">
      <formula>7.9</formula>
    </cfRule>
    <cfRule type="cellIs" dxfId="470" priority="69" operator="lessThan">
      <formula>6.9</formula>
    </cfRule>
    <cfRule type="cellIs" dxfId="469" priority="70" operator="lessThan">
      <formula>7.4</formula>
    </cfRule>
    <cfRule type="cellIs" dxfId="468" priority="71" operator="lessThan">
      <formula>7.9</formula>
    </cfRule>
    <cfRule type="cellIs" dxfId="467" priority="72" operator="lessThan">
      <formula>6.9</formula>
    </cfRule>
    <cfRule type="cellIs" dxfId="466" priority="73" operator="lessThan">
      <formula>7.9</formula>
    </cfRule>
    <cfRule type="cellIs" dxfId="465" priority="74" operator="lessThan">
      <formula>7.4</formula>
    </cfRule>
    <cfRule type="cellIs" dxfId="464" priority="75" operator="lessThan">
      <formula>6.9</formula>
    </cfRule>
    <cfRule type="cellIs" dxfId="463" priority="76" operator="lessThan">
      <formula>7.9</formula>
    </cfRule>
    <cfRule type="cellIs" dxfId="462" priority="77" operator="lessThan">
      <formula>6.9</formula>
    </cfRule>
    <cfRule type="cellIs" dxfId="461" priority="78" operator="lessThan">
      <formula>7.4</formula>
    </cfRule>
    <cfRule type="cellIs" dxfId="460" priority="79" operator="lessThan">
      <formula>6.9</formula>
    </cfRule>
    <cfRule type="cellIs" dxfId="459" priority="80" operator="lessThan">
      <formula>7.4</formula>
    </cfRule>
    <cfRule type="cellIs" dxfId="458" priority="81" operator="lessThan">
      <formula>7.9</formula>
    </cfRule>
  </conditionalFormatting>
  <conditionalFormatting sqref="J3:L33">
    <cfRule type="cellIs" dxfId="457" priority="50" operator="lessThan">
      <formula>7.9</formula>
    </cfRule>
  </conditionalFormatting>
  <conditionalFormatting sqref="J3:L33">
    <cfRule type="cellIs" dxfId="456" priority="51" operator="lessThan">
      <formula>7.4</formula>
    </cfRule>
  </conditionalFormatting>
  <conditionalFormatting sqref="J5:L6">
    <cfRule type="cellIs" dxfId="455" priority="52" operator="lessThan">
      <formula>6.9</formula>
    </cfRule>
  </conditionalFormatting>
  <conditionalFormatting sqref="N3:P33">
    <cfRule type="cellIs" dxfId="454" priority="21" operator="lessThan">
      <formula>7.9</formula>
    </cfRule>
  </conditionalFormatting>
  <conditionalFormatting sqref="N3:P33">
    <cfRule type="cellIs" dxfId="453" priority="22" operator="lessThan">
      <formula>7.4</formula>
    </cfRule>
  </conditionalFormatting>
  <conditionalFormatting sqref="N5:P6">
    <cfRule type="cellIs" dxfId="452" priority="23" operator="lessThan">
      <formula>6.9</formula>
    </cfRule>
  </conditionalFormatting>
  <conditionalFormatting sqref="Q3:Q33">
    <cfRule type="cellIs" dxfId="451" priority="24" operator="lessThan">
      <formula>7.9</formula>
    </cfRule>
    <cfRule type="cellIs" dxfId="450" priority="33" operator="lessThan">
      <formula>6.9</formula>
    </cfRule>
    <cfRule type="cellIs" dxfId="449" priority="34" operator="lessThan">
      <formula>7.4</formula>
    </cfRule>
    <cfRule type="cellIs" dxfId="448" priority="35" operator="lessThan">
      <formula>7.9</formula>
    </cfRule>
  </conditionalFormatting>
  <conditionalFormatting sqref="Q3:Q33">
    <cfRule type="cellIs" dxfId="447" priority="25" operator="lessThan">
      <formula>6.9</formula>
    </cfRule>
    <cfRule type="cellIs" dxfId="446" priority="26" operator="lessThan">
      <formula>7.4</formula>
    </cfRule>
    <cfRule type="cellIs" dxfId="445" priority="27" operator="lessThan">
      <formula>7.9</formula>
    </cfRule>
    <cfRule type="cellIs" dxfId="444" priority="28" operator="lessThan">
      <formula>6.9</formula>
    </cfRule>
    <cfRule type="cellIs" dxfId="443" priority="29" operator="lessThan">
      <formula>7.9</formula>
    </cfRule>
    <cfRule type="cellIs" dxfId="442" priority="30" operator="lessThan">
      <formula>7.4</formula>
    </cfRule>
    <cfRule type="cellIs" dxfId="441" priority="31" operator="lessThan">
      <formula>6.9</formula>
    </cfRule>
    <cfRule type="cellIs" dxfId="440" priority="32" operator="lessThan">
      <formula>7.9</formula>
    </cfRule>
  </conditionalFormatting>
  <conditionalFormatting sqref="U3:U33">
    <cfRule type="cellIs" dxfId="439" priority="36" operator="lessThan">
      <formula>7.9</formula>
    </cfRule>
    <cfRule type="cellIs" dxfId="438" priority="37" operator="lessThan">
      <formula>6.9</formula>
    </cfRule>
    <cfRule type="cellIs" dxfId="437" priority="38" operator="lessThan">
      <formula>7.4</formula>
    </cfRule>
    <cfRule type="cellIs" dxfId="436" priority="39" operator="lessThan">
      <formula>7.9</formula>
    </cfRule>
    <cfRule type="cellIs" dxfId="435" priority="40" operator="lessThan">
      <formula>6.9</formula>
    </cfRule>
    <cfRule type="cellIs" dxfId="434" priority="41" operator="lessThan">
      <formula>7.9</formula>
    </cfRule>
    <cfRule type="cellIs" dxfId="433" priority="42" operator="lessThan">
      <formula>7.4</formula>
    </cfRule>
    <cfRule type="cellIs" dxfId="432" priority="43" operator="lessThan">
      <formula>6.9</formula>
    </cfRule>
    <cfRule type="cellIs" dxfId="431" priority="44" operator="lessThan">
      <formula>7.9</formula>
    </cfRule>
    <cfRule type="cellIs" dxfId="430" priority="45" operator="lessThan">
      <formula>6.9</formula>
    </cfRule>
    <cfRule type="cellIs" dxfId="429" priority="46" operator="lessThan">
      <formula>7.4</formula>
    </cfRule>
    <cfRule type="cellIs" dxfId="428" priority="47" operator="lessThan">
      <formula>6.9</formula>
    </cfRule>
    <cfRule type="cellIs" dxfId="427" priority="48" operator="lessThan">
      <formula>7.4</formula>
    </cfRule>
    <cfRule type="cellIs" dxfId="426" priority="49" operator="lessThan">
      <formula>7.9</formula>
    </cfRule>
  </conditionalFormatting>
  <conditionalFormatting sqref="R3:T33">
    <cfRule type="cellIs" dxfId="425" priority="18" operator="lessThan">
      <formula>7.9</formula>
    </cfRule>
  </conditionalFormatting>
  <conditionalFormatting sqref="R3:T33">
    <cfRule type="cellIs" dxfId="424" priority="19" operator="lessThan">
      <formula>7.4</formula>
    </cfRule>
  </conditionalFormatting>
  <conditionalFormatting sqref="R5:T6">
    <cfRule type="cellIs" dxfId="423" priority="20" operator="lessThan">
      <formula>6.9</formula>
    </cfRule>
  </conditionalFormatting>
  <conditionalFormatting sqref="Y3:Y33">
    <cfRule type="cellIs" dxfId="422" priority="4" operator="lessThan">
      <formula>7.9</formula>
    </cfRule>
    <cfRule type="cellIs" dxfId="421" priority="5" operator="lessThan">
      <formula>6.9</formula>
    </cfRule>
    <cfRule type="cellIs" dxfId="420" priority="6" operator="lessThan">
      <formula>7.4</formula>
    </cfRule>
    <cfRule type="cellIs" dxfId="419" priority="7" operator="lessThan">
      <formula>7.9</formula>
    </cfRule>
    <cfRule type="cellIs" dxfId="418" priority="8" operator="lessThan">
      <formula>6.9</formula>
    </cfRule>
    <cfRule type="cellIs" dxfId="417" priority="9" operator="lessThan">
      <formula>7.9</formula>
    </cfRule>
    <cfRule type="cellIs" dxfId="416" priority="10" operator="lessThan">
      <formula>7.4</formula>
    </cfRule>
    <cfRule type="cellIs" dxfId="415" priority="11" operator="lessThan">
      <formula>6.9</formula>
    </cfRule>
    <cfRule type="cellIs" dxfId="414" priority="12" operator="lessThan">
      <formula>7.9</formula>
    </cfRule>
    <cfRule type="cellIs" dxfId="413" priority="13" operator="lessThan">
      <formula>6.9</formula>
    </cfRule>
    <cfRule type="cellIs" dxfId="412" priority="14" operator="lessThan">
      <formula>7.4</formula>
    </cfRule>
    <cfRule type="cellIs" dxfId="411" priority="15" operator="lessThan">
      <formula>6.9</formula>
    </cfRule>
    <cfRule type="cellIs" dxfId="410" priority="16" operator="lessThan">
      <formula>7.4</formula>
    </cfRule>
    <cfRule type="cellIs" dxfId="409" priority="17" operator="lessThan">
      <formula>7.9</formula>
    </cfRule>
  </conditionalFormatting>
  <conditionalFormatting sqref="V3:X33">
    <cfRule type="cellIs" dxfId="408" priority="1" operator="lessThan">
      <formula>7.9</formula>
    </cfRule>
  </conditionalFormatting>
  <conditionalFormatting sqref="V3:X33">
    <cfRule type="cellIs" dxfId="407" priority="2" operator="lessThan">
      <formula>7.4</formula>
    </cfRule>
  </conditionalFormatting>
  <conditionalFormatting sqref="V5:X6">
    <cfRule type="cellIs" dxfId="406" priority="3" operator="lessThan">
      <formula>6.9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E44"/>
  <sheetViews>
    <sheetView zoomScale="70" zoomScaleNormal="70" workbookViewId="0">
      <selection activeCell="F2" sqref="F1:Z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7" max="31" width="3.140625" customWidth="1"/>
  </cols>
  <sheetData>
    <row r="1" spans="1:31" ht="44.25" x14ac:dyDescent="0.2">
      <c r="A1" s="1"/>
      <c r="B1" s="1"/>
      <c r="C1" s="33"/>
      <c r="D1" s="33"/>
      <c r="E1" s="33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1" t="s">
        <v>122</v>
      </c>
      <c r="O1" s="22"/>
      <c r="P1" s="22"/>
      <c r="Q1" s="23"/>
      <c r="R1" s="21" t="s">
        <v>123</v>
      </c>
      <c r="S1" s="22"/>
      <c r="T1" s="22"/>
      <c r="U1" s="23"/>
      <c r="V1" s="21" t="s">
        <v>124</v>
      </c>
      <c r="W1" s="22"/>
      <c r="X1" s="22"/>
      <c r="Y1" s="23"/>
      <c r="Z1" s="24" t="s">
        <v>2</v>
      </c>
      <c r="AA1" s="11"/>
      <c r="AB1" s="11"/>
      <c r="AC1" s="11"/>
      <c r="AD1" s="11"/>
      <c r="AE1" s="11"/>
    </row>
    <row r="2" spans="1:31" x14ac:dyDescent="0.2">
      <c r="A2" s="1" t="s">
        <v>3</v>
      </c>
      <c r="B2" s="1" t="s">
        <v>4</v>
      </c>
      <c r="C2" s="25" t="s">
        <v>848</v>
      </c>
      <c r="D2" s="25" t="s">
        <v>849</v>
      </c>
      <c r="E2" s="25" t="s">
        <v>850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5" t="s">
        <v>8</v>
      </c>
      <c r="O2" s="25" t="s">
        <v>9</v>
      </c>
      <c r="P2" s="25" t="s">
        <v>10</v>
      </c>
      <c r="Q2" s="26" t="s">
        <v>11</v>
      </c>
      <c r="R2" s="25" t="s">
        <v>8</v>
      </c>
      <c r="S2" s="25" t="s">
        <v>9</v>
      </c>
      <c r="T2" s="25" t="s">
        <v>10</v>
      </c>
      <c r="U2" s="26" t="s">
        <v>11</v>
      </c>
      <c r="V2" s="25" t="s">
        <v>8</v>
      </c>
      <c r="W2" s="25" t="s">
        <v>9</v>
      </c>
      <c r="X2" s="25" t="s">
        <v>10</v>
      </c>
      <c r="Y2" s="26" t="s">
        <v>11</v>
      </c>
      <c r="Z2" s="24" t="s">
        <v>12</v>
      </c>
      <c r="AA2" s="5"/>
      <c r="AB2" s="5"/>
      <c r="AC2" s="5"/>
      <c r="AD2" s="5"/>
      <c r="AE2" s="5"/>
    </row>
    <row r="3" spans="1:31" ht="15.75" customHeight="1" x14ac:dyDescent="0.25">
      <c r="A3" s="1" t="s">
        <v>594</v>
      </c>
      <c r="B3" s="13" t="s">
        <v>595</v>
      </c>
      <c r="C3" s="2" t="s">
        <v>15</v>
      </c>
      <c r="D3" s="32">
        <v>2</v>
      </c>
      <c r="E3" s="32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33" si="0">AVERAGE(J3:L3)</f>
        <v>0</v>
      </c>
      <c r="N3" s="28">
        <v>0</v>
      </c>
      <c r="O3" s="28">
        <v>0</v>
      </c>
      <c r="P3" s="28">
        <v>0</v>
      </c>
      <c r="Q3" s="29">
        <f>AVERAGE(N3:P3)</f>
        <v>0</v>
      </c>
      <c r="R3" s="28">
        <v>0</v>
      </c>
      <c r="S3" s="28">
        <v>0</v>
      </c>
      <c r="T3" s="28">
        <v>0</v>
      </c>
      <c r="U3" s="29">
        <f t="shared" ref="U3:U33" si="1">AVERAGE(R3:T3)</f>
        <v>0</v>
      </c>
      <c r="V3" s="28">
        <v>0</v>
      </c>
      <c r="W3" s="28">
        <v>0</v>
      </c>
      <c r="X3" s="28">
        <v>0</v>
      </c>
      <c r="Y3" s="29">
        <f t="shared" ref="Y3:Y33" si="2">AVERAGE(V3:X3)</f>
        <v>0</v>
      </c>
      <c r="Z3" s="30">
        <f>AVERAGE(I3,M3,Q3,U3,Y3)</f>
        <v>0</v>
      </c>
      <c r="AA3" s="6"/>
      <c r="AB3" s="6"/>
      <c r="AC3" s="7"/>
      <c r="AD3" s="6"/>
      <c r="AE3" s="7"/>
    </row>
    <row r="4" spans="1:31" ht="15.75" customHeight="1" x14ac:dyDescent="0.25">
      <c r="A4" s="1" t="s">
        <v>642</v>
      </c>
      <c r="B4" s="14" t="s">
        <v>643</v>
      </c>
      <c r="C4" s="2" t="s">
        <v>15</v>
      </c>
      <c r="D4" s="32">
        <v>2</v>
      </c>
      <c r="E4" s="32" t="s">
        <v>16</v>
      </c>
      <c r="F4" s="28">
        <v>0</v>
      </c>
      <c r="G4" s="28">
        <v>0</v>
      </c>
      <c r="H4" s="28">
        <v>0</v>
      </c>
      <c r="I4" s="29">
        <f t="shared" ref="I4:I33" si="3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28">
        <v>0</v>
      </c>
      <c r="O4" s="28">
        <v>0</v>
      </c>
      <c r="P4" s="28">
        <v>0</v>
      </c>
      <c r="Q4" s="29">
        <f t="shared" ref="Q4:Q33" si="4">AVERAGE(N4:P4)</f>
        <v>0</v>
      </c>
      <c r="R4" s="28">
        <v>0</v>
      </c>
      <c r="S4" s="28">
        <v>0</v>
      </c>
      <c r="T4" s="28">
        <v>0</v>
      </c>
      <c r="U4" s="29">
        <f t="shared" si="1"/>
        <v>0</v>
      </c>
      <c r="V4" s="28">
        <v>0</v>
      </c>
      <c r="W4" s="28">
        <v>0</v>
      </c>
      <c r="X4" s="28">
        <v>0</v>
      </c>
      <c r="Y4" s="29">
        <f t="shared" si="2"/>
        <v>0</v>
      </c>
      <c r="Z4" s="30">
        <f t="shared" ref="Z4:Z33" si="5">AVERAGE(I4,M4,Q4,U4,Y4)</f>
        <v>0</v>
      </c>
      <c r="AA4" s="7"/>
      <c r="AB4" s="7"/>
      <c r="AC4" s="7"/>
      <c r="AD4" s="7"/>
      <c r="AE4" s="7"/>
    </row>
    <row r="5" spans="1:31" ht="15.75" customHeight="1" x14ac:dyDescent="0.25">
      <c r="A5" s="1" t="s">
        <v>616</v>
      </c>
      <c r="B5" s="14" t="s">
        <v>617</v>
      </c>
      <c r="C5" s="2" t="s">
        <v>15</v>
      </c>
      <c r="D5" s="32">
        <v>2</v>
      </c>
      <c r="E5" s="32" t="s">
        <v>16</v>
      </c>
      <c r="F5" s="28">
        <v>0</v>
      </c>
      <c r="G5" s="28">
        <v>0</v>
      </c>
      <c r="H5" s="28">
        <v>0</v>
      </c>
      <c r="I5" s="29">
        <f t="shared" si="3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28">
        <v>0</v>
      </c>
      <c r="O5" s="28">
        <v>0</v>
      </c>
      <c r="P5" s="28">
        <v>0</v>
      </c>
      <c r="Q5" s="29">
        <f t="shared" si="4"/>
        <v>0</v>
      </c>
      <c r="R5" s="28">
        <v>0</v>
      </c>
      <c r="S5" s="28">
        <v>0</v>
      </c>
      <c r="T5" s="28">
        <v>0</v>
      </c>
      <c r="U5" s="29">
        <f t="shared" si="1"/>
        <v>0</v>
      </c>
      <c r="V5" s="28">
        <v>0</v>
      </c>
      <c r="W5" s="28">
        <v>0</v>
      </c>
      <c r="X5" s="28">
        <v>0</v>
      </c>
      <c r="Y5" s="29">
        <f t="shared" si="2"/>
        <v>0</v>
      </c>
      <c r="Z5" s="30">
        <f t="shared" si="5"/>
        <v>0</v>
      </c>
      <c r="AA5" s="7"/>
      <c r="AB5" s="7"/>
      <c r="AC5" s="7"/>
      <c r="AD5" s="8"/>
      <c r="AE5" s="7"/>
    </row>
    <row r="6" spans="1:31" ht="15.75" customHeight="1" x14ac:dyDescent="0.25">
      <c r="A6" s="1" t="s">
        <v>590</v>
      </c>
      <c r="B6" s="14" t="s">
        <v>591</v>
      </c>
      <c r="C6" s="2" t="s">
        <v>15</v>
      </c>
      <c r="D6" s="32">
        <v>2</v>
      </c>
      <c r="E6" s="32" t="s">
        <v>16</v>
      </c>
      <c r="F6" s="28">
        <v>0</v>
      </c>
      <c r="G6" s="28">
        <v>0</v>
      </c>
      <c r="H6" s="28">
        <v>0</v>
      </c>
      <c r="I6" s="29">
        <f t="shared" si="3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28">
        <v>0</v>
      </c>
      <c r="O6" s="28">
        <v>0</v>
      </c>
      <c r="P6" s="28">
        <v>0</v>
      </c>
      <c r="Q6" s="29">
        <f t="shared" si="4"/>
        <v>0</v>
      </c>
      <c r="R6" s="28">
        <v>0</v>
      </c>
      <c r="S6" s="28">
        <v>0</v>
      </c>
      <c r="T6" s="28">
        <v>0</v>
      </c>
      <c r="U6" s="29">
        <f t="shared" si="1"/>
        <v>0</v>
      </c>
      <c r="V6" s="28">
        <v>0</v>
      </c>
      <c r="W6" s="28">
        <v>0</v>
      </c>
      <c r="X6" s="28">
        <v>0</v>
      </c>
      <c r="Y6" s="29">
        <f t="shared" si="2"/>
        <v>0</v>
      </c>
      <c r="Z6" s="30">
        <f t="shared" si="5"/>
        <v>0</v>
      </c>
      <c r="AA6" s="7"/>
      <c r="AB6" s="7"/>
      <c r="AC6" s="7"/>
      <c r="AD6" s="8"/>
      <c r="AE6" s="7"/>
    </row>
    <row r="7" spans="1:31" ht="15.75" customHeight="1" x14ac:dyDescent="0.25">
      <c r="A7" s="1" t="s">
        <v>630</v>
      </c>
      <c r="B7" s="13" t="s">
        <v>631</v>
      </c>
      <c r="C7" s="2" t="s">
        <v>15</v>
      </c>
      <c r="D7" s="32">
        <v>2</v>
      </c>
      <c r="E7" s="32" t="s">
        <v>16</v>
      </c>
      <c r="F7" s="28">
        <v>0</v>
      </c>
      <c r="G7" s="28">
        <v>0</v>
      </c>
      <c r="H7" s="28">
        <v>0</v>
      </c>
      <c r="I7" s="29">
        <f t="shared" si="3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28">
        <v>0</v>
      </c>
      <c r="O7" s="28">
        <v>0</v>
      </c>
      <c r="P7" s="28">
        <v>0</v>
      </c>
      <c r="Q7" s="29">
        <f t="shared" si="4"/>
        <v>0</v>
      </c>
      <c r="R7" s="28">
        <v>0</v>
      </c>
      <c r="S7" s="28">
        <v>0</v>
      </c>
      <c r="T7" s="28">
        <v>0</v>
      </c>
      <c r="U7" s="29">
        <f t="shared" si="1"/>
        <v>0</v>
      </c>
      <c r="V7" s="28">
        <v>0</v>
      </c>
      <c r="W7" s="28">
        <v>0</v>
      </c>
      <c r="X7" s="28">
        <v>0</v>
      </c>
      <c r="Y7" s="29">
        <f t="shared" si="2"/>
        <v>0</v>
      </c>
      <c r="Z7" s="30">
        <f t="shared" si="5"/>
        <v>0</v>
      </c>
      <c r="AA7" s="9"/>
      <c r="AB7" s="9"/>
      <c r="AC7" s="6"/>
      <c r="AD7" s="6"/>
      <c r="AE7" s="7"/>
    </row>
    <row r="8" spans="1:31" ht="15.75" customHeight="1" x14ac:dyDescent="0.25">
      <c r="A8" s="1" t="s">
        <v>600</v>
      </c>
      <c r="B8" s="14" t="s">
        <v>601</v>
      </c>
      <c r="C8" s="2" t="s">
        <v>15</v>
      </c>
      <c r="D8" s="32">
        <v>2</v>
      </c>
      <c r="E8" s="32" t="s">
        <v>16</v>
      </c>
      <c r="F8" s="28">
        <v>0</v>
      </c>
      <c r="G8" s="28">
        <v>0</v>
      </c>
      <c r="H8" s="28">
        <v>0</v>
      </c>
      <c r="I8" s="29">
        <f t="shared" si="3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28">
        <v>0</v>
      </c>
      <c r="O8" s="28">
        <v>0</v>
      </c>
      <c r="P8" s="28">
        <v>0</v>
      </c>
      <c r="Q8" s="29">
        <f t="shared" si="4"/>
        <v>0</v>
      </c>
      <c r="R8" s="28">
        <v>0</v>
      </c>
      <c r="S8" s="28">
        <v>0</v>
      </c>
      <c r="T8" s="28">
        <v>0</v>
      </c>
      <c r="U8" s="29">
        <f t="shared" si="1"/>
        <v>0</v>
      </c>
      <c r="V8" s="28">
        <v>0</v>
      </c>
      <c r="W8" s="28">
        <v>0</v>
      </c>
      <c r="X8" s="28">
        <v>0</v>
      </c>
      <c r="Y8" s="29">
        <f t="shared" si="2"/>
        <v>0</v>
      </c>
      <c r="Z8" s="30">
        <f t="shared" si="5"/>
        <v>0</v>
      </c>
      <c r="AA8" s="7"/>
      <c r="AB8" s="7"/>
      <c r="AC8" s="6"/>
      <c r="AD8" s="6"/>
      <c r="AE8" s="7"/>
    </row>
    <row r="9" spans="1:31" ht="15.75" customHeight="1" x14ac:dyDescent="0.25">
      <c r="A9" s="1" t="s">
        <v>624</v>
      </c>
      <c r="B9" s="13" t="s">
        <v>625</v>
      </c>
      <c r="C9" s="2" t="s">
        <v>15</v>
      </c>
      <c r="D9" s="32">
        <v>2</v>
      </c>
      <c r="E9" s="32" t="s">
        <v>16</v>
      </c>
      <c r="F9" s="28">
        <v>0</v>
      </c>
      <c r="G9" s="28">
        <v>0</v>
      </c>
      <c r="H9" s="28">
        <v>0</v>
      </c>
      <c r="I9" s="29">
        <f t="shared" si="3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28">
        <v>0</v>
      </c>
      <c r="O9" s="28">
        <v>0</v>
      </c>
      <c r="P9" s="28">
        <v>0</v>
      </c>
      <c r="Q9" s="29">
        <f t="shared" si="4"/>
        <v>0</v>
      </c>
      <c r="R9" s="28">
        <v>0</v>
      </c>
      <c r="S9" s="28">
        <v>0</v>
      </c>
      <c r="T9" s="28">
        <v>0</v>
      </c>
      <c r="U9" s="29">
        <f t="shared" si="1"/>
        <v>0</v>
      </c>
      <c r="V9" s="28">
        <v>0</v>
      </c>
      <c r="W9" s="28">
        <v>0</v>
      </c>
      <c r="X9" s="28">
        <v>0</v>
      </c>
      <c r="Y9" s="29">
        <f t="shared" si="2"/>
        <v>0</v>
      </c>
      <c r="Z9" s="30">
        <f t="shared" si="5"/>
        <v>0</v>
      </c>
      <c r="AA9" s="6"/>
      <c r="AB9" s="6"/>
      <c r="AC9" s="10"/>
      <c r="AD9" s="8"/>
      <c r="AE9" s="7"/>
    </row>
    <row r="10" spans="1:31" ht="15.75" customHeight="1" x14ac:dyDescent="0.25">
      <c r="A10" s="1" t="s">
        <v>664</v>
      </c>
      <c r="B10" s="13" t="s">
        <v>665</v>
      </c>
      <c r="C10" s="2" t="s">
        <v>15</v>
      </c>
      <c r="D10" s="32">
        <v>2</v>
      </c>
      <c r="E10" s="32" t="s">
        <v>16</v>
      </c>
      <c r="F10" s="28">
        <v>0</v>
      </c>
      <c r="G10" s="28">
        <v>0</v>
      </c>
      <c r="H10" s="28">
        <v>0</v>
      </c>
      <c r="I10" s="29">
        <f t="shared" si="3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28">
        <v>0</v>
      </c>
      <c r="O10" s="28">
        <v>0</v>
      </c>
      <c r="P10" s="28">
        <v>0</v>
      </c>
      <c r="Q10" s="29">
        <f t="shared" si="4"/>
        <v>0</v>
      </c>
      <c r="R10" s="28">
        <v>0</v>
      </c>
      <c r="S10" s="28">
        <v>0</v>
      </c>
      <c r="T10" s="28">
        <v>0</v>
      </c>
      <c r="U10" s="29">
        <f t="shared" si="1"/>
        <v>0</v>
      </c>
      <c r="V10" s="28">
        <v>0</v>
      </c>
      <c r="W10" s="28">
        <v>0</v>
      </c>
      <c r="X10" s="28">
        <v>0</v>
      </c>
      <c r="Y10" s="29">
        <f t="shared" si="2"/>
        <v>0</v>
      </c>
      <c r="Z10" s="30">
        <f t="shared" si="5"/>
        <v>0</v>
      </c>
      <c r="AA10" s="7"/>
      <c r="AB10" s="7"/>
      <c r="AC10" s="7"/>
      <c r="AD10" s="7"/>
      <c r="AE10" s="7"/>
    </row>
    <row r="11" spans="1:31" ht="15.75" customHeight="1" x14ac:dyDescent="0.25">
      <c r="A11" s="1" t="s">
        <v>622</v>
      </c>
      <c r="B11" s="13" t="s">
        <v>623</v>
      </c>
      <c r="C11" s="2" t="s">
        <v>15</v>
      </c>
      <c r="D11" s="32">
        <v>2</v>
      </c>
      <c r="E11" s="32" t="s">
        <v>16</v>
      </c>
      <c r="F11" s="28">
        <v>0</v>
      </c>
      <c r="G11" s="28">
        <v>0</v>
      </c>
      <c r="H11" s="28">
        <v>0</v>
      </c>
      <c r="I11" s="29">
        <f t="shared" si="3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28">
        <v>0</v>
      </c>
      <c r="O11" s="28">
        <v>0</v>
      </c>
      <c r="P11" s="28">
        <v>0</v>
      </c>
      <c r="Q11" s="29">
        <f t="shared" si="4"/>
        <v>0</v>
      </c>
      <c r="R11" s="28">
        <v>0</v>
      </c>
      <c r="S11" s="28">
        <v>0</v>
      </c>
      <c r="T11" s="28">
        <v>0</v>
      </c>
      <c r="U11" s="29">
        <f t="shared" si="1"/>
        <v>0</v>
      </c>
      <c r="V11" s="28">
        <v>0</v>
      </c>
      <c r="W11" s="28">
        <v>0</v>
      </c>
      <c r="X11" s="28">
        <v>0</v>
      </c>
      <c r="Y11" s="29">
        <f t="shared" si="2"/>
        <v>0</v>
      </c>
      <c r="Z11" s="30">
        <f t="shared" si="5"/>
        <v>0</v>
      </c>
      <c r="AA11" s="8"/>
      <c r="AB11" s="8"/>
      <c r="AC11" s="6"/>
      <c r="AD11" s="6"/>
      <c r="AE11" s="7"/>
    </row>
    <row r="12" spans="1:31" ht="15.75" customHeight="1" x14ac:dyDescent="0.25">
      <c r="A12" s="1" t="s">
        <v>632</v>
      </c>
      <c r="B12" s="17" t="s">
        <v>633</v>
      </c>
      <c r="C12" s="2" t="s">
        <v>15</v>
      </c>
      <c r="D12" s="32">
        <v>2</v>
      </c>
      <c r="E12" s="32" t="s">
        <v>16</v>
      </c>
      <c r="F12" s="28">
        <v>0</v>
      </c>
      <c r="G12" s="28">
        <v>0</v>
      </c>
      <c r="H12" s="28">
        <v>0</v>
      </c>
      <c r="I12" s="29">
        <f t="shared" si="3"/>
        <v>0</v>
      </c>
      <c r="J12" s="28">
        <v>0</v>
      </c>
      <c r="K12" s="28">
        <v>0</v>
      </c>
      <c r="L12" s="28">
        <v>0</v>
      </c>
      <c r="M12" s="29">
        <f t="shared" si="0"/>
        <v>0</v>
      </c>
      <c r="N12" s="28">
        <v>0</v>
      </c>
      <c r="O12" s="28">
        <v>0</v>
      </c>
      <c r="P12" s="28">
        <v>0</v>
      </c>
      <c r="Q12" s="29">
        <f t="shared" si="4"/>
        <v>0</v>
      </c>
      <c r="R12" s="28">
        <v>0</v>
      </c>
      <c r="S12" s="28">
        <v>0</v>
      </c>
      <c r="T12" s="28">
        <v>0</v>
      </c>
      <c r="U12" s="29">
        <f t="shared" si="1"/>
        <v>0</v>
      </c>
      <c r="V12" s="28">
        <v>0</v>
      </c>
      <c r="W12" s="28">
        <v>0</v>
      </c>
      <c r="X12" s="28">
        <v>0</v>
      </c>
      <c r="Y12" s="29">
        <f t="shared" si="2"/>
        <v>0</v>
      </c>
      <c r="Z12" s="30">
        <f t="shared" si="5"/>
        <v>0</v>
      </c>
      <c r="AA12" s="8"/>
      <c r="AB12" s="6"/>
      <c r="AC12" s="6"/>
      <c r="AD12" s="10"/>
      <c r="AE12" s="7"/>
    </row>
    <row r="13" spans="1:31" ht="15.75" customHeight="1" x14ac:dyDescent="0.25">
      <c r="A13" t="s">
        <v>602</v>
      </c>
      <c r="B13" s="40" t="s">
        <v>603</v>
      </c>
      <c r="C13" s="2" t="s">
        <v>15</v>
      </c>
      <c r="D13" s="32">
        <v>2</v>
      </c>
      <c r="E13" s="32" t="s">
        <v>16</v>
      </c>
      <c r="F13" s="28">
        <v>0</v>
      </c>
      <c r="G13" s="28">
        <v>0</v>
      </c>
      <c r="H13" s="28">
        <v>0</v>
      </c>
      <c r="I13" s="29">
        <f t="shared" si="3"/>
        <v>0</v>
      </c>
      <c r="J13" s="28">
        <v>0</v>
      </c>
      <c r="K13" s="28">
        <v>0</v>
      </c>
      <c r="L13" s="28">
        <v>0</v>
      </c>
      <c r="M13" s="29">
        <f t="shared" si="0"/>
        <v>0</v>
      </c>
      <c r="N13" s="28">
        <v>0</v>
      </c>
      <c r="O13" s="28">
        <v>0</v>
      </c>
      <c r="P13" s="28">
        <v>0</v>
      </c>
      <c r="Q13" s="29">
        <f t="shared" si="4"/>
        <v>0</v>
      </c>
      <c r="R13" s="28">
        <v>0</v>
      </c>
      <c r="S13" s="28">
        <v>0</v>
      </c>
      <c r="T13" s="28">
        <v>0</v>
      </c>
      <c r="U13" s="29">
        <f t="shared" si="1"/>
        <v>0</v>
      </c>
      <c r="V13" s="28">
        <v>0</v>
      </c>
      <c r="W13" s="28">
        <v>0</v>
      </c>
      <c r="X13" s="28">
        <v>0</v>
      </c>
      <c r="Y13" s="29">
        <f t="shared" si="2"/>
        <v>0</v>
      </c>
      <c r="Z13" s="30">
        <f t="shared" si="5"/>
        <v>0</v>
      </c>
      <c r="AA13" s="8"/>
      <c r="AB13" s="7"/>
      <c r="AC13" s="7"/>
      <c r="AD13" s="8"/>
      <c r="AE13" s="7"/>
    </row>
    <row r="14" spans="1:31" ht="15.75" customHeight="1" x14ac:dyDescent="0.25">
      <c r="A14" s="1" t="s">
        <v>652</v>
      </c>
      <c r="B14" s="13" t="s">
        <v>653</v>
      </c>
      <c r="C14" s="2" t="s">
        <v>15</v>
      </c>
      <c r="D14" s="32">
        <v>2</v>
      </c>
      <c r="E14" s="32" t="s">
        <v>16</v>
      </c>
      <c r="F14" s="28">
        <v>0</v>
      </c>
      <c r="G14" s="28">
        <v>0</v>
      </c>
      <c r="H14" s="28">
        <v>0</v>
      </c>
      <c r="I14" s="29">
        <f t="shared" si="3"/>
        <v>0</v>
      </c>
      <c r="J14" s="28">
        <v>0</v>
      </c>
      <c r="K14" s="28">
        <v>0</v>
      </c>
      <c r="L14" s="28">
        <v>0</v>
      </c>
      <c r="M14" s="29">
        <f t="shared" si="0"/>
        <v>0</v>
      </c>
      <c r="N14" s="28">
        <v>0</v>
      </c>
      <c r="O14" s="28">
        <v>0</v>
      </c>
      <c r="P14" s="28">
        <v>0</v>
      </c>
      <c r="Q14" s="29">
        <f t="shared" si="4"/>
        <v>0</v>
      </c>
      <c r="R14" s="28">
        <v>0</v>
      </c>
      <c r="S14" s="28">
        <v>0</v>
      </c>
      <c r="T14" s="28">
        <v>0</v>
      </c>
      <c r="U14" s="29">
        <f t="shared" si="1"/>
        <v>0</v>
      </c>
      <c r="V14" s="28">
        <v>0</v>
      </c>
      <c r="W14" s="28">
        <v>0</v>
      </c>
      <c r="X14" s="28">
        <v>0</v>
      </c>
      <c r="Y14" s="29">
        <f t="shared" si="2"/>
        <v>0</v>
      </c>
      <c r="Z14" s="30">
        <f t="shared" si="5"/>
        <v>0</v>
      </c>
      <c r="AA14" s="8"/>
      <c r="AB14" s="8"/>
      <c r="AC14" s="7"/>
      <c r="AD14" s="7"/>
      <c r="AE14" s="7"/>
    </row>
    <row r="15" spans="1:31" ht="15.75" customHeight="1" x14ac:dyDescent="0.25">
      <c r="A15" s="1" t="s">
        <v>646</v>
      </c>
      <c r="B15" s="13" t="s">
        <v>647</v>
      </c>
      <c r="C15" s="2" t="s">
        <v>15</v>
      </c>
      <c r="D15" s="32">
        <v>2</v>
      </c>
      <c r="E15" s="32" t="s">
        <v>16</v>
      </c>
      <c r="F15" s="28">
        <v>0</v>
      </c>
      <c r="G15" s="28">
        <v>0</v>
      </c>
      <c r="H15" s="28">
        <v>0</v>
      </c>
      <c r="I15" s="29">
        <f t="shared" si="3"/>
        <v>0</v>
      </c>
      <c r="J15" s="28">
        <v>0</v>
      </c>
      <c r="K15" s="28">
        <v>0</v>
      </c>
      <c r="L15" s="28">
        <v>0</v>
      </c>
      <c r="M15" s="29">
        <f t="shared" si="0"/>
        <v>0</v>
      </c>
      <c r="N15" s="28">
        <v>0</v>
      </c>
      <c r="O15" s="28">
        <v>0</v>
      </c>
      <c r="P15" s="28">
        <v>0</v>
      </c>
      <c r="Q15" s="29">
        <f t="shared" si="4"/>
        <v>0</v>
      </c>
      <c r="R15" s="28">
        <v>0</v>
      </c>
      <c r="S15" s="28">
        <v>0</v>
      </c>
      <c r="T15" s="28">
        <v>0</v>
      </c>
      <c r="U15" s="29">
        <f t="shared" si="1"/>
        <v>0</v>
      </c>
      <c r="V15" s="28">
        <v>0</v>
      </c>
      <c r="W15" s="28">
        <v>0</v>
      </c>
      <c r="X15" s="28">
        <v>0</v>
      </c>
      <c r="Y15" s="29">
        <f t="shared" si="2"/>
        <v>0</v>
      </c>
      <c r="Z15" s="30">
        <f t="shared" si="5"/>
        <v>0</v>
      </c>
      <c r="AA15" s="10"/>
      <c r="AB15" s="8"/>
      <c r="AC15" s="8"/>
      <c r="AD15" s="6"/>
      <c r="AE15" s="7"/>
    </row>
    <row r="16" spans="1:31" ht="15.75" customHeight="1" x14ac:dyDescent="0.25">
      <c r="A16" s="1" t="s">
        <v>606</v>
      </c>
      <c r="B16" s="13" t="s">
        <v>607</v>
      </c>
      <c r="C16" s="2" t="s">
        <v>15</v>
      </c>
      <c r="D16" s="32">
        <v>2</v>
      </c>
      <c r="E16" s="32" t="s">
        <v>16</v>
      </c>
      <c r="F16" s="28">
        <v>0</v>
      </c>
      <c r="G16" s="28">
        <v>0</v>
      </c>
      <c r="H16" s="28">
        <v>0</v>
      </c>
      <c r="I16" s="29">
        <f t="shared" si="3"/>
        <v>0</v>
      </c>
      <c r="J16" s="28">
        <v>0</v>
      </c>
      <c r="K16" s="28">
        <v>0</v>
      </c>
      <c r="L16" s="28">
        <v>0</v>
      </c>
      <c r="M16" s="29">
        <f t="shared" si="0"/>
        <v>0</v>
      </c>
      <c r="N16" s="28">
        <v>0</v>
      </c>
      <c r="O16" s="28">
        <v>0</v>
      </c>
      <c r="P16" s="28">
        <v>0</v>
      </c>
      <c r="Q16" s="29">
        <f t="shared" si="4"/>
        <v>0</v>
      </c>
      <c r="R16" s="28">
        <v>0</v>
      </c>
      <c r="S16" s="28">
        <v>0</v>
      </c>
      <c r="T16" s="28">
        <v>0</v>
      </c>
      <c r="U16" s="29">
        <f t="shared" si="1"/>
        <v>0</v>
      </c>
      <c r="V16" s="28">
        <v>0</v>
      </c>
      <c r="W16" s="28">
        <v>0</v>
      </c>
      <c r="X16" s="28">
        <v>0</v>
      </c>
      <c r="Y16" s="29">
        <f t="shared" si="2"/>
        <v>0</v>
      </c>
      <c r="Z16" s="30">
        <f t="shared" si="5"/>
        <v>0</v>
      </c>
      <c r="AA16" s="6"/>
      <c r="AB16" s="6"/>
      <c r="AC16" s="7"/>
      <c r="AD16" s="7"/>
      <c r="AE16" s="7"/>
    </row>
    <row r="17" spans="1:31" ht="15.75" customHeight="1" x14ac:dyDescent="0.25">
      <c r="A17" s="1" t="s">
        <v>598</v>
      </c>
      <c r="B17" s="14" t="s">
        <v>599</v>
      </c>
      <c r="C17" s="2" t="s">
        <v>15</v>
      </c>
      <c r="D17" s="32">
        <v>2</v>
      </c>
      <c r="E17" s="32" t="s">
        <v>16</v>
      </c>
      <c r="F17" s="28">
        <v>0</v>
      </c>
      <c r="G17" s="28">
        <v>0</v>
      </c>
      <c r="H17" s="28">
        <v>0</v>
      </c>
      <c r="I17" s="29">
        <f t="shared" si="3"/>
        <v>0</v>
      </c>
      <c r="J17" s="28">
        <v>0</v>
      </c>
      <c r="K17" s="28">
        <v>0</v>
      </c>
      <c r="L17" s="28">
        <v>0</v>
      </c>
      <c r="M17" s="29">
        <f t="shared" si="0"/>
        <v>0</v>
      </c>
      <c r="N17" s="28">
        <v>0</v>
      </c>
      <c r="O17" s="28">
        <v>0</v>
      </c>
      <c r="P17" s="28">
        <v>0</v>
      </c>
      <c r="Q17" s="29">
        <f t="shared" si="4"/>
        <v>0</v>
      </c>
      <c r="R17" s="28">
        <v>0</v>
      </c>
      <c r="S17" s="28">
        <v>0</v>
      </c>
      <c r="T17" s="28">
        <v>0</v>
      </c>
      <c r="U17" s="29">
        <f t="shared" si="1"/>
        <v>0</v>
      </c>
      <c r="V17" s="28">
        <v>0</v>
      </c>
      <c r="W17" s="28">
        <v>0</v>
      </c>
      <c r="X17" s="28">
        <v>0</v>
      </c>
      <c r="Y17" s="29">
        <f t="shared" si="2"/>
        <v>0</v>
      </c>
      <c r="Z17" s="30">
        <f t="shared" si="5"/>
        <v>0</v>
      </c>
      <c r="AA17" s="6"/>
      <c r="AB17" s="6"/>
      <c r="AC17" s="6"/>
      <c r="AD17" s="6"/>
      <c r="AE17" s="7"/>
    </row>
    <row r="18" spans="1:31" ht="15.75" customHeight="1" x14ac:dyDescent="0.25">
      <c r="A18" s="1" t="s">
        <v>644</v>
      </c>
      <c r="B18" s="13" t="s">
        <v>645</v>
      </c>
      <c r="C18" s="2" t="s">
        <v>15</v>
      </c>
      <c r="D18" s="32">
        <v>2</v>
      </c>
      <c r="E18" s="32" t="s">
        <v>16</v>
      </c>
      <c r="F18" s="28">
        <v>0</v>
      </c>
      <c r="G18" s="28">
        <v>0</v>
      </c>
      <c r="H18" s="28">
        <v>0</v>
      </c>
      <c r="I18" s="29">
        <f t="shared" si="3"/>
        <v>0</v>
      </c>
      <c r="J18" s="28">
        <v>0</v>
      </c>
      <c r="K18" s="28">
        <v>0</v>
      </c>
      <c r="L18" s="28">
        <v>0</v>
      </c>
      <c r="M18" s="29">
        <f t="shared" si="0"/>
        <v>0</v>
      </c>
      <c r="N18" s="28">
        <v>0</v>
      </c>
      <c r="O18" s="28">
        <v>0</v>
      </c>
      <c r="P18" s="28">
        <v>0</v>
      </c>
      <c r="Q18" s="29">
        <f t="shared" si="4"/>
        <v>0</v>
      </c>
      <c r="R18" s="28">
        <v>0</v>
      </c>
      <c r="S18" s="28">
        <v>0</v>
      </c>
      <c r="T18" s="28">
        <v>0</v>
      </c>
      <c r="U18" s="29">
        <f t="shared" si="1"/>
        <v>0</v>
      </c>
      <c r="V18" s="28">
        <v>0</v>
      </c>
      <c r="W18" s="28">
        <v>0</v>
      </c>
      <c r="X18" s="28">
        <v>0</v>
      </c>
      <c r="Y18" s="29">
        <f t="shared" si="2"/>
        <v>0</v>
      </c>
      <c r="Z18" s="30">
        <f t="shared" si="5"/>
        <v>0</v>
      </c>
    </row>
    <row r="19" spans="1:31" ht="15.75" customHeight="1" x14ac:dyDescent="0.25">
      <c r="A19" s="1" t="s">
        <v>648</v>
      </c>
      <c r="B19" s="14" t="s">
        <v>649</v>
      </c>
      <c r="C19" s="2" t="s">
        <v>15</v>
      </c>
      <c r="D19" s="32">
        <v>2</v>
      </c>
      <c r="E19" s="32" t="s">
        <v>16</v>
      </c>
      <c r="F19" s="28">
        <v>0</v>
      </c>
      <c r="G19" s="28">
        <v>0</v>
      </c>
      <c r="H19" s="28">
        <v>0</v>
      </c>
      <c r="I19" s="29">
        <f t="shared" si="3"/>
        <v>0</v>
      </c>
      <c r="J19" s="28">
        <v>0</v>
      </c>
      <c r="K19" s="28">
        <v>0</v>
      </c>
      <c r="L19" s="28">
        <v>0</v>
      </c>
      <c r="M19" s="29">
        <f t="shared" si="0"/>
        <v>0</v>
      </c>
      <c r="N19" s="28">
        <v>0</v>
      </c>
      <c r="O19" s="28">
        <v>0</v>
      </c>
      <c r="P19" s="28">
        <v>0</v>
      </c>
      <c r="Q19" s="29">
        <f t="shared" si="4"/>
        <v>0</v>
      </c>
      <c r="R19" s="28">
        <v>0</v>
      </c>
      <c r="S19" s="28">
        <v>0</v>
      </c>
      <c r="T19" s="28">
        <v>0</v>
      </c>
      <c r="U19" s="29">
        <f t="shared" si="1"/>
        <v>0</v>
      </c>
      <c r="V19" s="28">
        <v>0</v>
      </c>
      <c r="W19" s="28">
        <v>0</v>
      </c>
      <c r="X19" s="28">
        <v>0</v>
      </c>
      <c r="Y19" s="29">
        <f t="shared" si="2"/>
        <v>0</v>
      </c>
      <c r="Z19" s="30">
        <f t="shared" si="5"/>
        <v>0</v>
      </c>
    </row>
    <row r="20" spans="1:31" ht="15.75" customHeight="1" x14ac:dyDescent="0.25">
      <c r="A20" s="1" t="s">
        <v>660</v>
      </c>
      <c r="B20" s="13" t="s">
        <v>851</v>
      </c>
      <c r="C20" s="2" t="s">
        <v>15</v>
      </c>
      <c r="D20" s="32">
        <v>2</v>
      </c>
      <c r="E20" s="32" t="s">
        <v>16</v>
      </c>
      <c r="F20" s="28">
        <v>0</v>
      </c>
      <c r="G20" s="28">
        <v>0</v>
      </c>
      <c r="H20" s="28">
        <v>0</v>
      </c>
      <c r="I20" s="29">
        <f t="shared" si="3"/>
        <v>0</v>
      </c>
      <c r="J20" s="28">
        <v>0</v>
      </c>
      <c r="K20" s="28">
        <v>0</v>
      </c>
      <c r="L20" s="28">
        <v>0</v>
      </c>
      <c r="M20" s="29">
        <f t="shared" si="0"/>
        <v>0</v>
      </c>
      <c r="N20" s="28">
        <v>0</v>
      </c>
      <c r="O20" s="28">
        <v>0</v>
      </c>
      <c r="P20" s="28">
        <v>0</v>
      </c>
      <c r="Q20" s="29">
        <f t="shared" si="4"/>
        <v>0</v>
      </c>
      <c r="R20" s="28">
        <v>0</v>
      </c>
      <c r="S20" s="28">
        <v>0</v>
      </c>
      <c r="T20" s="28">
        <v>0</v>
      </c>
      <c r="U20" s="29">
        <f t="shared" si="1"/>
        <v>0</v>
      </c>
      <c r="V20" s="28">
        <v>0</v>
      </c>
      <c r="W20" s="28">
        <v>0</v>
      </c>
      <c r="X20" s="28">
        <v>0</v>
      </c>
      <c r="Y20" s="29">
        <f t="shared" si="2"/>
        <v>0</v>
      </c>
      <c r="Z20" s="30">
        <f t="shared" si="5"/>
        <v>0</v>
      </c>
    </row>
    <row r="21" spans="1:31" ht="15.75" customHeight="1" x14ac:dyDescent="0.25">
      <c r="A21" s="1" t="s">
        <v>666</v>
      </c>
      <c r="B21" s="13" t="s">
        <v>667</v>
      </c>
      <c r="C21" s="2" t="s">
        <v>15</v>
      </c>
      <c r="D21" s="32">
        <v>2</v>
      </c>
      <c r="E21" s="32" t="s">
        <v>16</v>
      </c>
      <c r="F21" s="28">
        <v>0</v>
      </c>
      <c r="G21" s="28">
        <v>0</v>
      </c>
      <c r="H21" s="28">
        <v>0</v>
      </c>
      <c r="I21" s="29">
        <f t="shared" si="3"/>
        <v>0</v>
      </c>
      <c r="J21" s="28">
        <v>0</v>
      </c>
      <c r="K21" s="28">
        <v>0</v>
      </c>
      <c r="L21" s="28">
        <v>0</v>
      </c>
      <c r="M21" s="29">
        <f t="shared" si="0"/>
        <v>0</v>
      </c>
      <c r="N21" s="28">
        <v>0</v>
      </c>
      <c r="O21" s="28">
        <v>0</v>
      </c>
      <c r="P21" s="28">
        <v>0</v>
      </c>
      <c r="Q21" s="29">
        <f t="shared" si="4"/>
        <v>0</v>
      </c>
      <c r="R21" s="28">
        <v>0</v>
      </c>
      <c r="S21" s="28">
        <v>0</v>
      </c>
      <c r="T21" s="28">
        <v>0</v>
      </c>
      <c r="U21" s="29">
        <f t="shared" si="1"/>
        <v>0</v>
      </c>
      <c r="V21" s="28">
        <v>0</v>
      </c>
      <c r="W21" s="28">
        <v>0</v>
      </c>
      <c r="X21" s="28">
        <v>0</v>
      </c>
      <c r="Y21" s="29">
        <f t="shared" si="2"/>
        <v>0</v>
      </c>
      <c r="Z21" s="30">
        <f t="shared" si="5"/>
        <v>0</v>
      </c>
    </row>
    <row r="22" spans="1:31" ht="15.75" customHeight="1" x14ac:dyDescent="0.25">
      <c r="A22" s="41"/>
      <c r="B22" s="42" t="s">
        <v>852</v>
      </c>
      <c r="C22" s="2" t="s">
        <v>15</v>
      </c>
      <c r="D22" s="32">
        <v>2</v>
      </c>
      <c r="E22" s="32" t="s">
        <v>16</v>
      </c>
      <c r="F22" s="28">
        <v>0</v>
      </c>
      <c r="G22" s="28">
        <v>0</v>
      </c>
      <c r="H22" s="28">
        <v>0</v>
      </c>
      <c r="I22" s="29">
        <f t="shared" si="3"/>
        <v>0</v>
      </c>
      <c r="J22" s="28">
        <v>0</v>
      </c>
      <c r="K22" s="28">
        <v>0</v>
      </c>
      <c r="L22" s="28">
        <v>0</v>
      </c>
      <c r="M22" s="29">
        <f t="shared" si="0"/>
        <v>0</v>
      </c>
      <c r="N22" s="28">
        <v>0</v>
      </c>
      <c r="O22" s="28">
        <v>0</v>
      </c>
      <c r="P22" s="28">
        <v>0</v>
      </c>
      <c r="Q22" s="29">
        <f t="shared" si="4"/>
        <v>0</v>
      </c>
      <c r="R22" s="28">
        <v>0</v>
      </c>
      <c r="S22" s="28">
        <v>0</v>
      </c>
      <c r="T22" s="28">
        <v>0</v>
      </c>
      <c r="U22" s="29">
        <f t="shared" si="1"/>
        <v>0</v>
      </c>
      <c r="V22" s="28">
        <v>0</v>
      </c>
      <c r="W22" s="28">
        <v>0</v>
      </c>
      <c r="X22" s="28">
        <v>0</v>
      </c>
      <c r="Y22" s="29">
        <f t="shared" si="2"/>
        <v>0</v>
      </c>
      <c r="Z22" s="30">
        <f t="shared" si="5"/>
        <v>0</v>
      </c>
    </row>
    <row r="23" spans="1:31" ht="15.75" customHeight="1" x14ac:dyDescent="0.25">
      <c r="A23" s="34" t="s">
        <v>596</v>
      </c>
      <c r="B23" s="35" t="s">
        <v>597</v>
      </c>
      <c r="C23" s="36" t="s">
        <v>15</v>
      </c>
      <c r="D23" s="37">
        <v>2</v>
      </c>
      <c r="E23" s="37" t="s">
        <v>33</v>
      </c>
      <c r="F23" s="28">
        <v>0</v>
      </c>
      <c r="G23" s="28">
        <v>0</v>
      </c>
      <c r="H23" s="28">
        <v>0</v>
      </c>
      <c r="I23" s="29">
        <f t="shared" si="3"/>
        <v>0</v>
      </c>
      <c r="J23" s="28">
        <v>0</v>
      </c>
      <c r="K23" s="28">
        <v>0</v>
      </c>
      <c r="L23" s="28">
        <v>0</v>
      </c>
      <c r="M23" s="29">
        <f t="shared" si="0"/>
        <v>0</v>
      </c>
      <c r="N23" s="28">
        <v>0</v>
      </c>
      <c r="O23" s="28">
        <v>0</v>
      </c>
      <c r="P23" s="28">
        <v>0</v>
      </c>
      <c r="Q23" s="29">
        <f t="shared" si="4"/>
        <v>0</v>
      </c>
      <c r="R23" s="28">
        <v>0</v>
      </c>
      <c r="S23" s="28">
        <v>0</v>
      </c>
      <c r="T23" s="28">
        <v>0</v>
      </c>
      <c r="U23" s="29">
        <f t="shared" si="1"/>
        <v>0</v>
      </c>
      <c r="V23" s="28">
        <v>0</v>
      </c>
      <c r="W23" s="28">
        <v>0</v>
      </c>
      <c r="X23" s="28">
        <v>0</v>
      </c>
      <c r="Y23" s="29">
        <f t="shared" si="2"/>
        <v>0</v>
      </c>
      <c r="Z23" s="30">
        <f t="shared" si="5"/>
        <v>0</v>
      </c>
    </row>
    <row r="24" spans="1:31" ht="15.75" customHeight="1" x14ac:dyDescent="0.25">
      <c r="A24" s="1" t="s">
        <v>650</v>
      </c>
      <c r="B24" s="13" t="s">
        <v>651</v>
      </c>
      <c r="C24" s="2" t="s">
        <v>15</v>
      </c>
      <c r="D24" s="32">
        <v>2</v>
      </c>
      <c r="E24" s="32" t="s">
        <v>33</v>
      </c>
      <c r="F24" s="28">
        <v>0</v>
      </c>
      <c r="G24" s="28">
        <v>0</v>
      </c>
      <c r="H24" s="28">
        <v>0</v>
      </c>
      <c r="I24" s="29">
        <f t="shared" si="3"/>
        <v>0</v>
      </c>
      <c r="J24" s="28">
        <v>0</v>
      </c>
      <c r="K24" s="28">
        <v>0</v>
      </c>
      <c r="L24" s="28">
        <v>0</v>
      </c>
      <c r="M24" s="29">
        <f t="shared" si="0"/>
        <v>0</v>
      </c>
      <c r="N24" s="28">
        <v>0</v>
      </c>
      <c r="O24" s="28">
        <v>0</v>
      </c>
      <c r="P24" s="28">
        <v>0</v>
      </c>
      <c r="Q24" s="29">
        <f t="shared" si="4"/>
        <v>0</v>
      </c>
      <c r="R24" s="28">
        <v>0</v>
      </c>
      <c r="S24" s="28">
        <v>0</v>
      </c>
      <c r="T24" s="28">
        <v>0</v>
      </c>
      <c r="U24" s="29">
        <f t="shared" si="1"/>
        <v>0</v>
      </c>
      <c r="V24" s="28">
        <v>0</v>
      </c>
      <c r="W24" s="28">
        <v>0</v>
      </c>
      <c r="X24" s="28">
        <v>0</v>
      </c>
      <c r="Y24" s="29">
        <f t="shared" si="2"/>
        <v>0</v>
      </c>
      <c r="Z24" s="30">
        <f t="shared" si="5"/>
        <v>0</v>
      </c>
    </row>
    <row r="25" spans="1:31" ht="15.75" customHeight="1" x14ac:dyDescent="0.25">
      <c r="A25" s="2" t="s">
        <v>662</v>
      </c>
      <c r="B25" s="3" t="s">
        <v>663</v>
      </c>
      <c r="C25" s="2" t="s">
        <v>15</v>
      </c>
      <c r="D25" s="32">
        <v>2</v>
      </c>
      <c r="E25" s="39" t="s">
        <v>33</v>
      </c>
      <c r="F25" s="28">
        <v>0</v>
      </c>
      <c r="G25" s="28">
        <v>0</v>
      </c>
      <c r="H25" s="28">
        <v>0</v>
      </c>
      <c r="I25" s="29">
        <f t="shared" si="3"/>
        <v>0</v>
      </c>
      <c r="J25" s="28">
        <v>0</v>
      </c>
      <c r="K25" s="28">
        <v>0</v>
      </c>
      <c r="L25" s="28">
        <v>0</v>
      </c>
      <c r="M25" s="29">
        <f t="shared" si="0"/>
        <v>0</v>
      </c>
      <c r="N25" s="28">
        <v>0</v>
      </c>
      <c r="O25" s="28">
        <v>0</v>
      </c>
      <c r="P25" s="28">
        <v>0</v>
      </c>
      <c r="Q25" s="29">
        <f t="shared" si="4"/>
        <v>0</v>
      </c>
      <c r="R25" s="28">
        <v>0</v>
      </c>
      <c r="S25" s="28">
        <v>0</v>
      </c>
      <c r="T25" s="28">
        <v>0</v>
      </c>
      <c r="U25" s="29">
        <f t="shared" si="1"/>
        <v>0</v>
      </c>
      <c r="V25" s="28">
        <v>0</v>
      </c>
      <c r="W25" s="28">
        <v>0</v>
      </c>
      <c r="X25" s="28">
        <v>0</v>
      </c>
      <c r="Y25" s="29">
        <f t="shared" si="2"/>
        <v>0</v>
      </c>
      <c r="Z25" s="30">
        <f t="shared" si="5"/>
        <v>0</v>
      </c>
    </row>
    <row r="26" spans="1:31" ht="15.75" customHeight="1" x14ac:dyDescent="0.25">
      <c r="A26" s="1" t="s">
        <v>588</v>
      </c>
      <c r="B26" s="13" t="s">
        <v>589</v>
      </c>
      <c r="C26" s="2" t="s">
        <v>15</v>
      </c>
      <c r="D26" s="32">
        <v>2</v>
      </c>
      <c r="E26" s="32" t="s">
        <v>33</v>
      </c>
      <c r="F26" s="28">
        <v>0</v>
      </c>
      <c r="G26" s="28">
        <v>0</v>
      </c>
      <c r="H26" s="28">
        <v>0</v>
      </c>
      <c r="I26" s="29">
        <f t="shared" si="3"/>
        <v>0</v>
      </c>
      <c r="J26" s="28">
        <v>0</v>
      </c>
      <c r="K26" s="28">
        <v>0</v>
      </c>
      <c r="L26" s="28">
        <v>0</v>
      </c>
      <c r="M26" s="29">
        <f t="shared" si="0"/>
        <v>0</v>
      </c>
      <c r="N26" s="28">
        <v>0</v>
      </c>
      <c r="O26" s="28">
        <v>0</v>
      </c>
      <c r="P26" s="28">
        <v>0</v>
      </c>
      <c r="Q26" s="29">
        <f t="shared" si="4"/>
        <v>0</v>
      </c>
      <c r="R26" s="28">
        <v>0</v>
      </c>
      <c r="S26" s="28">
        <v>0</v>
      </c>
      <c r="T26" s="28">
        <v>0</v>
      </c>
      <c r="U26" s="29">
        <f t="shared" si="1"/>
        <v>0</v>
      </c>
      <c r="V26" s="28">
        <v>0</v>
      </c>
      <c r="W26" s="28">
        <v>0</v>
      </c>
      <c r="X26" s="28">
        <v>0</v>
      </c>
      <c r="Y26" s="29">
        <f t="shared" si="2"/>
        <v>0</v>
      </c>
      <c r="Z26" s="30">
        <f t="shared" si="5"/>
        <v>0</v>
      </c>
    </row>
    <row r="27" spans="1:31" ht="15.75" customHeight="1" x14ac:dyDescent="0.25">
      <c r="A27" s="1" t="s">
        <v>604</v>
      </c>
      <c r="B27" s="13" t="s">
        <v>605</v>
      </c>
      <c r="C27" s="2" t="s">
        <v>15</v>
      </c>
      <c r="D27" s="32">
        <v>2</v>
      </c>
      <c r="E27" s="32" t="s">
        <v>33</v>
      </c>
      <c r="F27" s="28">
        <v>0</v>
      </c>
      <c r="G27" s="28">
        <v>0</v>
      </c>
      <c r="H27" s="28">
        <v>0</v>
      </c>
      <c r="I27" s="29">
        <f t="shared" si="3"/>
        <v>0</v>
      </c>
      <c r="J27" s="28">
        <v>0</v>
      </c>
      <c r="K27" s="28">
        <v>0</v>
      </c>
      <c r="L27" s="28">
        <v>0</v>
      </c>
      <c r="M27" s="29">
        <f t="shared" si="0"/>
        <v>0</v>
      </c>
      <c r="N27" s="28">
        <v>0</v>
      </c>
      <c r="O27" s="28">
        <v>0</v>
      </c>
      <c r="P27" s="28">
        <v>0</v>
      </c>
      <c r="Q27" s="29">
        <f t="shared" si="4"/>
        <v>0</v>
      </c>
      <c r="R27" s="28">
        <v>0</v>
      </c>
      <c r="S27" s="28">
        <v>0</v>
      </c>
      <c r="T27" s="28">
        <v>0</v>
      </c>
      <c r="U27" s="29">
        <f t="shared" si="1"/>
        <v>0</v>
      </c>
      <c r="V27" s="28">
        <v>0</v>
      </c>
      <c r="W27" s="28">
        <v>0</v>
      </c>
      <c r="X27" s="28">
        <v>0</v>
      </c>
      <c r="Y27" s="29">
        <f t="shared" si="2"/>
        <v>0</v>
      </c>
      <c r="Z27" s="30">
        <f t="shared" si="5"/>
        <v>0</v>
      </c>
    </row>
    <row r="28" spans="1:31" ht="15.75" customHeight="1" x14ac:dyDescent="0.25">
      <c r="A28" s="1" t="s">
        <v>608</v>
      </c>
      <c r="B28" s="13" t="s">
        <v>609</v>
      </c>
      <c r="C28" s="2" t="s">
        <v>15</v>
      </c>
      <c r="D28" s="32">
        <v>2</v>
      </c>
      <c r="E28" s="32" t="s">
        <v>33</v>
      </c>
      <c r="F28" s="28">
        <v>0</v>
      </c>
      <c r="G28" s="28">
        <v>0</v>
      </c>
      <c r="H28" s="28">
        <v>0</v>
      </c>
      <c r="I28" s="29">
        <f t="shared" si="3"/>
        <v>0</v>
      </c>
      <c r="J28" s="28">
        <v>0</v>
      </c>
      <c r="K28" s="28">
        <v>0</v>
      </c>
      <c r="L28" s="28">
        <v>0</v>
      </c>
      <c r="M28" s="29">
        <f t="shared" si="0"/>
        <v>0</v>
      </c>
      <c r="N28" s="28">
        <v>0</v>
      </c>
      <c r="O28" s="28">
        <v>0</v>
      </c>
      <c r="P28" s="28">
        <v>0</v>
      </c>
      <c r="Q28" s="29">
        <f t="shared" si="4"/>
        <v>0</v>
      </c>
      <c r="R28" s="28">
        <v>0</v>
      </c>
      <c r="S28" s="28">
        <v>0</v>
      </c>
      <c r="T28" s="28">
        <v>0</v>
      </c>
      <c r="U28" s="29">
        <f t="shared" si="1"/>
        <v>0</v>
      </c>
      <c r="V28" s="28">
        <v>0</v>
      </c>
      <c r="W28" s="28">
        <v>0</v>
      </c>
      <c r="X28" s="28">
        <v>0</v>
      </c>
      <c r="Y28" s="29">
        <f t="shared" si="2"/>
        <v>0</v>
      </c>
      <c r="Z28" s="30">
        <f t="shared" si="5"/>
        <v>0</v>
      </c>
    </row>
    <row r="29" spans="1:31" ht="15.75" customHeight="1" x14ac:dyDescent="0.25">
      <c r="A29" s="1" t="s">
        <v>638</v>
      </c>
      <c r="B29" s="13" t="s">
        <v>639</v>
      </c>
      <c r="C29" s="2" t="s">
        <v>15</v>
      </c>
      <c r="D29" s="32">
        <v>2</v>
      </c>
      <c r="E29" s="32" t="s">
        <v>33</v>
      </c>
      <c r="F29" s="28">
        <v>0</v>
      </c>
      <c r="G29" s="28">
        <v>0</v>
      </c>
      <c r="H29" s="28">
        <v>0</v>
      </c>
      <c r="I29" s="29">
        <f t="shared" si="3"/>
        <v>0</v>
      </c>
      <c r="J29" s="28">
        <v>0</v>
      </c>
      <c r="K29" s="28">
        <v>0</v>
      </c>
      <c r="L29" s="28">
        <v>0</v>
      </c>
      <c r="M29" s="29">
        <f t="shared" si="0"/>
        <v>0</v>
      </c>
      <c r="N29" s="28">
        <v>0</v>
      </c>
      <c r="O29" s="28">
        <v>0</v>
      </c>
      <c r="P29" s="28">
        <v>0</v>
      </c>
      <c r="Q29" s="29">
        <f t="shared" si="4"/>
        <v>0</v>
      </c>
      <c r="R29" s="28">
        <v>0</v>
      </c>
      <c r="S29" s="28">
        <v>0</v>
      </c>
      <c r="T29" s="28">
        <v>0</v>
      </c>
      <c r="U29" s="29">
        <f t="shared" si="1"/>
        <v>0</v>
      </c>
      <c r="V29" s="28">
        <v>0</v>
      </c>
      <c r="W29" s="28">
        <v>0</v>
      </c>
      <c r="X29" s="28">
        <v>0</v>
      </c>
      <c r="Y29" s="29">
        <f t="shared" si="2"/>
        <v>0</v>
      </c>
      <c r="Z29" s="30">
        <f t="shared" si="5"/>
        <v>0</v>
      </c>
    </row>
    <row r="30" spans="1:31" ht="15.75" customHeight="1" x14ac:dyDescent="0.25">
      <c r="A30" s="1" t="s">
        <v>610</v>
      </c>
      <c r="B30" s="13" t="s">
        <v>611</v>
      </c>
      <c r="C30" s="2" t="s">
        <v>15</v>
      </c>
      <c r="D30" s="32">
        <v>2</v>
      </c>
      <c r="E30" s="32" t="s">
        <v>33</v>
      </c>
      <c r="F30" s="28">
        <v>0</v>
      </c>
      <c r="G30" s="28">
        <v>0</v>
      </c>
      <c r="H30" s="28">
        <v>0</v>
      </c>
      <c r="I30" s="29">
        <f t="shared" si="3"/>
        <v>0</v>
      </c>
      <c r="J30" s="28">
        <v>0</v>
      </c>
      <c r="K30" s="28">
        <v>0</v>
      </c>
      <c r="L30" s="28">
        <v>0</v>
      </c>
      <c r="M30" s="29">
        <f t="shared" si="0"/>
        <v>0</v>
      </c>
      <c r="N30" s="28">
        <v>0</v>
      </c>
      <c r="O30" s="28">
        <v>0</v>
      </c>
      <c r="P30" s="28">
        <v>0</v>
      </c>
      <c r="Q30" s="29">
        <f t="shared" si="4"/>
        <v>0</v>
      </c>
      <c r="R30" s="28">
        <v>0</v>
      </c>
      <c r="S30" s="28">
        <v>0</v>
      </c>
      <c r="T30" s="28">
        <v>0</v>
      </c>
      <c r="U30" s="29">
        <f t="shared" si="1"/>
        <v>0</v>
      </c>
      <c r="V30" s="28">
        <v>0</v>
      </c>
      <c r="W30" s="28">
        <v>0</v>
      </c>
      <c r="X30" s="28">
        <v>0</v>
      </c>
      <c r="Y30" s="29">
        <f t="shared" si="2"/>
        <v>0</v>
      </c>
      <c r="Z30" s="30">
        <f t="shared" si="5"/>
        <v>0</v>
      </c>
    </row>
    <row r="31" spans="1:31" ht="15.75" customHeight="1" x14ac:dyDescent="0.25">
      <c r="A31" s="1" t="s">
        <v>612</v>
      </c>
      <c r="B31" s="13" t="s">
        <v>613</v>
      </c>
      <c r="C31" s="2" t="s">
        <v>15</v>
      </c>
      <c r="D31" s="32">
        <v>2</v>
      </c>
      <c r="E31" s="32" t="s">
        <v>33</v>
      </c>
      <c r="F31" s="28">
        <v>0</v>
      </c>
      <c r="G31" s="28">
        <v>0</v>
      </c>
      <c r="H31" s="28">
        <v>0</v>
      </c>
      <c r="I31" s="29">
        <f t="shared" si="3"/>
        <v>0</v>
      </c>
      <c r="J31" s="28">
        <v>0</v>
      </c>
      <c r="K31" s="28">
        <v>0</v>
      </c>
      <c r="L31" s="28">
        <v>0</v>
      </c>
      <c r="M31" s="29">
        <f t="shared" si="0"/>
        <v>0</v>
      </c>
      <c r="N31" s="28">
        <v>0</v>
      </c>
      <c r="O31" s="28">
        <v>0</v>
      </c>
      <c r="P31" s="28">
        <v>0</v>
      </c>
      <c r="Q31" s="29">
        <f t="shared" si="4"/>
        <v>0</v>
      </c>
      <c r="R31" s="28">
        <v>0</v>
      </c>
      <c r="S31" s="28">
        <v>0</v>
      </c>
      <c r="T31" s="28">
        <v>0</v>
      </c>
      <c r="U31" s="29">
        <f t="shared" si="1"/>
        <v>0</v>
      </c>
      <c r="V31" s="28">
        <v>0</v>
      </c>
      <c r="W31" s="28">
        <v>0</v>
      </c>
      <c r="X31" s="28">
        <v>0</v>
      </c>
      <c r="Y31" s="29">
        <f t="shared" si="2"/>
        <v>0</v>
      </c>
      <c r="Z31" s="30">
        <f t="shared" si="5"/>
        <v>0</v>
      </c>
    </row>
    <row r="32" spans="1:31" ht="15.75" customHeight="1" x14ac:dyDescent="0.25">
      <c r="A32" s="1" t="s">
        <v>634</v>
      </c>
      <c r="B32" s="13" t="s">
        <v>635</v>
      </c>
      <c r="C32" s="2" t="s">
        <v>15</v>
      </c>
      <c r="D32" s="32">
        <v>2</v>
      </c>
      <c r="E32" s="32" t="s">
        <v>33</v>
      </c>
      <c r="F32" s="28">
        <v>0</v>
      </c>
      <c r="G32" s="28">
        <v>0</v>
      </c>
      <c r="H32" s="28">
        <v>0</v>
      </c>
      <c r="I32" s="29">
        <f t="shared" si="3"/>
        <v>0</v>
      </c>
      <c r="J32" s="28">
        <v>0</v>
      </c>
      <c r="K32" s="28">
        <v>0</v>
      </c>
      <c r="L32" s="28">
        <v>0</v>
      </c>
      <c r="M32" s="29">
        <f t="shared" si="0"/>
        <v>0</v>
      </c>
      <c r="N32" s="28">
        <v>0</v>
      </c>
      <c r="O32" s="28">
        <v>0</v>
      </c>
      <c r="P32" s="28">
        <v>0</v>
      </c>
      <c r="Q32" s="29">
        <f t="shared" si="4"/>
        <v>0</v>
      </c>
      <c r="R32" s="28">
        <v>0</v>
      </c>
      <c r="S32" s="28">
        <v>0</v>
      </c>
      <c r="T32" s="28">
        <v>0</v>
      </c>
      <c r="U32" s="29">
        <f t="shared" si="1"/>
        <v>0</v>
      </c>
      <c r="V32" s="28">
        <v>0</v>
      </c>
      <c r="W32" s="28">
        <v>0</v>
      </c>
      <c r="X32" s="28">
        <v>0</v>
      </c>
      <c r="Y32" s="29">
        <f t="shared" si="2"/>
        <v>0</v>
      </c>
      <c r="Z32" s="30">
        <f t="shared" si="5"/>
        <v>0</v>
      </c>
    </row>
    <row r="33" spans="1:26" ht="15.75" customHeight="1" x14ac:dyDescent="0.25">
      <c r="A33" s="1" t="s">
        <v>618</v>
      </c>
      <c r="B33" s="13" t="s">
        <v>619</v>
      </c>
      <c r="C33" s="2" t="s">
        <v>15</v>
      </c>
      <c r="D33" s="32">
        <v>2</v>
      </c>
      <c r="E33" s="32" t="s">
        <v>33</v>
      </c>
      <c r="F33" s="28">
        <v>0</v>
      </c>
      <c r="G33" s="28">
        <v>0</v>
      </c>
      <c r="H33" s="28">
        <v>0</v>
      </c>
      <c r="I33" s="29">
        <f t="shared" si="3"/>
        <v>0</v>
      </c>
      <c r="J33" s="28">
        <v>0</v>
      </c>
      <c r="K33" s="28">
        <v>0</v>
      </c>
      <c r="L33" s="28">
        <v>0</v>
      </c>
      <c r="M33" s="29">
        <f t="shared" si="0"/>
        <v>0</v>
      </c>
      <c r="N33" s="28">
        <v>0</v>
      </c>
      <c r="O33" s="28">
        <v>0</v>
      </c>
      <c r="P33" s="28">
        <v>0</v>
      </c>
      <c r="Q33" s="29">
        <f t="shared" si="4"/>
        <v>0</v>
      </c>
      <c r="R33" s="28">
        <v>0</v>
      </c>
      <c r="S33" s="28">
        <v>0</v>
      </c>
      <c r="T33" s="28">
        <v>0</v>
      </c>
      <c r="U33" s="29">
        <f t="shared" si="1"/>
        <v>0</v>
      </c>
      <c r="V33" s="28">
        <v>0</v>
      </c>
      <c r="W33" s="28">
        <v>0</v>
      </c>
      <c r="X33" s="28">
        <v>0</v>
      </c>
      <c r="Y33" s="29">
        <f t="shared" si="2"/>
        <v>0</v>
      </c>
      <c r="Z33" s="30">
        <f t="shared" si="5"/>
        <v>0</v>
      </c>
    </row>
    <row r="34" spans="1:26" ht="15.75" customHeight="1" x14ac:dyDescent="0.25">
      <c r="A34" s="1" t="s">
        <v>626</v>
      </c>
      <c r="B34" s="13" t="s">
        <v>627</v>
      </c>
      <c r="C34" s="2" t="s">
        <v>15</v>
      </c>
      <c r="D34" s="32">
        <v>2</v>
      </c>
      <c r="E34" s="32" t="s">
        <v>33</v>
      </c>
      <c r="F34" s="28">
        <v>0</v>
      </c>
      <c r="G34" s="28">
        <v>0</v>
      </c>
      <c r="H34" s="28">
        <v>0</v>
      </c>
      <c r="I34" s="29">
        <f t="shared" ref="I34:I44" si="6">AVERAGE(F34:H34)</f>
        <v>0</v>
      </c>
      <c r="J34" s="28">
        <v>0</v>
      </c>
      <c r="K34" s="28">
        <v>0</v>
      </c>
      <c r="L34" s="28">
        <v>0</v>
      </c>
      <c r="M34" s="29">
        <f t="shared" ref="M34:M44" si="7">AVERAGE(J34:L34)</f>
        <v>0</v>
      </c>
      <c r="N34" s="28">
        <v>0</v>
      </c>
      <c r="O34" s="28">
        <v>0</v>
      </c>
      <c r="P34" s="28">
        <v>0</v>
      </c>
      <c r="Q34" s="29">
        <f t="shared" ref="Q34:Q44" si="8">AVERAGE(N34:P34)</f>
        <v>0</v>
      </c>
      <c r="R34" s="28">
        <v>0</v>
      </c>
      <c r="S34" s="28">
        <v>0</v>
      </c>
      <c r="T34" s="28">
        <v>0</v>
      </c>
      <c r="U34" s="29">
        <f t="shared" ref="U34:U44" si="9">AVERAGE(R34:T34)</f>
        <v>0</v>
      </c>
      <c r="V34" s="28">
        <v>0</v>
      </c>
      <c r="W34" s="28">
        <v>0</v>
      </c>
      <c r="X34" s="28">
        <v>0</v>
      </c>
      <c r="Y34" s="29">
        <f t="shared" ref="Y34:Y44" si="10">AVERAGE(V34:X34)</f>
        <v>0</v>
      </c>
      <c r="Z34" s="30">
        <f t="shared" ref="Z34:Z44" si="11">AVERAGE(I34,M34,Q34,U34,Y34)</f>
        <v>0</v>
      </c>
    </row>
    <row r="35" spans="1:26" ht="15.75" customHeight="1" x14ac:dyDescent="0.25">
      <c r="A35" s="1" t="s">
        <v>620</v>
      </c>
      <c r="B35" s="14" t="s">
        <v>621</v>
      </c>
      <c r="C35" s="2" t="s">
        <v>15</v>
      </c>
      <c r="D35" s="32">
        <v>2</v>
      </c>
      <c r="E35" s="32" t="s">
        <v>33</v>
      </c>
      <c r="F35" s="28">
        <v>0</v>
      </c>
      <c r="G35" s="28">
        <v>0</v>
      </c>
      <c r="H35" s="28">
        <v>0</v>
      </c>
      <c r="I35" s="29">
        <f t="shared" si="6"/>
        <v>0</v>
      </c>
      <c r="J35" s="28">
        <v>0</v>
      </c>
      <c r="K35" s="28">
        <v>0</v>
      </c>
      <c r="L35" s="28">
        <v>0</v>
      </c>
      <c r="M35" s="29">
        <f t="shared" si="7"/>
        <v>0</v>
      </c>
      <c r="N35" s="28">
        <v>0</v>
      </c>
      <c r="O35" s="28">
        <v>0</v>
      </c>
      <c r="P35" s="28">
        <v>0</v>
      </c>
      <c r="Q35" s="29">
        <f t="shared" si="8"/>
        <v>0</v>
      </c>
      <c r="R35" s="28">
        <v>0</v>
      </c>
      <c r="S35" s="28">
        <v>0</v>
      </c>
      <c r="T35" s="28">
        <v>0</v>
      </c>
      <c r="U35" s="29">
        <f t="shared" si="9"/>
        <v>0</v>
      </c>
      <c r="V35" s="28">
        <v>0</v>
      </c>
      <c r="W35" s="28">
        <v>0</v>
      </c>
      <c r="X35" s="28">
        <v>0</v>
      </c>
      <c r="Y35" s="29">
        <f t="shared" si="10"/>
        <v>0</v>
      </c>
      <c r="Z35" s="30">
        <f t="shared" si="11"/>
        <v>0</v>
      </c>
    </row>
    <row r="36" spans="1:26" ht="15.75" customHeight="1" x14ac:dyDescent="0.25">
      <c r="A36" s="1" t="s">
        <v>592</v>
      </c>
      <c r="B36" s="13" t="s">
        <v>593</v>
      </c>
      <c r="C36" s="2" t="s">
        <v>15</v>
      </c>
      <c r="D36" s="32">
        <v>2</v>
      </c>
      <c r="E36" s="32" t="s">
        <v>33</v>
      </c>
      <c r="F36" s="28">
        <v>0</v>
      </c>
      <c r="G36" s="28">
        <v>0</v>
      </c>
      <c r="H36" s="28">
        <v>0</v>
      </c>
      <c r="I36" s="29">
        <f t="shared" si="6"/>
        <v>0</v>
      </c>
      <c r="J36" s="28">
        <v>0</v>
      </c>
      <c r="K36" s="28">
        <v>0</v>
      </c>
      <c r="L36" s="28">
        <v>0</v>
      </c>
      <c r="M36" s="29">
        <f t="shared" si="7"/>
        <v>0</v>
      </c>
      <c r="N36" s="28">
        <v>0</v>
      </c>
      <c r="O36" s="28">
        <v>0</v>
      </c>
      <c r="P36" s="28">
        <v>0</v>
      </c>
      <c r="Q36" s="29">
        <f t="shared" si="8"/>
        <v>0</v>
      </c>
      <c r="R36" s="28">
        <v>0</v>
      </c>
      <c r="S36" s="28">
        <v>0</v>
      </c>
      <c r="T36" s="28">
        <v>0</v>
      </c>
      <c r="U36" s="29">
        <f t="shared" si="9"/>
        <v>0</v>
      </c>
      <c r="V36" s="28">
        <v>0</v>
      </c>
      <c r="W36" s="28">
        <v>0</v>
      </c>
      <c r="X36" s="28">
        <v>0</v>
      </c>
      <c r="Y36" s="29">
        <f t="shared" si="10"/>
        <v>0</v>
      </c>
      <c r="Z36" s="30">
        <f t="shared" si="11"/>
        <v>0</v>
      </c>
    </row>
    <row r="37" spans="1:26" x14ac:dyDescent="0.25">
      <c r="A37" s="1" t="s">
        <v>654</v>
      </c>
      <c r="B37" s="13" t="s">
        <v>655</v>
      </c>
      <c r="C37" s="2" t="s">
        <v>15</v>
      </c>
      <c r="D37" s="32">
        <v>2</v>
      </c>
      <c r="E37" s="32" t="s">
        <v>33</v>
      </c>
      <c r="F37" s="28">
        <v>0</v>
      </c>
      <c r="G37" s="28">
        <v>0</v>
      </c>
      <c r="H37" s="28">
        <v>0</v>
      </c>
      <c r="I37" s="29">
        <f t="shared" si="6"/>
        <v>0</v>
      </c>
      <c r="J37" s="28">
        <v>0</v>
      </c>
      <c r="K37" s="28">
        <v>0</v>
      </c>
      <c r="L37" s="28">
        <v>0</v>
      </c>
      <c r="M37" s="29">
        <f t="shared" si="7"/>
        <v>0</v>
      </c>
      <c r="N37" s="28">
        <v>0</v>
      </c>
      <c r="O37" s="28">
        <v>0</v>
      </c>
      <c r="P37" s="28">
        <v>0</v>
      </c>
      <c r="Q37" s="29">
        <f t="shared" si="8"/>
        <v>0</v>
      </c>
      <c r="R37" s="28">
        <v>0</v>
      </c>
      <c r="S37" s="28">
        <v>0</v>
      </c>
      <c r="T37" s="28">
        <v>0</v>
      </c>
      <c r="U37" s="29">
        <f t="shared" si="9"/>
        <v>0</v>
      </c>
      <c r="V37" s="28">
        <v>0</v>
      </c>
      <c r="W37" s="28">
        <v>0</v>
      </c>
      <c r="X37" s="28">
        <v>0</v>
      </c>
      <c r="Y37" s="29">
        <f t="shared" si="10"/>
        <v>0</v>
      </c>
      <c r="Z37" s="30">
        <f t="shared" si="11"/>
        <v>0</v>
      </c>
    </row>
    <row r="38" spans="1:26" x14ac:dyDescent="0.25">
      <c r="A38" s="1" t="s">
        <v>658</v>
      </c>
      <c r="B38" s="13" t="s">
        <v>659</v>
      </c>
      <c r="C38" s="2" t="s">
        <v>15</v>
      </c>
      <c r="D38" s="32">
        <v>2</v>
      </c>
      <c r="E38" s="32" t="s">
        <v>33</v>
      </c>
      <c r="F38" s="28">
        <v>0</v>
      </c>
      <c r="G38" s="28">
        <v>0</v>
      </c>
      <c r="H38" s="28">
        <v>0</v>
      </c>
      <c r="I38" s="29">
        <f t="shared" si="6"/>
        <v>0</v>
      </c>
      <c r="J38" s="28">
        <v>0</v>
      </c>
      <c r="K38" s="28">
        <v>0</v>
      </c>
      <c r="L38" s="28">
        <v>0</v>
      </c>
      <c r="M38" s="29">
        <f t="shared" si="7"/>
        <v>0</v>
      </c>
      <c r="N38" s="28">
        <v>0</v>
      </c>
      <c r="O38" s="28">
        <v>0</v>
      </c>
      <c r="P38" s="28">
        <v>0</v>
      </c>
      <c r="Q38" s="29">
        <f t="shared" si="8"/>
        <v>0</v>
      </c>
      <c r="R38" s="28">
        <v>0</v>
      </c>
      <c r="S38" s="28">
        <v>0</v>
      </c>
      <c r="T38" s="28">
        <v>0</v>
      </c>
      <c r="U38" s="29">
        <f t="shared" si="9"/>
        <v>0</v>
      </c>
      <c r="V38" s="28">
        <v>0</v>
      </c>
      <c r="W38" s="28">
        <v>0</v>
      </c>
      <c r="X38" s="28">
        <v>0</v>
      </c>
      <c r="Y38" s="29">
        <f t="shared" si="10"/>
        <v>0</v>
      </c>
      <c r="Z38" s="30">
        <f t="shared" si="11"/>
        <v>0</v>
      </c>
    </row>
    <row r="39" spans="1:26" x14ac:dyDescent="0.25">
      <c r="A39" s="1" t="s">
        <v>614</v>
      </c>
      <c r="B39" s="13" t="s">
        <v>615</v>
      </c>
      <c r="C39" s="2" t="s">
        <v>15</v>
      </c>
      <c r="D39" s="32">
        <v>2</v>
      </c>
      <c r="E39" s="32" t="s">
        <v>33</v>
      </c>
      <c r="F39" s="28">
        <v>0</v>
      </c>
      <c r="G39" s="28">
        <v>0</v>
      </c>
      <c r="H39" s="28">
        <v>0</v>
      </c>
      <c r="I39" s="29">
        <f t="shared" si="6"/>
        <v>0</v>
      </c>
      <c r="J39" s="28">
        <v>0</v>
      </c>
      <c r="K39" s="28">
        <v>0</v>
      </c>
      <c r="L39" s="28">
        <v>0</v>
      </c>
      <c r="M39" s="29">
        <f t="shared" si="7"/>
        <v>0</v>
      </c>
      <c r="N39" s="28">
        <v>0</v>
      </c>
      <c r="O39" s="28">
        <v>0</v>
      </c>
      <c r="P39" s="28">
        <v>0</v>
      </c>
      <c r="Q39" s="29">
        <f t="shared" si="8"/>
        <v>0</v>
      </c>
      <c r="R39" s="28">
        <v>0</v>
      </c>
      <c r="S39" s="28">
        <v>0</v>
      </c>
      <c r="T39" s="28">
        <v>0</v>
      </c>
      <c r="U39" s="29">
        <f t="shared" si="9"/>
        <v>0</v>
      </c>
      <c r="V39" s="28">
        <v>0</v>
      </c>
      <c r="W39" s="28">
        <v>0</v>
      </c>
      <c r="X39" s="28">
        <v>0</v>
      </c>
      <c r="Y39" s="29">
        <f t="shared" si="10"/>
        <v>0</v>
      </c>
      <c r="Z39" s="30">
        <f t="shared" si="11"/>
        <v>0</v>
      </c>
    </row>
    <row r="40" spans="1:26" x14ac:dyDescent="0.25">
      <c r="A40" s="1" t="s">
        <v>636</v>
      </c>
      <c r="B40" s="13" t="s">
        <v>637</v>
      </c>
      <c r="C40" s="2" t="s">
        <v>15</v>
      </c>
      <c r="D40" s="32">
        <v>2</v>
      </c>
      <c r="E40" s="32" t="s">
        <v>33</v>
      </c>
      <c r="F40" s="28">
        <v>0</v>
      </c>
      <c r="G40" s="28">
        <v>0</v>
      </c>
      <c r="H40" s="28">
        <v>0</v>
      </c>
      <c r="I40" s="29">
        <f t="shared" si="6"/>
        <v>0</v>
      </c>
      <c r="J40" s="28">
        <v>0</v>
      </c>
      <c r="K40" s="28">
        <v>0</v>
      </c>
      <c r="L40" s="28">
        <v>0</v>
      </c>
      <c r="M40" s="29">
        <f t="shared" si="7"/>
        <v>0</v>
      </c>
      <c r="N40" s="28">
        <v>0</v>
      </c>
      <c r="O40" s="28">
        <v>0</v>
      </c>
      <c r="P40" s="28">
        <v>0</v>
      </c>
      <c r="Q40" s="29">
        <f t="shared" si="8"/>
        <v>0</v>
      </c>
      <c r="R40" s="28">
        <v>0</v>
      </c>
      <c r="S40" s="28">
        <v>0</v>
      </c>
      <c r="T40" s="28">
        <v>0</v>
      </c>
      <c r="U40" s="29">
        <f t="shared" si="9"/>
        <v>0</v>
      </c>
      <c r="V40" s="28">
        <v>0</v>
      </c>
      <c r="W40" s="28">
        <v>0</v>
      </c>
      <c r="X40" s="28">
        <v>0</v>
      </c>
      <c r="Y40" s="29">
        <f t="shared" si="10"/>
        <v>0</v>
      </c>
      <c r="Z40" s="30">
        <f t="shared" si="11"/>
        <v>0</v>
      </c>
    </row>
    <row r="41" spans="1:26" x14ac:dyDescent="0.25">
      <c r="A41" t="s">
        <v>628</v>
      </c>
      <c r="B41" s="13" t="s">
        <v>629</v>
      </c>
      <c r="C41" s="2" t="s">
        <v>15</v>
      </c>
      <c r="D41" s="32">
        <v>2</v>
      </c>
      <c r="E41" s="32" t="s">
        <v>33</v>
      </c>
      <c r="F41" s="28">
        <v>0</v>
      </c>
      <c r="G41" s="28">
        <v>0</v>
      </c>
      <c r="H41" s="28">
        <v>0</v>
      </c>
      <c r="I41" s="29">
        <f t="shared" si="6"/>
        <v>0</v>
      </c>
      <c r="J41" s="28">
        <v>0</v>
      </c>
      <c r="K41" s="28">
        <v>0</v>
      </c>
      <c r="L41" s="28">
        <v>0</v>
      </c>
      <c r="M41" s="29">
        <f t="shared" si="7"/>
        <v>0</v>
      </c>
      <c r="N41" s="28">
        <v>0</v>
      </c>
      <c r="O41" s="28">
        <v>0</v>
      </c>
      <c r="P41" s="28">
        <v>0</v>
      </c>
      <c r="Q41" s="29">
        <f t="shared" si="8"/>
        <v>0</v>
      </c>
      <c r="R41" s="28">
        <v>0</v>
      </c>
      <c r="S41" s="28">
        <v>0</v>
      </c>
      <c r="T41" s="28">
        <v>0</v>
      </c>
      <c r="U41" s="29">
        <f t="shared" si="9"/>
        <v>0</v>
      </c>
      <c r="V41" s="28">
        <v>0</v>
      </c>
      <c r="W41" s="28">
        <v>0</v>
      </c>
      <c r="X41" s="28">
        <v>0</v>
      </c>
      <c r="Y41" s="29">
        <f t="shared" si="10"/>
        <v>0</v>
      </c>
      <c r="Z41" s="30">
        <f t="shared" si="11"/>
        <v>0</v>
      </c>
    </row>
    <row r="42" spans="1:26" x14ac:dyDescent="0.25">
      <c r="A42" s="1" t="s">
        <v>640</v>
      </c>
      <c r="B42" s="13" t="s">
        <v>641</v>
      </c>
      <c r="C42" s="2" t="s">
        <v>15</v>
      </c>
      <c r="D42" s="32">
        <v>2</v>
      </c>
      <c r="E42" s="32" t="s">
        <v>33</v>
      </c>
      <c r="F42" s="28">
        <v>0</v>
      </c>
      <c r="G42" s="28">
        <v>0</v>
      </c>
      <c r="H42" s="28">
        <v>0</v>
      </c>
      <c r="I42" s="29">
        <f t="shared" si="6"/>
        <v>0</v>
      </c>
      <c r="J42" s="28">
        <v>0</v>
      </c>
      <c r="K42" s="28">
        <v>0</v>
      </c>
      <c r="L42" s="28">
        <v>0</v>
      </c>
      <c r="M42" s="29">
        <f t="shared" si="7"/>
        <v>0</v>
      </c>
      <c r="N42" s="28">
        <v>0</v>
      </c>
      <c r="O42" s="28">
        <v>0</v>
      </c>
      <c r="P42" s="28">
        <v>0</v>
      </c>
      <c r="Q42" s="29">
        <f t="shared" si="8"/>
        <v>0</v>
      </c>
      <c r="R42" s="28">
        <v>0</v>
      </c>
      <c r="S42" s="28">
        <v>0</v>
      </c>
      <c r="T42" s="28">
        <v>0</v>
      </c>
      <c r="U42" s="29">
        <f t="shared" si="9"/>
        <v>0</v>
      </c>
      <c r="V42" s="28">
        <v>0</v>
      </c>
      <c r="W42" s="28">
        <v>0</v>
      </c>
      <c r="X42" s="28">
        <v>0</v>
      </c>
      <c r="Y42" s="29">
        <f t="shared" si="10"/>
        <v>0</v>
      </c>
      <c r="Z42" s="30">
        <f t="shared" si="11"/>
        <v>0</v>
      </c>
    </row>
    <row r="43" spans="1:26" x14ac:dyDescent="0.25">
      <c r="A43" s="1" t="s">
        <v>656</v>
      </c>
      <c r="B43" s="13" t="s">
        <v>657</v>
      </c>
      <c r="C43" s="2" t="s">
        <v>15</v>
      </c>
      <c r="D43" s="32">
        <v>2</v>
      </c>
      <c r="E43" s="32" t="s">
        <v>33</v>
      </c>
      <c r="F43" s="28">
        <v>0</v>
      </c>
      <c r="G43" s="28">
        <v>0</v>
      </c>
      <c r="H43" s="28">
        <v>0</v>
      </c>
      <c r="I43" s="29">
        <f t="shared" si="6"/>
        <v>0</v>
      </c>
      <c r="J43" s="28">
        <v>0</v>
      </c>
      <c r="K43" s="28">
        <v>0</v>
      </c>
      <c r="L43" s="28">
        <v>0</v>
      </c>
      <c r="M43" s="29">
        <f t="shared" si="7"/>
        <v>0</v>
      </c>
      <c r="N43" s="28">
        <v>0</v>
      </c>
      <c r="O43" s="28">
        <v>0</v>
      </c>
      <c r="P43" s="28">
        <v>0</v>
      </c>
      <c r="Q43" s="29">
        <f t="shared" si="8"/>
        <v>0</v>
      </c>
      <c r="R43" s="28">
        <v>0</v>
      </c>
      <c r="S43" s="28">
        <v>0</v>
      </c>
      <c r="T43" s="28">
        <v>0</v>
      </c>
      <c r="U43" s="29">
        <f t="shared" si="9"/>
        <v>0</v>
      </c>
      <c r="V43" s="28">
        <v>0</v>
      </c>
      <c r="W43" s="28">
        <v>0</v>
      </c>
      <c r="X43" s="28">
        <v>0</v>
      </c>
      <c r="Y43" s="29">
        <f t="shared" si="10"/>
        <v>0</v>
      </c>
      <c r="Z43" s="30">
        <f t="shared" si="11"/>
        <v>0</v>
      </c>
    </row>
    <row r="44" spans="1:26" x14ac:dyDescent="0.25">
      <c r="A44" s="1" t="s">
        <v>660</v>
      </c>
      <c r="B44" s="13" t="s">
        <v>661</v>
      </c>
      <c r="C44" s="2" t="s">
        <v>15</v>
      </c>
      <c r="D44" s="32">
        <v>2</v>
      </c>
      <c r="E44" s="32" t="s">
        <v>33</v>
      </c>
      <c r="F44" s="28">
        <v>0</v>
      </c>
      <c r="G44" s="28">
        <v>0</v>
      </c>
      <c r="H44" s="28">
        <v>0</v>
      </c>
      <c r="I44" s="29">
        <f t="shared" si="6"/>
        <v>0</v>
      </c>
      <c r="J44" s="28">
        <v>0</v>
      </c>
      <c r="K44" s="28">
        <v>0</v>
      </c>
      <c r="L44" s="28">
        <v>0</v>
      </c>
      <c r="M44" s="29">
        <f t="shared" si="7"/>
        <v>0</v>
      </c>
      <c r="N44" s="28">
        <v>0</v>
      </c>
      <c r="O44" s="28">
        <v>0</v>
      </c>
      <c r="P44" s="28">
        <v>0</v>
      </c>
      <c r="Q44" s="29">
        <f t="shared" si="8"/>
        <v>0</v>
      </c>
      <c r="R44" s="28">
        <v>0</v>
      </c>
      <c r="S44" s="28">
        <v>0</v>
      </c>
      <c r="T44" s="28">
        <v>0</v>
      </c>
      <c r="U44" s="29">
        <f t="shared" si="9"/>
        <v>0</v>
      </c>
      <c r="V44" s="28">
        <v>0</v>
      </c>
      <c r="W44" s="28">
        <v>0</v>
      </c>
      <c r="X44" s="28">
        <v>0</v>
      </c>
      <c r="Y44" s="29">
        <f t="shared" si="10"/>
        <v>0</v>
      </c>
      <c r="Z44" s="30">
        <f t="shared" si="11"/>
        <v>0</v>
      </c>
    </row>
  </sheetData>
  <sortState xmlns:xlrd2="http://schemas.microsoft.com/office/spreadsheetml/2017/richdata2" ref="A3:Z44">
    <sortCondition ref="E1:E44"/>
  </sortState>
  <mergeCells count="5">
    <mergeCell ref="F1:I1"/>
    <mergeCell ref="J1:M1"/>
    <mergeCell ref="N1:Q1"/>
    <mergeCell ref="R1:U1"/>
    <mergeCell ref="V1:Y1"/>
  </mergeCells>
  <conditionalFormatting sqref="F3:H44">
    <cfRule type="cellIs" dxfId="405" priority="53" operator="lessThan">
      <formula>7.9</formula>
    </cfRule>
  </conditionalFormatting>
  <conditionalFormatting sqref="F3:H44">
    <cfRule type="cellIs" dxfId="404" priority="54" operator="lessThan">
      <formula>7.4</formula>
    </cfRule>
  </conditionalFormatting>
  <conditionalFormatting sqref="F5:H6">
    <cfRule type="cellIs" dxfId="403" priority="55" operator="lessThan">
      <formula>6.9</formula>
    </cfRule>
  </conditionalFormatting>
  <conditionalFormatting sqref="I3:I44">
    <cfRule type="cellIs" dxfId="402" priority="56" operator="lessThan">
      <formula>7.9</formula>
    </cfRule>
    <cfRule type="cellIs" dxfId="401" priority="65" operator="lessThan">
      <formula>6.9</formula>
    </cfRule>
    <cfRule type="cellIs" dxfId="400" priority="66" operator="lessThan">
      <formula>7.4</formula>
    </cfRule>
    <cfRule type="cellIs" dxfId="399" priority="67" operator="lessThan">
      <formula>7.9</formula>
    </cfRule>
  </conditionalFormatting>
  <conditionalFormatting sqref="I3:I44">
    <cfRule type="cellIs" dxfId="398" priority="57" operator="lessThan">
      <formula>6.9</formula>
    </cfRule>
    <cfRule type="cellIs" dxfId="397" priority="58" operator="lessThan">
      <formula>7.4</formula>
    </cfRule>
    <cfRule type="cellIs" dxfId="396" priority="59" operator="lessThan">
      <formula>7.9</formula>
    </cfRule>
    <cfRule type="cellIs" dxfId="395" priority="60" operator="lessThan">
      <formula>6.9</formula>
    </cfRule>
    <cfRule type="cellIs" dxfId="394" priority="61" operator="lessThan">
      <formula>7.9</formula>
    </cfRule>
    <cfRule type="cellIs" dxfId="393" priority="62" operator="lessThan">
      <formula>7.4</formula>
    </cfRule>
    <cfRule type="cellIs" dxfId="392" priority="63" operator="lessThan">
      <formula>6.9</formula>
    </cfRule>
    <cfRule type="cellIs" dxfId="391" priority="64" operator="lessThan">
      <formula>7.9</formula>
    </cfRule>
  </conditionalFormatting>
  <conditionalFormatting sqref="M3:M44">
    <cfRule type="cellIs" dxfId="390" priority="68" operator="lessThan">
      <formula>7.9</formula>
    </cfRule>
    <cfRule type="cellIs" dxfId="389" priority="69" operator="lessThan">
      <formula>6.9</formula>
    </cfRule>
    <cfRule type="cellIs" dxfId="388" priority="70" operator="lessThan">
      <formula>7.4</formula>
    </cfRule>
    <cfRule type="cellIs" dxfId="387" priority="71" operator="lessThan">
      <formula>7.9</formula>
    </cfRule>
    <cfRule type="cellIs" dxfId="386" priority="72" operator="lessThan">
      <formula>6.9</formula>
    </cfRule>
    <cfRule type="cellIs" dxfId="385" priority="73" operator="lessThan">
      <formula>7.9</formula>
    </cfRule>
    <cfRule type="cellIs" dxfId="384" priority="74" operator="lessThan">
      <formula>7.4</formula>
    </cfRule>
    <cfRule type="cellIs" dxfId="383" priority="75" operator="lessThan">
      <formula>6.9</formula>
    </cfRule>
    <cfRule type="cellIs" dxfId="382" priority="76" operator="lessThan">
      <formula>7.9</formula>
    </cfRule>
    <cfRule type="cellIs" dxfId="381" priority="77" operator="lessThan">
      <formula>6.9</formula>
    </cfRule>
    <cfRule type="cellIs" dxfId="380" priority="78" operator="lessThan">
      <formula>7.4</formula>
    </cfRule>
    <cfRule type="cellIs" dxfId="379" priority="79" operator="lessThan">
      <formula>6.9</formula>
    </cfRule>
    <cfRule type="cellIs" dxfId="378" priority="80" operator="lessThan">
      <formula>7.4</formula>
    </cfRule>
    <cfRule type="cellIs" dxfId="377" priority="81" operator="lessThan">
      <formula>7.9</formula>
    </cfRule>
  </conditionalFormatting>
  <conditionalFormatting sqref="J3:L44">
    <cfRule type="cellIs" dxfId="376" priority="50" operator="lessThan">
      <formula>7.9</formula>
    </cfRule>
  </conditionalFormatting>
  <conditionalFormatting sqref="J3:L44">
    <cfRule type="cellIs" dxfId="375" priority="51" operator="lessThan">
      <formula>7.4</formula>
    </cfRule>
  </conditionalFormatting>
  <conditionalFormatting sqref="J5:L6">
    <cfRule type="cellIs" dxfId="374" priority="52" operator="lessThan">
      <formula>6.9</formula>
    </cfRule>
  </conditionalFormatting>
  <conditionalFormatting sqref="N3:P44">
    <cfRule type="cellIs" dxfId="373" priority="21" operator="lessThan">
      <formula>7.9</formula>
    </cfRule>
  </conditionalFormatting>
  <conditionalFormatting sqref="N3:P44">
    <cfRule type="cellIs" dxfId="372" priority="22" operator="lessThan">
      <formula>7.4</formula>
    </cfRule>
  </conditionalFormatting>
  <conditionalFormatting sqref="N5:P6">
    <cfRule type="cellIs" dxfId="371" priority="23" operator="lessThan">
      <formula>6.9</formula>
    </cfRule>
  </conditionalFormatting>
  <conditionalFormatting sqref="Q3:Q44">
    <cfRule type="cellIs" dxfId="370" priority="24" operator="lessThan">
      <formula>7.9</formula>
    </cfRule>
    <cfRule type="cellIs" dxfId="369" priority="33" operator="lessThan">
      <formula>6.9</formula>
    </cfRule>
    <cfRule type="cellIs" dxfId="368" priority="34" operator="lessThan">
      <formula>7.4</formula>
    </cfRule>
    <cfRule type="cellIs" dxfId="367" priority="35" operator="lessThan">
      <formula>7.9</formula>
    </cfRule>
  </conditionalFormatting>
  <conditionalFormatting sqref="Q3:Q44">
    <cfRule type="cellIs" dxfId="366" priority="25" operator="lessThan">
      <formula>6.9</formula>
    </cfRule>
    <cfRule type="cellIs" dxfId="365" priority="26" operator="lessThan">
      <formula>7.4</formula>
    </cfRule>
    <cfRule type="cellIs" dxfId="364" priority="27" operator="lessThan">
      <formula>7.9</formula>
    </cfRule>
    <cfRule type="cellIs" dxfId="363" priority="28" operator="lessThan">
      <formula>6.9</formula>
    </cfRule>
    <cfRule type="cellIs" dxfId="362" priority="29" operator="lessThan">
      <formula>7.9</formula>
    </cfRule>
    <cfRule type="cellIs" dxfId="361" priority="30" operator="lessThan">
      <formula>7.4</formula>
    </cfRule>
    <cfRule type="cellIs" dxfId="360" priority="31" operator="lessThan">
      <formula>6.9</formula>
    </cfRule>
    <cfRule type="cellIs" dxfId="359" priority="32" operator="lessThan">
      <formula>7.9</formula>
    </cfRule>
  </conditionalFormatting>
  <conditionalFormatting sqref="U3:U44">
    <cfRule type="cellIs" dxfId="358" priority="36" operator="lessThan">
      <formula>7.9</formula>
    </cfRule>
    <cfRule type="cellIs" dxfId="357" priority="37" operator="lessThan">
      <formula>6.9</formula>
    </cfRule>
    <cfRule type="cellIs" dxfId="356" priority="38" operator="lessThan">
      <formula>7.4</formula>
    </cfRule>
    <cfRule type="cellIs" dxfId="355" priority="39" operator="lessThan">
      <formula>7.9</formula>
    </cfRule>
    <cfRule type="cellIs" dxfId="354" priority="40" operator="lessThan">
      <formula>6.9</formula>
    </cfRule>
    <cfRule type="cellIs" dxfId="353" priority="41" operator="lessThan">
      <formula>7.9</formula>
    </cfRule>
    <cfRule type="cellIs" dxfId="352" priority="42" operator="lessThan">
      <formula>7.4</formula>
    </cfRule>
    <cfRule type="cellIs" dxfId="351" priority="43" operator="lessThan">
      <formula>6.9</formula>
    </cfRule>
    <cfRule type="cellIs" dxfId="350" priority="44" operator="lessThan">
      <formula>7.9</formula>
    </cfRule>
    <cfRule type="cellIs" dxfId="349" priority="45" operator="lessThan">
      <formula>6.9</formula>
    </cfRule>
    <cfRule type="cellIs" dxfId="348" priority="46" operator="lessThan">
      <formula>7.4</formula>
    </cfRule>
    <cfRule type="cellIs" dxfId="347" priority="47" operator="lessThan">
      <formula>6.9</formula>
    </cfRule>
    <cfRule type="cellIs" dxfId="346" priority="48" operator="lessThan">
      <formula>7.4</formula>
    </cfRule>
    <cfRule type="cellIs" dxfId="345" priority="49" operator="lessThan">
      <formula>7.9</formula>
    </cfRule>
  </conditionalFormatting>
  <conditionalFormatting sqref="R3:T44">
    <cfRule type="cellIs" dxfId="344" priority="18" operator="lessThan">
      <formula>7.9</formula>
    </cfRule>
  </conditionalFormatting>
  <conditionalFormatting sqref="R3:T44">
    <cfRule type="cellIs" dxfId="343" priority="19" operator="lessThan">
      <formula>7.4</formula>
    </cfRule>
  </conditionalFormatting>
  <conditionalFormatting sqref="R5:T6">
    <cfRule type="cellIs" dxfId="342" priority="20" operator="lessThan">
      <formula>6.9</formula>
    </cfRule>
  </conditionalFormatting>
  <conditionalFormatting sqref="Y3:Y44">
    <cfRule type="cellIs" dxfId="341" priority="4" operator="lessThan">
      <formula>7.9</formula>
    </cfRule>
    <cfRule type="cellIs" dxfId="340" priority="5" operator="lessThan">
      <formula>6.9</formula>
    </cfRule>
    <cfRule type="cellIs" dxfId="339" priority="6" operator="lessThan">
      <formula>7.4</formula>
    </cfRule>
    <cfRule type="cellIs" dxfId="338" priority="7" operator="lessThan">
      <formula>7.9</formula>
    </cfRule>
    <cfRule type="cellIs" dxfId="337" priority="8" operator="lessThan">
      <formula>6.9</formula>
    </cfRule>
    <cfRule type="cellIs" dxfId="336" priority="9" operator="lessThan">
      <formula>7.9</formula>
    </cfRule>
    <cfRule type="cellIs" dxfId="335" priority="10" operator="lessThan">
      <formula>7.4</formula>
    </cfRule>
    <cfRule type="cellIs" dxfId="334" priority="11" operator="lessThan">
      <formula>6.9</formula>
    </cfRule>
    <cfRule type="cellIs" dxfId="333" priority="12" operator="lessThan">
      <formula>7.9</formula>
    </cfRule>
    <cfRule type="cellIs" dxfId="332" priority="13" operator="lessThan">
      <formula>6.9</formula>
    </cfRule>
    <cfRule type="cellIs" dxfId="331" priority="14" operator="lessThan">
      <formula>7.4</formula>
    </cfRule>
    <cfRule type="cellIs" dxfId="330" priority="15" operator="lessThan">
      <formula>6.9</formula>
    </cfRule>
    <cfRule type="cellIs" dxfId="329" priority="16" operator="lessThan">
      <formula>7.4</formula>
    </cfRule>
    <cfRule type="cellIs" dxfId="328" priority="17" operator="lessThan">
      <formula>7.9</formula>
    </cfRule>
  </conditionalFormatting>
  <conditionalFormatting sqref="V3:X44">
    <cfRule type="cellIs" dxfId="327" priority="1" operator="lessThan">
      <formula>7.9</formula>
    </cfRule>
  </conditionalFormatting>
  <conditionalFormatting sqref="V3:X44">
    <cfRule type="cellIs" dxfId="326" priority="2" operator="lessThan">
      <formula>7.4</formula>
    </cfRule>
  </conditionalFormatting>
  <conditionalFormatting sqref="V5:X6">
    <cfRule type="cellIs" dxfId="325" priority="3" operator="lessThan">
      <formula>6.9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E46"/>
  <sheetViews>
    <sheetView zoomScale="60" zoomScaleNormal="60" workbookViewId="0">
      <selection activeCell="F2" sqref="F1:Z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7.5703125" customWidth="1"/>
    <col min="9" max="9" width="5.5703125" bestFit="1" customWidth="1"/>
    <col min="10" max="10" width="7.28515625" bestFit="1" customWidth="1"/>
    <col min="11" max="11" width="7.5703125" bestFit="1" customWidth="1"/>
    <col min="12" max="12" width="7.5703125" customWidth="1"/>
    <col min="13" max="13" width="5.5703125" bestFit="1" customWidth="1"/>
    <col min="14" max="14" width="7.28515625" bestFit="1" customWidth="1"/>
    <col min="15" max="15" width="7.5703125" bestFit="1" customWidth="1"/>
    <col min="16" max="16" width="7.5703125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7.5703125" customWidth="1"/>
    <col min="21" max="21" width="5.5703125" bestFit="1" customWidth="1"/>
    <col min="22" max="22" width="7.28515625" bestFit="1" customWidth="1"/>
    <col min="23" max="23" width="7.5703125" bestFit="1" customWidth="1"/>
    <col min="24" max="24" width="7.5703125" customWidth="1"/>
    <col min="25" max="25" width="5.5703125" bestFit="1" customWidth="1"/>
    <col min="27" max="31" width="3.140625" customWidth="1"/>
  </cols>
  <sheetData>
    <row r="1" spans="1:31" ht="44.25" x14ac:dyDescent="0.2">
      <c r="A1" s="1"/>
      <c r="B1" s="1"/>
      <c r="C1" s="33"/>
      <c r="D1" s="33"/>
      <c r="E1" s="33"/>
      <c r="F1" s="21" t="s">
        <v>0</v>
      </c>
      <c r="G1" s="22"/>
      <c r="H1" s="22"/>
      <c r="I1" s="23"/>
      <c r="J1" s="21" t="s">
        <v>1</v>
      </c>
      <c r="K1" s="22"/>
      <c r="L1" s="22"/>
      <c r="M1" s="23"/>
      <c r="N1" s="21" t="s">
        <v>122</v>
      </c>
      <c r="O1" s="22"/>
      <c r="P1" s="22"/>
      <c r="Q1" s="23"/>
      <c r="R1" s="21" t="s">
        <v>123</v>
      </c>
      <c r="S1" s="22"/>
      <c r="T1" s="22"/>
      <c r="U1" s="23"/>
      <c r="V1" s="21" t="s">
        <v>124</v>
      </c>
      <c r="W1" s="22"/>
      <c r="X1" s="22"/>
      <c r="Y1" s="23"/>
      <c r="Z1" s="24" t="s">
        <v>2</v>
      </c>
      <c r="AA1" s="11"/>
      <c r="AB1" s="11"/>
      <c r="AC1" s="11"/>
      <c r="AD1" s="11"/>
      <c r="AE1" s="11"/>
    </row>
    <row r="2" spans="1:31" x14ac:dyDescent="0.2">
      <c r="A2" s="1" t="s">
        <v>3</v>
      </c>
      <c r="B2" s="1" t="s">
        <v>4</v>
      </c>
      <c r="C2" s="25" t="s">
        <v>848</v>
      </c>
      <c r="D2" s="25" t="s">
        <v>849</v>
      </c>
      <c r="E2" s="25" t="s">
        <v>850</v>
      </c>
      <c r="F2" s="25" t="s">
        <v>8</v>
      </c>
      <c r="G2" s="25" t="s">
        <v>9</v>
      </c>
      <c r="H2" s="25" t="s">
        <v>10</v>
      </c>
      <c r="I2" s="26" t="s">
        <v>11</v>
      </c>
      <c r="J2" s="25" t="s">
        <v>8</v>
      </c>
      <c r="K2" s="25" t="s">
        <v>9</v>
      </c>
      <c r="L2" s="25" t="s">
        <v>10</v>
      </c>
      <c r="M2" s="26" t="s">
        <v>11</v>
      </c>
      <c r="N2" s="25" t="s">
        <v>8</v>
      </c>
      <c r="O2" s="25" t="s">
        <v>9</v>
      </c>
      <c r="P2" s="25" t="s">
        <v>10</v>
      </c>
      <c r="Q2" s="26" t="s">
        <v>11</v>
      </c>
      <c r="R2" s="25" t="s">
        <v>8</v>
      </c>
      <c r="S2" s="25" t="s">
        <v>9</v>
      </c>
      <c r="T2" s="25" t="s">
        <v>10</v>
      </c>
      <c r="U2" s="26" t="s">
        <v>11</v>
      </c>
      <c r="V2" s="25" t="s">
        <v>8</v>
      </c>
      <c r="W2" s="25" t="s">
        <v>9</v>
      </c>
      <c r="X2" s="25" t="s">
        <v>10</v>
      </c>
      <c r="Y2" s="26" t="s">
        <v>11</v>
      </c>
      <c r="Z2" s="24" t="s">
        <v>12</v>
      </c>
      <c r="AA2" s="5"/>
      <c r="AB2" s="5"/>
      <c r="AC2" s="5"/>
      <c r="AD2" s="5"/>
      <c r="AE2" s="5"/>
    </row>
    <row r="3" spans="1:31" ht="15.75" customHeight="1" x14ac:dyDescent="0.25">
      <c r="A3" s="1" t="s">
        <v>706</v>
      </c>
      <c r="B3" s="13" t="s">
        <v>707</v>
      </c>
      <c r="C3" s="2" t="s">
        <v>15</v>
      </c>
      <c r="D3" s="32">
        <v>3</v>
      </c>
      <c r="E3" s="32" t="s">
        <v>16</v>
      </c>
      <c r="F3" s="28">
        <v>0</v>
      </c>
      <c r="G3" s="28">
        <v>0</v>
      </c>
      <c r="H3" s="28">
        <v>0</v>
      </c>
      <c r="I3" s="29">
        <f>AVERAGE(F3:H3)</f>
        <v>0</v>
      </c>
      <c r="J3" s="28">
        <v>0</v>
      </c>
      <c r="K3" s="28">
        <v>0</v>
      </c>
      <c r="L3" s="28">
        <v>0</v>
      </c>
      <c r="M3" s="29">
        <f t="shared" ref="M3:M44" si="0">AVERAGE(J3:L3)</f>
        <v>0</v>
      </c>
      <c r="N3" s="28">
        <v>0</v>
      </c>
      <c r="O3" s="28">
        <v>0</v>
      </c>
      <c r="P3" s="28">
        <v>0</v>
      </c>
      <c r="Q3" s="29">
        <f>AVERAGE(N3:P3)</f>
        <v>0</v>
      </c>
      <c r="R3" s="28">
        <v>0</v>
      </c>
      <c r="S3" s="28">
        <v>0</v>
      </c>
      <c r="T3" s="28">
        <v>0</v>
      </c>
      <c r="U3" s="29">
        <f t="shared" ref="U3:U44" si="1">AVERAGE(R3:T3)</f>
        <v>0</v>
      </c>
      <c r="V3" s="28">
        <v>0</v>
      </c>
      <c r="W3" s="28">
        <v>0</v>
      </c>
      <c r="X3" s="28">
        <v>0</v>
      </c>
      <c r="Y3" s="29">
        <f t="shared" ref="Y3:Y44" si="2">AVERAGE(V3:X3)</f>
        <v>0</v>
      </c>
      <c r="Z3" s="30">
        <f>AVERAGE(I3,M3,Q3,U3,Y3)</f>
        <v>0</v>
      </c>
      <c r="AA3" s="6"/>
      <c r="AB3" s="6"/>
      <c r="AC3" s="7"/>
      <c r="AD3" s="6"/>
      <c r="AE3" s="7"/>
    </row>
    <row r="4" spans="1:31" ht="15.75" customHeight="1" x14ac:dyDescent="0.25">
      <c r="A4" s="1" t="s">
        <v>678</v>
      </c>
      <c r="B4" s="14" t="s">
        <v>679</v>
      </c>
      <c r="C4" s="2" t="s">
        <v>15</v>
      </c>
      <c r="D4" s="32">
        <v>3</v>
      </c>
      <c r="E4" s="32" t="s">
        <v>16</v>
      </c>
      <c r="F4" s="28">
        <v>0</v>
      </c>
      <c r="G4" s="28">
        <v>0</v>
      </c>
      <c r="H4" s="28">
        <v>0</v>
      </c>
      <c r="I4" s="29">
        <f t="shared" ref="I4:I44" si="3">AVERAGE(F4:H4)</f>
        <v>0</v>
      </c>
      <c r="J4" s="28">
        <v>0</v>
      </c>
      <c r="K4" s="28">
        <v>0</v>
      </c>
      <c r="L4" s="28">
        <v>0</v>
      </c>
      <c r="M4" s="29">
        <f t="shared" si="0"/>
        <v>0</v>
      </c>
      <c r="N4" s="28">
        <v>0</v>
      </c>
      <c r="O4" s="28">
        <v>0</v>
      </c>
      <c r="P4" s="28">
        <v>0</v>
      </c>
      <c r="Q4" s="29">
        <f t="shared" ref="Q4:Q44" si="4">AVERAGE(N4:P4)</f>
        <v>0</v>
      </c>
      <c r="R4" s="28">
        <v>0</v>
      </c>
      <c r="S4" s="28">
        <v>0</v>
      </c>
      <c r="T4" s="28">
        <v>0</v>
      </c>
      <c r="U4" s="29">
        <f t="shared" si="1"/>
        <v>0</v>
      </c>
      <c r="V4" s="28">
        <v>0</v>
      </c>
      <c r="W4" s="28">
        <v>0</v>
      </c>
      <c r="X4" s="28">
        <v>0</v>
      </c>
      <c r="Y4" s="29">
        <f t="shared" si="2"/>
        <v>0</v>
      </c>
      <c r="Z4" s="30">
        <f t="shared" ref="Z4:Z44" si="5">AVERAGE(I4,M4,Q4,U4,Y4)</f>
        <v>0</v>
      </c>
      <c r="AA4" s="7"/>
      <c r="AB4" s="7"/>
      <c r="AC4" s="7"/>
      <c r="AD4" s="7"/>
      <c r="AE4" s="7"/>
    </row>
    <row r="5" spans="1:31" ht="15.75" customHeight="1" x14ac:dyDescent="0.25">
      <c r="A5" s="1" t="s">
        <v>674</v>
      </c>
      <c r="B5" s="14" t="s">
        <v>675</v>
      </c>
      <c r="C5" s="2" t="s">
        <v>15</v>
      </c>
      <c r="D5" s="32">
        <v>3</v>
      </c>
      <c r="E5" s="32" t="s">
        <v>16</v>
      </c>
      <c r="F5" s="28">
        <v>0</v>
      </c>
      <c r="G5" s="28">
        <v>0</v>
      </c>
      <c r="H5" s="28">
        <v>0</v>
      </c>
      <c r="I5" s="29">
        <f t="shared" si="3"/>
        <v>0</v>
      </c>
      <c r="J5" s="28">
        <v>0</v>
      </c>
      <c r="K5" s="28">
        <v>0</v>
      </c>
      <c r="L5" s="28">
        <v>0</v>
      </c>
      <c r="M5" s="29">
        <f t="shared" si="0"/>
        <v>0</v>
      </c>
      <c r="N5" s="28">
        <v>0</v>
      </c>
      <c r="O5" s="28">
        <v>0</v>
      </c>
      <c r="P5" s="28">
        <v>0</v>
      </c>
      <c r="Q5" s="29">
        <f t="shared" si="4"/>
        <v>0</v>
      </c>
      <c r="R5" s="28">
        <v>0</v>
      </c>
      <c r="S5" s="28">
        <v>0</v>
      </c>
      <c r="T5" s="28">
        <v>0</v>
      </c>
      <c r="U5" s="29">
        <f t="shared" si="1"/>
        <v>0</v>
      </c>
      <c r="V5" s="28">
        <v>0</v>
      </c>
      <c r="W5" s="28">
        <v>0</v>
      </c>
      <c r="X5" s="28">
        <v>0</v>
      </c>
      <c r="Y5" s="29">
        <f t="shared" si="2"/>
        <v>0</v>
      </c>
      <c r="Z5" s="30">
        <f t="shared" si="5"/>
        <v>0</v>
      </c>
      <c r="AA5" s="7"/>
      <c r="AB5" s="7"/>
      <c r="AC5" s="7"/>
      <c r="AD5" s="8"/>
      <c r="AE5" s="7"/>
    </row>
    <row r="6" spans="1:31" ht="15.75" customHeight="1" x14ac:dyDescent="0.25">
      <c r="A6" s="1" t="s">
        <v>684</v>
      </c>
      <c r="B6" s="14" t="s">
        <v>685</v>
      </c>
      <c r="C6" s="2" t="s">
        <v>15</v>
      </c>
      <c r="D6" s="32">
        <v>3</v>
      </c>
      <c r="E6" s="32" t="s">
        <v>16</v>
      </c>
      <c r="F6" s="28">
        <v>0</v>
      </c>
      <c r="G6" s="28">
        <v>0</v>
      </c>
      <c r="H6" s="28">
        <v>0</v>
      </c>
      <c r="I6" s="29">
        <f t="shared" si="3"/>
        <v>0</v>
      </c>
      <c r="J6" s="28">
        <v>0</v>
      </c>
      <c r="K6" s="28">
        <v>0</v>
      </c>
      <c r="L6" s="28">
        <v>0</v>
      </c>
      <c r="M6" s="29">
        <f t="shared" si="0"/>
        <v>0</v>
      </c>
      <c r="N6" s="28">
        <v>0</v>
      </c>
      <c r="O6" s="28">
        <v>0</v>
      </c>
      <c r="P6" s="28">
        <v>0</v>
      </c>
      <c r="Q6" s="29">
        <f t="shared" si="4"/>
        <v>0</v>
      </c>
      <c r="R6" s="28">
        <v>0</v>
      </c>
      <c r="S6" s="28">
        <v>0</v>
      </c>
      <c r="T6" s="28">
        <v>0</v>
      </c>
      <c r="U6" s="29">
        <f t="shared" si="1"/>
        <v>0</v>
      </c>
      <c r="V6" s="28">
        <v>0</v>
      </c>
      <c r="W6" s="28">
        <v>0</v>
      </c>
      <c r="X6" s="28">
        <v>0</v>
      </c>
      <c r="Y6" s="29">
        <f t="shared" si="2"/>
        <v>0</v>
      </c>
      <c r="Z6" s="30">
        <f t="shared" si="5"/>
        <v>0</v>
      </c>
      <c r="AA6" s="7"/>
      <c r="AB6" s="7"/>
      <c r="AC6" s="7"/>
      <c r="AD6" s="8"/>
      <c r="AE6" s="7"/>
    </row>
    <row r="7" spans="1:31" ht="15.75" customHeight="1" x14ac:dyDescent="0.25">
      <c r="A7" s="1" t="s">
        <v>742</v>
      </c>
      <c r="B7" s="13" t="s">
        <v>743</v>
      </c>
      <c r="C7" s="2" t="s">
        <v>15</v>
      </c>
      <c r="D7" s="32">
        <v>3</v>
      </c>
      <c r="E7" s="32" t="s">
        <v>16</v>
      </c>
      <c r="F7" s="28">
        <v>0</v>
      </c>
      <c r="G7" s="28">
        <v>0</v>
      </c>
      <c r="H7" s="28">
        <v>0</v>
      </c>
      <c r="I7" s="29">
        <f t="shared" si="3"/>
        <v>0</v>
      </c>
      <c r="J7" s="28">
        <v>0</v>
      </c>
      <c r="K7" s="28">
        <v>0</v>
      </c>
      <c r="L7" s="28">
        <v>0</v>
      </c>
      <c r="M7" s="29">
        <f t="shared" si="0"/>
        <v>0</v>
      </c>
      <c r="N7" s="28">
        <v>0</v>
      </c>
      <c r="O7" s="28">
        <v>0</v>
      </c>
      <c r="P7" s="28">
        <v>0</v>
      </c>
      <c r="Q7" s="29">
        <f t="shared" si="4"/>
        <v>0</v>
      </c>
      <c r="R7" s="28">
        <v>0</v>
      </c>
      <c r="S7" s="28">
        <v>0</v>
      </c>
      <c r="T7" s="28">
        <v>0</v>
      </c>
      <c r="U7" s="29">
        <f t="shared" si="1"/>
        <v>0</v>
      </c>
      <c r="V7" s="28">
        <v>0</v>
      </c>
      <c r="W7" s="28">
        <v>0</v>
      </c>
      <c r="X7" s="28">
        <v>0</v>
      </c>
      <c r="Y7" s="29">
        <f t="shared" si="2"/>
        <v>0</v>
      </c>
      <c r="Z7" s="30">
        <f t="shared" si="5"/>
        <v>0</v>
      </c>
      <c r="AA7" s="9"/>
      <c r="AB7" s="9"/>
      <c r="AC7" s="6"/>
      <c r="AD7" s="6"/>
      <c r="AE7" s="7"/>
    </row>
    <row r="8" spans="1:31" ht="15.75" customHeight="1" x14ac:dyDescent="0.25">
      <c r="A8" s="1" t="s">
        <v>676</v>
      </c>
      <c r="B8" s="14" t="s">
        <v>677</v>
      </c>
      <c r="C8" s="2" t="s">
        <v>15</v>
      </c>
      <c r="D8" s="32">
        <v>3</v>
      </c>
      <c r="E8" s="32" t="s">
        <v>16</v>
      </c>
      <c r="F8" s="28">
        <v>0</v>
      </c>
      <c r="G8" s="28">
        <v>0</v>
      </c>
      <c r="H8" s="28">
        <v>0</v>
      </c>
      <c r="I8" s="29">
        <f t="shared" si="3"/>
        <v>0</v>
      </c>
      <c r="J8" s="28">
        <v>0</v>
      </c>
      <c r="K8" s="28">
        <v>0</v>
      </c>
      <c r="L8" s="28">
        <v>0</v>
      </c>
      <c r="M8" s="29">
        <f t="shared" si="0"/>
        <v>0</v>
      </c>
      <c r="N8" s="28">
        <v>0</v>
      </c>
      <c r="O8" s="28">
        <v>0</v>
      </c>
      <c r="P8" s="28">
        <v>0</v>
      </c>
      <c r="Q8" s="29">
        <f t="shared" si="4"/>
        <v>0</v>
      </c>
      <c r="R8" s="28">
        <v>0</v>
      </c>
      <c r="S8" s="28">
        <v>0</v>
      </c>
      <c r="T8" s="28">
        <v>0</v>
      </c>
      <c r="U8" s="29">
        <f t="shared" si="1"/>
        <v>0</v>
      </c>
      <c r="V8" s="28">
        <v>0</v>
      </c>
      <c r="W8" s="28">
        <v>0</v>
      </c>
      <c r="X8" s="28">
        <v>0</v>
      </c>
      <c r="Y8" s="29">
        <f t="shared" si="2"/>
        <v>0</v>
      </c>
      <c r="Z8" s="30">
        <f t="shared" si="5"/>
        <v>0</v>
      </c>
      <c r="AA8" s="7"/>
      <c r="AB8" s="7"/>
      <c r="AC8" s="6"/>
      <c r="AD8" s="6"/>
      <c r="AE8" s="7"/>
    </row>
    <row r="9" spans="1:31" ht="15.75" customHeight="1" x14ac:dyDescent="0.25">
      <c r="A9" s="1" t="s">
        <v>712</v>
      </c>
      <c r="B9" s="13" t="s">
        <v>713</v>
      </c>
      <c r="C9" s="2" t="s">
        <v>15</v>
      </c>
      <c r="D9" s="32">
        <v>3</v>
      </c>
      <c r="E9" s="32" t="s">
        <v>16</v>
      </c>
      <c r="F9" s="28">
        <v>0</v>
      </c>
      <c r="G9" s="28">
        <v>0</v>
      </c>
      <c r="H9" s="28">
        <v>0</v>
      </c>
      <c r="I9" s="29">
        <f t="shared" si="3"/>
        <v>0</v>
      </c>
      <c r="J9" s="28">
        <v>0</v>
      </c>
      <c r="K9" s="28">
        <v>0</v>
      </c>
      <c r="L9" s="28">
        <v>0</v>
      </c>
      <c r="M9" s="29">
        <f t="shared" si="0"/>
        <v>0</v>
      </c>
      <c r="N9" s="28">
        <v>0</v>
      </c>
      <c r="O9" s="28">
        <v>0</v>
      </c>
      <c r="P9" s="28">
        <v>0</v>
      </c>
      <c r="Q9" s="29">
        <f t="shared" si="4"/>
        <v>0</v>
      </c>
      <c r="R9" s="28">
        <v>0</v>
      </c>
      <c r="S9" s="28">
        <v>0</v>
      </c>
      <c r="T9" s="28">
        <v>0</v>
      </c>
      <c r="U9" s="29">
        <f t="shared" si="1"/>
        <v>0</v>
      </c>
      <c r="V9" s="28">
        <v>0</v>
      </c>
      <c r="W9" s="28">
        <v>0</v>
      </c>
      <c r="X9" s="28">
        <v>0</v>
      </c>
      <c r="Y9" s="29">
        <f t="shared" si="2"/>
        <v>0</v>
      </c>
      <c r="Z9" s="30">
        <f t="shared" si="5"/>
        <v>0</v>
      </c>
      <c r="AA9" s="6"/>
      <c r="AB9" s="6"/>
      <c r="AC9" s="10"/>
      <c r="AD9" s="8"/>
      <c r="AE9" s="7"/>
    </row>
    <row r="10" spans="1:31" ht="15.75" customHeight="1" x14ac:dyDescent="0.25">
      <c r="A10" s="1" t="s">
        <v>708</v>
      </c>
      <c r="B10" s="13" t="s">
        <v>709</v>
      </c>
      <c r="C10" s="2" t="s">
        <v>15</v>
      </c>
      <c r="D10" s="32">
        <v>3</v>
      </c>
      <c r="E10" s="32" t="s">
        <v>16</v>
      </c>
      <c r="F10" s="28">
        <v>0</v>
      </c>
      <c r="G10" s="28">
        <v>0</v>
      </c>
      <c r="H10" s="28">
        <v>0</v>
      </c>
      <c r="I10" s="29">
        <f t="shared" si="3"/>
        <v>0</v>
      </c>
      <c r="J10" s="28">
        <v>0</v>
      </c>
      <c r="K10" s="28">
        <v>0</v>
      </c>
      <c r="L10" s="28">
        <v>0</v>
      </c>
      <c r="M10" s="29">
        <f t="shared" si="0"/>
        <v>0</v>
      </c>
      <c r="N10" s="28">
        <v>0</v>
      </c>
      <c r="O10" s="28">
        <v>0</v>
      </c>
      <c r="P10" s="28">
        <v>0</v>
      </c>
      <c r="Q10" s="29">
        <f t="shared" si="4"/>
        <v>0</v>
      </c>
      <c r="R10" s="28">
        <v>0</v>
      </c>
      <c r="S10" s="28">
        <v>0</v>
      </c>
      <c r="T10" s="28">
        <v>0</v>
      </c>
      <c r="U10" s="29">
        <f t="shared" si="1"/>
        <v>0</v>
      </c>
      <c r="V10" s="28">
        <v>0</v>
      </c>
      <c r="W10" s="28">
        <v>0</v>
      </c>
      <c r="X10" s="28">
        <v>0</v>
      </c>
      <c r="Y10" s="29">
        <f t="shared" si="2"/>
        <v>0</v>
      </c>
      <c r="Z10" s="30">
        <f t="shared" si="5"/>
        <v>0</v>
      </c>
      <c r="AA10" s="7"/>
      <c r="AB10" s="7"/>
      <c r="AC10" s="7"/>
      <c r="AD10" s="7"/>
      <c r="AE10" s="7"/>
    </row>
    <row r="11" spans="1:31" ht="15.75" customHeight="1" x14ac:dyDescent="0.25">
      <c r="A11" s="1" t="s">
        <v>668</v>
      </c>
      <c r="B11" s="13" t="s">
        <v>669</v>
      </c>
      <c r="C11" s="2" t="s">
        <v>15</v>
      </c>
      <c r="D11" s="32">
        <v>3</v>
      </c>
      <c r="E11" s="32" t="s">
        <v>16</v>
      </c>
      <c r="F11" s="28">
        <v>0</v>
      </c>
      <c r="G11" s="28">
        <v>0</v>
      </c>
      <c r="H11" s="28">
        <v>0</v>
      </c>
      <c r="I11" s="29">
        <f t="shared" si="3"/>
        <v>0</v>
      </c>
      <c r="J11" s="28">
        <v>0</v>
      </c>
      <c r="K11" s="28">
        <v>0</v>
      </c>
      <c r="L11" s="28">
        <v>0</v>
      </c>
      <c r="M11" s="29">
        <f t="shared" si="0"/>
        <v>0</v>
      </c>
      <c r="N11" s="28">
        <v>0</v>
      </c>
      <c r="O11" s="28">
        <v>0</v>
      </c>
      <c r="P11" s="28">
        <v>0</v>
      </c>
      <c r="Q11" s="29">
        <f t="shared" si="4"/>
        <v>0</v>
      </c>
      <c r="R11" s="28">
        <v>0</v>
      </c>
      <c r="S11" s="28">
        <v>0</v>
      </c>
      <c r="T11" s="28">
        <v>0</v>
      </c>
      <c r="U11" s="29">
        <f t="shared" si="1"/>
        <v>0</v>
      </c>
      <c r="V11" s="28">
        <v>0</v>
      </c>
      <c r="W11" s="28">
        <v>0</v>
      </c>
      <c r="X11" s="28">
        <v>0</v>
      </c>
      <c r="Y11" s="29">
        <f t="shared" si="2"/>
        <v>0</v>
      </c>
      <c r="Z11" s="30">
        <f t="shared" si="5"/>
        <v>0</v>
      </c>
      <c r="AA11" s="8"/>
      <c r="AB11" s="8"/>
      <c r="AC11" s="6"/>
      <c r="AD11" s="6"/>
      <c r="AE11" s="7"/>
    </row>
    <row r="12" spans="1:31" ht="15.75" customHeight="1" x14ac:dyDescent="0.25">
      <c r="A12" s="1" t="s">
        <v>688</v>
      </c>
      <c r="B12" s="17" t="s">
        <v>689</v>
      </c>
      <c r="C12" s="2" t="s">
        <v>15</v>
      </c>
      <c r="D12" s="32">
        <v>3</v>
      </c>
      <c r="E12" s="32" t="s">
        <v>16</v>
      </c>
      <c r="F12" s="28">
        <v>0</v>
      </c>
      <c r="G12" s="28">
        <v>0</v>
      </c>
      <c r="H12" s="28">
        <v>0</v>
      </c>
      <c r="I12" s="29">
        <f t="shared" si="3"/>
        <v>0</v>
      </c>
      <c r="J12" s="28">
        <v>0</v>
      </c>
      <c r="K12" s="28">
        <v>0</v>
      </c>
      <c r="L12" s="28">
        <v>0</v>
      </c>
      <c r="M12" s="29">
        <f t="shared" si="0"/>
        <v>0</v>
      </c>
      <c r="N12" s="28">
        <v>0</v>
      </c>
      <c r="O12" s="28">
        <v>0</v>
      </c>
      <c r="P12" s="28">
        <v>0</v>
      </c>
      <c r="Q12" s="29">
        <f t="shared" si="4"/>
        <v>0</v>
      </c>
      <c r="R12" s="28">
        <v>0</v>
      </c>
      <c r="S12" s="28">
        <v>0</v>
      </c>
      <c r="T12" s="28">
        <v>0</v>
      </c>
      <c r="U12" s="29">
        <f t="shared" si="1"/>
        <v>0</v>
      </c>
      <c r="V12" s="28">
        <v>0</v>
      </c>
      <c r="W12" s="28">
        <v>0</v>
      </c>
      <c r="X12" s="28">
        <v>0</v>
      </c>
      <c r="Y12" s="29">
        <f t="shared" si="2"/>
        <v>0</v>
      </c>
      <c r="Z12" s="30">
        <f t="shared" si="5"/>
        <v>0</v>
      </c>
      <c r="AA12" s="8"/>
      <c r="AB12" s="6"/>
      <c r="AC12" s="6"/>
      <c r="AD12" s="10"/>
      <c r="AE12" s="7"/>
    </row>
    <row r="13" spans="1:31" ht="15.75" customHeight="1" x14ac:dyDescent="0.25">
      <c r="A13" s="18"/>
      <c r="B13" s="20" t="s">
        <v>847</v>
      </c>
      <c r="C13" s="2" t="s">
        <v>15</v>
      </c>
      <c r="D13" s="32">
        <v>3</v>
      </c>
      <c r="E13" s="32" t="s">
        <v>16</v>
      </c>
      <c r="F13" s="28">
        <v>0</v>
      </c>
      <c r="G13" s="28">
        <v>0</v>
      </c>
      <c r="H13" s="28">
        <v>0</v>
      </c>
      <c r="I13" s="29">
        <f t="shared" si="3"/>
        <v>0</v>
      </c>
      <c r="J13" s="28">
        <v>0</v>
      </c>
      <c r="K13" s="28">
        <v>0</v>
      </c>
      <c r="L13" s="28">
        <v>0</v>
      </c>
      <c r="M13" s="29">
        <f t="shared" si="0"/>
        <v>0</v>
      </c>
      <c r="N13" s="28">
        <v>0</v>
      </c>
      <c r="O13" s="28">
        <v>0</v>
      </c>
      <c r="P13" s="28">
        <v>0</v>
      </c>
      <c r="Q13" s="29">
        <f t="shared" si="4"/>
        <v>0</v>
      </c>
      <c r="R13" s="28">
        <v>0</v>
      </c>
      <c r="S13" s="28">
        <v>0</v>
      </c>
      <c r="T13" s="28">
        <v>0</v>
      </c>
      <c r="U13" s="29">
        <f t="shared" si="1"/>
        <v>0</v>
      </c>
      <c r="V13" s="28">
        <v>0</v>
      </c>
      <c r="W13" s="28">
        <v>0</v>
      </c>
      <c r="X13" s="28">
        <v>0</v>
      </c>
      <c r="Y13" s="29">
        <f t="shared" si="2"/>
        <v>0</v>
      </c>
      <c r="Z13" s="30">
        <f t="shared" si="5"/>
        <v>0</v>
      </c>
      <c r="AA13" s="8"/>
      <c r="AB13" s="7"/>
      <c r="AC13" s="7"/>
      <c r="AD13" s="8"/>
      <c r="AE13" s="7"/>
    </row>
    <row r="14" spans="1:31" ht="15.75" customHeight="1" x14ac:dyDescent="0.25">
      <c r="A14" s="1" t="s">
        <v>704</v>
      </c>
      <c r="B14" s="13" t="s">
        <v>705</v>
      </c>
      <c r="C14" s="2" t="s">
        <v>15</v>
      </c>
      <c r="D14" s="32">
        <v>3</v>
      </c>
      <c r="E14" s="32" t="s">
        <v>16</v>
      </c>
      <c r="F14" s="28">
        <v>0</v>
      </c>
      <c r="G14" s="28">
        <v>0</v>
      </c>
      <c r="H14" s="28">
        <v>0</v>
      </c>
      <c r="I14" s="29">
        <f t="shared" si="3"/>
        <v>0</v>
      </c>
      <c r="J14" s="28">
        <v>0</v>
      </c>
      <c r="K14" s="28">
        <v>0</v>
      </c>
      <c r="L14" s="28">
        <v>0</v>
      </c>
      <c r="M14" s="29">
        <f t="shared" si="0"/>
        <v>0</v>
      </c>
      <c r="N14" s="28">
        <v>0</v>
      </c>
      <c r="O14" s="28">
        <v>0</v>
      </c>
      <c r="P14" s="28">
        <v>0</v>
      </c>
      <c r="Q14" s="29">
        <f t="shared" si="4"/>
        <v>0</v>
      </c>
      <c r="R14" s="28">
        <v>0</v>
      </c>
      <c r="S14" s="28">
        <v>0</v>
      </c>
      <c r="T14" s="28">
        <v>0</v>
      </c>
      <c r="U14" s="29">
        <f t="shared" si="1"/>
        <v>0</v>
      </c>
      <c r="V14" s="28">
        <v>0</v>
      </c>
      <c r="W14" s="28">
        <v>0</v>
      </c>
      <c r="X14" s="28">
        <v>0</v>
      </c>
      <c r="Y14" s="29">
        <f t="shared" si="2"/>
        <v>0</v>
      </c>
      <c r="Z14" s="30">
        <f t="shared" si="5"/>
        <v>0</v>
      </c>
      <c r="AA14" s="8"/>
      <c r="AB14" s="8"/>
      <c r="AC14" s="7"/>
      <c r="AD14" s="7"/>
      <c r="AE14" s="7"/>
    </row>
    <row r="15" spans="1:31" ht="15.75" customHeight="1" x14ac:dyDescent="0.25">
      <c r="A15" s="1" t="s">
        <v>732</v>
      </c>
      <c r="B15" s="13" t="s">
        <v>733</v>
      </c>
      <c r="C15" s="2" t="s">
        <v>15</v>
      </c>
      <c r="D15" s="32">
        <v>3</v>
      </c>
      <c r="E15" s="32" t="s">
        <v>16</v>
      </c>
      <c r="F15" s="28">
        <v>0</v>
      </c>
      <c r="G15" s="28">
        <v>0</v>
      </c>
      <c r="H15" s="28">
        <v>0</v>
      </c>
      <c r="I15" s="29">
        <f t="shared" si="3"/>
        <v>0</v>
      </c>
      <c r="J15" s="28">
        <v>0</v>
      </c>
      <c r="K15" s="28">
        <v>0</v>
      </c>
      <c r="L15" s="28">
        <v>0</v>
      </c>
      <c r="M15" s="29">
        <f t="shared" si="0"/>
        <v>0</v>
      </c>
      <c r="N15" s="28">
        <v>0</v>
      </c>
      <c r="O15" s="28">
        <v>0</v>
      </c>
      <c r="P15" s="28">
        <v>0</v>
      </c>
      <c r="Q15" s="29">
        <f t="shared" si="4"/>
        <v>0</v>
      </c>
      <c r="R15" s="28">
        <v>0</v>
      </c>
      <c r="S15" s="28">
        <v>0</v>
      </c>
      <c r="T15" s="28">
        <v>0</v>
      </c>
      <c r="U15" s="29">
        <f t="shared" si="1"/>
        <v>0</v>
      </c>
      <c r="V15" s="28">
        <v>0</v>
      </c>
      <c r="W15" s="28">
        <v>0</v>
      </c>
      <c r="X15" s="28">
        <v>0</v>
      </c>
      <c r="Y15" s="29">
        <f t="shared" si="2"/>
        <v>0</v>
      </c>
      <c r="Z15" s="30">
        <f t="shared" si="5"/>
        <v>0</v>
      </c>
      <c r="AA15" s="10"/>
      <c r="AB15" s="8"/>
      <c r="AC15" s="8"/>
      <c r="AD15" s="6"/>
      <c r="AE15" s="7"/>
    </row>
    <row r="16" spans="1:31" ht="15.75" customHeight="1" x14ac:dyDescent="0.25">
      <c r="A16" s="1" t="s">
        <v>728</v>
      </c>
      <c r="B16" s="13" t="s">
        <v>729</v>
      </c>
      <c r="C16" s="2" t="s">
        <v>15</v>
      </c>
      <c r="D16" s="32">
        <v>3</v>
      </c>
      <c r="E16" s="32" t="s">
        <v>16</v>
      </c>
      <c r="F16" s="28">
        <v>0</v>
      </c>
      <c r="G16" s="28">
        <v>0</v>
      </c>
      <c r="H16" s="28">
        <v>0</v>
      </c>
      <c r="I16" s="29">
        <f t="shared" si="3"/>
        <v>0</v>
      </c>
      <c r="J16" s="28">
        <v>0</v>
      </c>
      <c r="K16" s="28">
        <v>0</v>
      </c>
      <c r="L16" s="28">
        <v>0</v>
      </c>
      <c r="M16" s="29">
        <f t="shared" si="0"/>
        <v>0</v>
      </c>
      <c r="N16" s="28">
        <v>0</v>
      </c>
      <c r="O16" s="28">
        <v>0</v>
      </c>
      <c r="P16" s="28">
        <v>0</v>
      </c>
      <c r="Q16" s="29">
        <f t="shared" si="4"/>
        <v>0</v>
      </c>
      <c r="R16" s="28">
        <v>0</v>
      </c>
      <c r="S16" s="28">
        <v>0</v>
      </c>
      <c r="T16" s="28">
        <v>0</v>
      </c>
      <c r="U16" s="29">
        <f t="shared" si="1"/>
        <v>0</v>
      </c>
      <c r="V16" s="28">
        <v>0</v>
      </c>
      <c r="W16" s="28">
        <v>0</v>
      </c>
      <c r="X16" s="28">
        <v>0</v>
      </c>
      <c r="Y16" s="29">
        <f t="shared" si="2"/>
        <v>0</v>
      </c>
      <c r="Z16" s="30">
        <f t="shared" si="5"/>
        <v>0</v>
      </c>
      <c r="AA16" s="6"/>
      <c r="AB16" s="6"/>
      <c r="AC16" s="7"/>
      <c r="AD16" s="7"/>
      <c r="AE16" s="7"/>
    </row>
    <row r="17" spans="1:31" ht="15.75" customHeight="1" x14ac:dyDescent="0.25">
      <c r="A17" s="1" t="s">
        <v>690</v>
      </c>
      <c r="B17" s="14" t="s">
        <v>691</v>
      </c>
      <c r="C17" s="2" t="s">
        <v>15</v>
      </c>
      <c r="D17" s="32">
        <v>3</v>
      </c>
      <c r="E17" s="32" t="s">
        <v>16</v>
      </c>
      <c r="F17" s="28">
        <v>0</v>
      </c>
      <c r="G17" s="28">
        <v>0</v>
      </c>
      <c r="H17" s="28">
        <v>0</v>
      </c>
      <c r="I17" s="29">
        <f t="shared" si="3"/>
        <v>0</v>
      </c>
      <c r="J17" s="28">
        <v>0</v>
      </c>
      <c r="K17" s="28">
        <v>0</v>
      </c>
      <c r="L17" s="28">
        <v>0</v>
      </c>
      <c r="M17" s="29">
        <f t="shared" si="0"/>
        <v>0</v>
      </c>
      <c r="N17" s="28">
        <v>0</v>
      </c>
      <c r="O17" s="28">
        <v>0</v>
      </c>
      <c r="P17" s="28">
        <v>0</v>
      </c>
      <c r="Q17" s="29">
        <f t="shared" si="4"/>
        <v>0</v>
      </c>
      <c r="R17" s="28">
        <v>0</v>
      </c>
      <c r="S17" s="28">
        <v>0</v>
      </c>
      <c r="T17" s="28">
        <v>0</v>
      </c>
      <c r="U17" s="29">
        <f t="shared" si="1"/>
        <v>0</v>
      </c>
      <c r="V17" s="28">
        <v>0</v>
      </c>
      <c r="W17" s="28">
        <v>0</v>
      </c>
      <c r="X17" s="28">
        <v>0</v>
      </c>
      <c r="Y17" s="29">
        <f t="shared" si="2"/>
        <v>0</v>
      </c>
      <c r="Z17" s="30">
        <f t="shared" si="5"/>
        <v>0</v>
      </c>
      <c r="AA17" s="6"/>
      <c r="AB17" s="6"/>
      <c r="AC17" s="6"/>
      <c r="AD17" s="6"/>
      <c r="AE17" s="7"/>
    </row>
    <row r="18" spans="1:31" ht="15.75" customHeight="1" x14ac:dyDescent="0.25">
      <c r="A18" s="1" t="s">
        <v>748</v>
      </c>
      <c r="B18" s="13" t="s">
        <v>749</v>
      </c>
      <c r="C18" s="2" t="s">
        <v>15</v>
      </c>
      <c r="D18" s="32">
        <v>3</v>
      </c>
      <c r="E18" s="32" t="s">
        <v>16</v>
      </c>
      <c r="F18" s="28">
        <v>0</v>
      </c>
      <c r="G18" s="28">
        <v>0</v>
      </c>
      <c r="H18" s="28">
        <v>0</v>
      </c>
      <c r="I18" s="29">
        <f t="shared" si="3"/>
        <v>0</v>
      </c>
      <c r="J18" s="28">
        <v>0</v>
      </c>
      <c r="K18" s="28">
        <v>0</v>
      </c>
      <c r="L18" s="28">
        <v>0</v>
      </c>
      <c r="M18" s="29">
        <f t="shared" si="0"/>
        <v>0</v>
      </c>
      <c r="N18" s="28">
        <v>0</v>
      </c>
      <c r="O18" s="28">
        <v>0</v>
      </c>
      <c r="P18" s="28">
        <v>0</v>
      </c>
      <c r="Q18" s="29">
        <f t="shared" si="4"/>
        <v>0</v>
      </c>
      <c r="R18" s="28">
        <v>0</v>
      </c>
      <c r="S18" s="28">
        <v>0</v>
      </c>
      <c r="T18" s="28">
        <v>0</v>
      </c>
      <c r="U18" s="29">
        <f t="shared" si="1"/>
        <v>0</v>
      </c>
      <c r="V18" s="28">
        <v>0</v>
      </c>
      <c r="W18" s="28">
        <v>0</v>
      </c>
      <c r="X18" s="28">
        <v>0</v>
      </c>
      <c r="Y18" s="29">
        <f t="shared" si="2"/>
        <v>0</v>
      </c>
      <c r="Z18" s="30">
        <f t="shared" si="5"/>
        <v>0</v>
      </c>
    </row>
    <row r="19" spans="1:31" ht="15.75" customHeight="1" x14ac:dyDescent="0.25">
      <c r="A19" s="1" t="s">
        <v>672</v>
      </c>
      <c r="B19" s="14" t="s">
        <v>673</v>
      </c>
      <c r="C19" s="2" t="s">
        <v>15</v>
      </c>
      <c r="D19" s="32">
        <v>3</v>
      </c>
      <c r="E19" s="32" t="s">
        <v>16</v>
      </c>
      <c r="F19" s="28">
        <v>0</v>
      </c>
      <c r="G19" s="28">
        <v>0</v>
      </c>
      <c r="H19" s="28">
        <v>0</v>
      </c>
      <c r="I19" s="29">
        <f t="shared" si="3"/>
        <v>0</v>
      </c>
      <c r="J19" s="28">
        <v>0</v>
      </c>
      <c r="K19" s="28">
        <v>0</v>
      </c>
      <c r="L19" s="28">
        <v>0</v>
      </c>
      <c r="M19" s="29">
        <f t="shared" si="0"/>
        <v>0</v>
      </c>
      <c r="N19" s="28">
        <v>0</v>
      </c>
      <c r="O19" s="28">
        <v>0</v>
      </c>
      <c r="P19" s="28">
        <v>0</v>
      </c>
      <c r="Q19" s="29">
        <f t="shared" si="4"/>
        <v>0</v>
      </c>
      <c r="R19" s="28">
        <v>0</v>
      </c>
      <c r="S19" s="28">
        <v>0</v>
      </c>
      <c r="T19" s="28">
        <v>0</v>
      </c>
      <c r="U19" s="29">
        <f t="shared" si="1"/>
        <v>0</v>
      </c>
      <c r="V19" s="28">
        <v>0</v>
      </c>
      <c r="W19" s="28">
        <v>0</v>
      </c>
      <c r="X19" s="28">
        <v>0</v>
      </c>
      <c r="Y19" s="29">
        <f t="shared" si="2"/>
        <v>0</v>
      </c>
      <c r="Z19" s="30">
        <f t="shared" si="5"/>
        <v>0</v>
      </c>
    </row>
    <row r="20" spans="1:31" ht="15.75" customHeight="1" x14ac:dyDescent="0.25">
      <c r="A20" s="1" t="s">
        <v>698</v>
      </c>
      <c r="B20" s="13" t="s">
        <v>699</v>
      </c>
      <c r="C20" s="2" t="s">
        <v>15</v>
      </c>
      <c r="D20" s="32">
        <v>3</v>
      </c>
      <c r="E20" s="32" t="s">
        <v>16</v>
      </c>
      <c r="F20" s="28">
        <v>0</v>
      </c>
      <c r="G20" s="28">
        <v>0</v>
      </c>
      <c r="H20" s="28">
        <v>0</v>
      </c>
      <c r="I20" s="29">
        <f t="shared" si="3"/>
        <v>0</v>
      </c>
      <c r="J20" s="28">
        <v>0</v>
      </c>
      <c r="K20" s="28">
        <v>0</v>
      </c>
      <c r="L20" s="28">
        <v>0</v>
      </c>
      <c r="M20" s="29">
        <f t="shared" si="0"/>
        <v>0</v>
      </c>
      <c r="N20" s="28">
        <v>0</v>
      </c>
      <c r="O20" s="28">
        <v>0</v>
      </c>
      <c r="P20" s="28">
        <v>0</v>
      </c>
      <c r="Q20" s="29">
        <f t="shared" si="4"/>
        <v>0</v>
      </c>
      <c r="R20" s="28">
        <v>0</v>
      </c>
      <c r="S20" s="28">
        <v>0</v>
      </c>
      <c r="T20" s="28">
        <v>0</v>
      </c>
      <c r="U20" s="29">
        <f t="shared" si="1"/>
        <v>0</v>
      </c>
      <c r="V20" s="28">
        <v>0</v>
      </c>
      <c r="W20" s="28">
        <v>0</v>
      </c>
      <c r="X20" s="28">
        <v>0</v>
      </c>
      <c r="Y20" s="29">
        <f t="shared" si="2"/>
        <v>0</v>
      </c>
      <c r="Z20" s="30">
        <f t="shared" si="5"/>
        <v>0</v>
      </c>
    </row>
    <row r="21" spans="1:31" ht="15.75" customHeight="1" x14ac:dyDescent="0.25">
      <c r="A21" s="1" t="s">
        <v>702</v>
      </c>
      <c r="B21" s="13" t="s">
        <v>703</v>
      </c>
      <c r="C21" s="2" t="s">
        <v>15</v>
      </c>
      <c r="D21" s="32">
        <v>3</v>
      </c>
      <c r="E21" s="32" t="s">
        <v>16</v>
      </c>
      <c r="F21" s="28">
        <v>0</v>
      </c>
      <c r="G21" s="28">
        <v>0</v>
      </c>
      <c r="H21" s="28">
        <v>0</v>
      </c>
      <c r="I21" s="29">
        <f t="shared" si="3"/>
        <v>0</v>
      </c>
      <c r="J21" s="28">
        <v>0</v>
      </c>
      <c r="K21" s="28">
        <v>0</v>
      </c>
      <c r="L21" s="28">
        <v>0</v>
      </c>
      <c r="M21" s="29">
        <f t="shared" si="0"/>
        <v>0</v>
      </c>
      <c r="N21" s="28">
        <v>0</v>
      </c>
      <c r="O21" s="28">
        <v>0</v>
      </c>
      <c r="P21" s="28">
        <v>0</v>
      </c>
      <c r="Q21" s="29">
        <f t="shared" si="4"/>
        <v>0</v>
      </c>
      <c r="R21" s="28">
        <v>0</v>
      </c>
      <c r="S21" s="28">
        <v>0</v>
      </c>
      <c r="T21" s="28">
        <v>0</v>
      </c>
      <c r="U21" s="29">
        <f t="shared" si="1"/>
        <v>0</v>
      </c>
      <c r="V21" s="28">
        <v>0</v>
      </c>
      <c r="W21" s="28">
        <v>0</v>
      </c>
      <c r="X21" s="28">
        <v>0</v>
      </c>
      <c r="Y21" s="29">
        <f t="shared" si="2"/>
        <v>0</v>
      </c>
      <c r="Z21" s="30">
        <f t="shared" si="5"/>
        <v>0</v>
      </c>
    </row>
    <row r="22" spans="1:31" ht="15.75" customHeight="1" x14ac:dyDescent="0.25">
      <c r="A22" s="1" t="s">
        <v>670</v>
      </c>
      <c r="B22" s="13" t="s">
        <v>671</v>
      </c>
      <c r="C22" s="2" t="s">
        <v>15</v>
      </c>
      <c r="D22" s="32">
        <v>3</v>
      </c>
      <c r="E22" s="32" t="s">
        <v>16</v>
      </c>
      <c r="F22" s="28">
        <v>0</v>
      </c>
      <c r="G22" s="28">
        <v>0</v>
      </c>
      <c r="H22" s="28">
        <v>0</v>
      </c>
      <c r="I22" s="29">
        <f t="shared" si="3"/>
        <v>0</v>
      </c>
      <c r="J22" s="28">
        <v>0</v>
      </c>
      <c r="K22" s="28">
        <v>0</v>
      </c>
      <c r="L22" s="28">
        <v>0</v>
      </c>
      <c r="M22" s="29">
        <f t="shared" si="0"/>
        <v>0</v>
      </c>
      <c r="N22" s="28">
        <v>0</v>
      </c>
      <c r="O22" s="28">
        <v>0</v>
      </c>
      <c r="P22" s="28">
        <v>0</v>
      </c>
      <c r="Q22" s="29">
        <f t="shared" si="4"/>
        <v>0</v>
      </c>
      <c r="R22" s="28">
        <v>0</v>
      </c>
      <c r="S22" s="28">
        <v>0</v>
      </c>
      <c r="T22" s="28">
        <v>0</v>
      </c>
      <c r="U22" s="29">
        <f t="shared" si="1"/>
        <v>0</v>
      </c>
      <c r="V22" s="28">
        <v>0</v>
      </c>
      <c r="W22" s="28">
        <v>0</v>
      </c>
      <c r="X22" s="28">
        <v>0</v>
      </c>
      <c r="Y22" s="29">
        <f t="shared" si="2"/>
        <v>0</v>
      </c>
      <c r="Z22" s="30">
        <f t="shared" si="5"/>
        <v>0</v>
      </c>
    </row>
    <row r="23" spans="1:31" ht="15.75" customHeight="1" x14ac:dyDescent="0.25">
      <c r="A23" s="1" t="s">
        <v>752</v>
      </c>
      <c r="B23" s="13" t="s">
        <v>753</v>
      </c>
      <c r="C23" s="2" t="s">
        <v>15</v>
      </c>
      <c r="D23" s="32">
        <v>3</v>
      </c>
      <c r="E23" s="32" t="s">
        <v>16</v>
      </c>
      <c r="F23" s="28">
        <v>0</v>
      </c>
      <c r="G23" s="28">
        <v>0</v>
      </c>
      <c r="H23" s="28">
        <v>0</v>
      </c>
      <c r="I23" s="29">
        <f t="shared" si="3"/>
        <v>0</v>
      </c>
      <c r="J23" s="28">
        <v>0</v>
      </c>
      <c r="K23" s="28">
        <v>0</v>
      </c>
      <c r="L23" s="28">
        <v>0</v>
      </c>
      <c r="M23" s="29">
        <f t="shared" si="0"/>
        <v>0</v>
      </c>
      <c r="N23" s="28">
        <v>0</v>
      </c>
      <c r="O23" s="28">
        <v>0</v>
      </c>
      <c r="P23" s="28">
        <v>0</v>
      </c>
      <c r="Q23" s="29">
        <f t="shared" si="4"/>
        <v>0</v>
      </c>
      <c r="R23" s="28">
        <v>0</v>
      </c>
      <c r="S23" s="28">
        <v>0</v>
      </c>
      <c r="T23" s="28">
        <v>0</v>
      </c>
      <c r="U23" s="29">
        <f t="shared" si="1"/>
        <v>0</v>
      </c>
      <c r="V23" s="28">
        <v>0</v>
      </c>
      <c r="W23" s="28">
        <v>0</v>
      </c>
      <c r="X23" s="28">
        <v>0</v>
      </c>
      <c r="Y23" s="29">
        <f t="shared" si="2"/>
        <v>0</v>
      </c>
      <c r="Z23" s="30">
        <f t="shared" si="5"/>
        <v>0</v>
      </c>
    </row>
    <row r="24" spans="1:31" ht="15.75" customHeight="1" x14ac:dyDescent="0.25">
      <c r="A24" s="1" t="s">
        <v>746</v>
      </c>
      <c r="B24" s="13" t="s">
        <v>747</v>
      </c>
      <c r="C24" s="2" t="s">
        <v>15</v>
      </c>
      <c r="D24" s="32">
        <v>3</v>
      </c>
      <c r="E24" s="32" t="s">
        <v>16</v>
      </c>
      <c r="F24" s="28">
        <v>0</v>
      </c>
      <c r="G24" s="28">
        <v>0</v>
      </c>
      <c r="H24" s="28">
        <v>0</v>
      </c>
      <c r="I24" s="29">
        <f t="shared" si="3"/>
        <v>0</v>
      </c>
      <c r="J24" s="28">
        <v>0</v>
      </c>
      <c r="K24" s="28">
        <v>0</v>
      </c>
      <c r="L24" s="28">
        <v>0</v>
      </c>
      <c r="M24" s="29">
        <f t="shared" si="0"/>
        <v>0</v>
      </c>
      <c r="N24" s="28">
        <v>0</v>
      </c>
      <c r="O24" s="28">
        <v>0</v>
      </c>
      <c r="P24" s="28">
        <v>0</v>
      </c>
      <c r="Q24" s="29">
        <f t="shared" si="4"/>
        <v>0</v>
      </c>
      <c r="R24" s="28">
        <v>0</v>
      </c>
      <c r="S24" s="28">
        <v>0</v>
      </c>
      <c r="T24" s="28">
        <v>0</v>
      </c>
      <c r="U24" s="29">
        <f t="shared" si="1"/>
        <v>0</v>
      </c>
      <c r="V24" s="28">
        <v>0</v>
      </c>
      <c r="W24" s="28">
        <v>0</v>
      </c>
      <c r="X24" s="28">
        <v>0</v>
      </c>
      <c r="Y24" s="29">
        <f t="shared" si="2"/>
        <v>0</v>
      </c>
      <c r="Z24" s="30">
        <f t="shared" si="5"/>
        <v>0</v>
      </c>
    </row>
    <row r="25" spans="1:31" ht="15.75" customHeight="1" x14ac:dyDescent="0.25">
      <c r="A25" s="36" t="s">
        <v>724</v>
      </c>
      <c r="B25" s="43" t="s">
        <v>725</v>
      </c>
      <c r="C25" s="36" t="s">
        <v>15</v>
      </c>
      <c r="D25" s="37">
        <v>3</v>
      </c>
      <c r="E25" s="37" t="s">
        <v>33</v>
      </c>
      <c r="F25" s="28">
        <v>0</v>
      </c>
      <c r="G25" s="28">
        <v>0</v>
      </c>
      <c r="H25" s="28">
        <v>0</v>
      </c>
      <c r="I25" s="29">
        <f t="shared" si="3"/>
        <v>0</v>
      </c>
      <c r="J25" s="28">
        <v>0</v>
      </c>
      <c r="K25" s="28">
        <v>0</v>
      </c>
      <c r="L25" s="28">
        <v>0</v>
      </c>
      <c r="M25" s="29">
        <f t="shared" si="0"/>
        <v>0</v>
      </c>
      <c r="N25" s="28">
        <v>0</v>
      </c>
      <c r="O25" s="28">
        <v>0</v>
      </c>
      <c r="P25" s="28">
        <v>0</v>
      </c>
      <c r="Q25" s="29">
        <f t="shared" si="4"/>
        <v>0</v>
      </c>
      <c r="R25" s="28">
        <v>0</v>
      </c>
      <c r="S25" s="28">
        <v>0</v>
      </c>
      <c r="T25" s="28">
        <v>0</v>
      </c>
      <c r="U25" s="29">
        <f t="shared" si="1"/>
        <v>0</v>
      </c>
      <c r="V25" s="28">
        <v>0</v>
      </c>
      <c r="W25" s="28">
        <v>0</v>
      </c>
      <c r="X25" s="28">
        <v>0</v>
      </c>
      <c r="Y25" s="29">
        <f t="shared" si="2"/>
        <v>0</v>
      </c>
      <c r="Z25" s="30">
        <f t="shared" si="5"/>
        <v>0</v>
      </c>
    </row>
    <row r="26" spans="1:31" ht="15.75" customHeight="1" x14ac:dyDescent="0.25">
      <c r="A26" s="1" t="s">
        <v>736</v>
      </c>
      <c r="B26" s="13" t="s">
        <v>737</v>
      </c>
      <c r="C26" s="2" t="s">
        <v>15</v>
      </c>
      <c r="D26" s="32">
        <v>3</v>
      </c>
      <c r="E26" s="32" t="s">
        <v>33</v>
      </c>
      <c r="F26" s="28">
        <v>0</v>
      </c>
      <c r="G26" s="28">
        <v>0</v>
      </c>
      <c r="H26" s="28">
        <v>0</v>
      </c>
      <c r="I26" s="29">
        <f t="shared" si="3"/>
        <v>0</v>
      </c>
      <c r="J26" s="28">
        <v>0</v>
      </c>
      <c r="K26" s="28">
        <v>0</v>
      </c>
      <c r="L26" s="28">
        <v>0</v>
      </c>
      <c r="M26" s="29">
        <f t="shared" si="0"/>
        <v>0</v>
      </c>
      <c r="N26" s="28">
        <v>0</v>
      </c>
      <c r="O26" s="28">
        <v>0</v>
      </c>
      <c r="P26" s="28">
        <v>0</v>
      </c>
      <c r="Q26" s="29">
        <f t="shared" si="4"/>
        <v>0</v>
      </c>
      <c r="R26" s="28">
        <v>0</v>
      </c>
      <c r="S26" s="28">
        <v>0</v>
      </c>
      <c r="T26" s="28">
        <v>0</v>
      </c>
      <c r="U26" s="29">
        <f t="shared" si="1"/>
        <v>0</v>
      </c>
      <c r="V26" s="28">
        <v>0</v>
      </c>
      <c r="W26" s="28">
        <v>0</v>
      </c>
      <c r="X26" s="28">
        <v>0</v>
      </c>
      <c r="Y26" s="29">
        <f t="shared" si="2"/>
        <v>0</v>
      </c>
      <c r="Z26" s="30">
        <f t="shared" si="5"/>
        <v>0</v>
      </c>
    </row>
    <row r="27" spans="1:31" ht="15.75" customHeight="1" x14ac:dyDescent="0.25">
      <c r="A27" s="1" t="s">
        <v>734</v>
      </c>
      <c r="B27" s="13" t="s">
        <v>735</v>
      </c>
      <c r="C27" s="2" t="s">
        <v>15</v>
      </c>
      <c r="D27" s="32">
        <v>3</v>
      </c>
      <c r="E27" s="32" t="s">
        <v>33</v>
      </c>
      <c r="F27" s="28">
        <v>0</v>
      </c>
      <c r="G27" s="28">
        <v>0</v>
      </c>
      <c r="H27" s="28">
        <v>0</v>
      </c>
      <c r="I27" s="29">
        <f t="shared" si="3"/>
        <v>0</v>
      </c>
      <c r="J27" s="28">
        <v>0</v>
      </c>
      <c r="K27" s="28">
        <v>0</v>
      </c>
      <c r="L27" s="28">
        <v>0</v>
      </c>
      <c r="M27" s="29">
        <f t="shared" si="0"/>
        <v>0</v>
      </c>
      <c r="N27" s="28">
        <v>0</v>
      </c>
      <c r="O27" s="28">
        <v>0</v>
      </c>
      <c r="P27" s="28">
        <v>0</v>
      </c>
      <c r="Q27" s="29">
        <f t="shared" si="4"/>
        <v>0</v>
      </c>
      <c r="R27" s="28">
        <v>0</v>
      </c>
      <c r="S27" s="28">
        <v>0</v>
      </c>
      <c r="T27" s="28">
        <v>0</v>
      </c>
      <c r="U27" s="29">
        <f t="shared" si="1"/>
        <v>0</v>
      </c>
      <c r="V27" s="28">
        <v>0</v>
      </c>
      <c r="W27" s="28">
        <v>0</v>
      </c>
      <c r="X27" s="28">
        <v>0</v>
      </c>
      <c r="Y27" s="29">
        <f t="shared" si="2"/>
        <v>0</v>
      </c>
      <c r="Z27" s="30">
        <f t="shared" si="5"/>
        <v>0</v>
      </c>
    </row>
    <row r="28" spans="1:31" ht="15.75" customHeight="1" x14ac:dyDescent="0.25">
      <c r="A28" s="1" t="s">
        <v>720</v>
      </c>
      <c r="B28" s="13" t="s">
        <v>721</v>
      </c>
      <c r="C28" s="2" t="s">
        <v>15</v>
      </c>
      <c r="D28" s="32">
        <v>3</v>
      </c>
      <c r="E28" s="32" t="s">
        <v>33</v>
      </c>
      <c r="F28" s="28">
        <v>0</v>
      </c>
      <c r="G28" s="28">
        <v>0</v>
      </c>
      <c r="H28" s="28">
        <v>0</v>
      </c>
      <c r="I28" s="29">
        <f t="shared" si="3"/>
        <v>0</v>
      </c>
      <c r="J28" s="28">
        <v>0</v>
      </c>
      <c r="K28" s="28">
        <v>0</v>
      </c>
      <c r="L28" s="28">
        <v>0</v>
      </c>
      <c r="M28" s="29">
        <f t="shared" si="0"/>
        <v>0</v>
      </c>
      <c r="N28" s="28">
        <v>0</v>
      </c>
      <c r="O28" s="28">
        <v>0</v>
      </c>
      <c r="P28" s="28">
        <v>0</v>
      </c>
      <c r="Q28" s="29">
        <f t="shared" si="4"/>
        <v>0</v>
      </c>
      <c r="R28" s="28">
        <v>0</v>
      </c>
      <c r="S28" s="28">
        <v>0</v>
      </c>
      <c r="T28" s="28">
        <v>0</v>
      </c>
      <c r="U28" s="29">
        <f t="shared" si="1"/>
        <v>0</v>
      </c>
      <c r="V28" s="28">
        <v>0</v>
      </c>
      <c r="W28" s="28">
        <v>0</v>
      </c>
      <c r="X28" s="28">
        <v>0</v>
      </c>
      <c r="Y28" s="29">
        <f t="shared" si="2"/>
        <v>0</v>
      </c>
      <c r="Z28" s="30">
        <f t="shared" si="5"/>
        <v>0</v>
      </c>
    </row>
    <row r="29" spans="1:31" ht="15.75" customHeight="1" x14ac:dyDescent="0.25">
      <c r="A29" s="1" t="s">
        <v>738</v>
      </c>
      <c r="B29" s="13" t="s">
        <v>739</v>
      </c>
      <c r="C29" s="2" t="s">
        <v>15</v>
      </c>
      <c r="D29" s="32">
        <v>3</v>
      </c>
      <c r="E29" s="32" t="s">
        <v>33</v>
      </c>
      <c r="F29" s="28">
        <v>0</v>
      </c>
      <c r="G29" s="28">
        <v>0</v>
      </c>
      <c r="H29" s="28">
        <v>0</v>
      </c>
      <c r="I29" s="29">
        <f t="shared" si="3"/>
        <v>0</v>
      </c>
      <c r="J29" s="28">
        <v>0</v>
      </c>
      <c r="K29" s="28">
        <v>0</v>
      </c>
      <c r="L29" s="28">
        <v>0</v>
      </c>
      <c r="M29" s="29">
        <f t="shared" si="0"/>
        <v>0</v>
      </c>
      <c r="N29" s="28">
        <v>0</v>
      </c>
      <c r="O29" s="28">
        <v>0</v>
      </c>
      <c r="P29" s="28">
        <v>0</v>
      </c>
      <c r="Q29" s="29">
        <f t="shared" si="4"/>
        <v>0</v>
      </c>
      <c r="R29" s="28">
        <v>0</v>
      </c>
      <c r="S29" s="28">
        <v>0</v>
      </c>
      <c r="T29" s="28">
        <v>0</v>
      </c>
      <c r="U29" s="29">
        <f t="shared" si="1"/>
        <v>0</v>
      </c>
      <c r="V29" s="28">
        <v>0</v>
      </c>
      <c r="W29" s="28">
        <v>0</v>
      </c>
      <c r="X29" s="28">
        <v>0</v>
      </c>
      <c r="Y29" s="29">
        <f t="shared" si="2"/>
        <v>0</v>
      </c>
      <c r="Z29" s="30">
        <f t="shared" si="5"/>
        <v>0</v>
      </c>
    </row>
    <row r="30" spans="1:31" ht="15.75" customHeight="1" x14ac:dyDescent="0.25">
      <c r="A30" s="1" t="s">
        <v>718</v>
      </c>
      <c r="B30" s="13" t="s">
        <v>719</v>
      </c>
      <c r="C30" s="2" t="s">
        <v>15</v>
      </c>
      <c r="D30" s="32">
        <v>3</v>
      </c>
      <c r="E30" s="32" t="s">
        <v>33</v>
      </c>
      <c r="F30" s="28">
        <v>0</v>
      </c>
      <c r="G30" s="28">
        <v>0</v>
      </c>
      <c r="H30" s="28">
        <v>0</v>
      </c>
      <c r="I30" s="29">
        <f t="shared" si="3"/>
        <v>0</v>
      </c>
      <c r="J30" s="28">
        <v>0</v>
      </c>
      <c r="K30" s="28">
        <v>0</v>
      </c>
      <c r="L30" s="28">
        <v>0</v>
      </c>
      <c r="M30" s="29">
        <f t="shared" si="0"/>
        <v>0</v>
      </c>
      <c r="N30" s="28">
        <v>0</v>
      </c>
      <c r="O30" s="28">
        <v>0</v>
      </c>
      <c r="P30" s="28">
        <v>0</v>
      </c>
      <c r="Q30" s="29">
        <f t="shared" si="4"/>
        <v>0</v>
      </c>
      <c r="R30" s="28">
        <v>0</v>
      </c>
      <c r="S30" s="28">
        <v>0</v>
      </c>
      <c r="T30" s="28">
        <v>0</v>
      </c>
      <c r="U30" s="29">
        <f t="shared" si="1"/>
        <v>0</v>
      </c>
      <c r="V30" s="28">
        <v>0</v>
      </c>
      <c r="W30" s="28">
        <v>0</v>
      </c>
      <c r="X30" s="28">
        <v>0</v>
      </c>
      <c r="Y30" s="29">
        <f t="shared" si="2"/>
        <v>0</v>
      </c>
      <c r="Z30" s="30">
        <f t="shared" si="5"/>
        <v>0</v>
      </c>
    </row>
    <row r="31" spans="1:31" ht="15.75" customHeight="1" x14ac:dyDescent="0.25">
      <c r="A31" s="1" t="s">
        <v>740</v>
      </c>
      <c r="B31" s="13" t="s">
        <v>741</v>
      </c>
      <c r="C31" s="2" t="s">
        <v>15</v>
      </c>
      <c r="D31" s="32">
        <v>3</v>
      </c>
      <c r="E31" s="32" t="s">
        <v>33</v>
      </c>
      <c r="F31" s="28">
        <v>0</v>
      </c>
      <c r="G31" s="28">
        <v>0</v>
      </c>
      <c r="H31" s="28">
        <v>0</v>
      </c>
      <c r="I31" s="29">
        <f t="shared" si="3"/>
        <v>0</v>
      </c>
      <c r="J31" s="28">
        <v>0</v>
      </c>
      <c r="K31" s="28">
        <v>0</v>
      </c>
      <c r="L31" s="28">
        <v>0</v>
      </c>
      <c r="M31" s="29">
        <f t="shared" si="0"/>
        <v>0</v>
      </c>
      <c r="N31" s="28">
        <v>0</v>
      </c>
      <c r="O31" s="28">
        <v>0</v>
      </c>
      <c r="P31" s="28">
        <v>0</v>
      </c>
      <c r="Q31" s="29">
        <f t="shared" si="4"/>
        <v>0</v>
      </c>
      <c r="R31" s="28">
        <v>0</v>
      </c>
      <c r="S31" s="28">
        <v>0</v>
      </c>
      <c r="T31" s="28">
        <v>0</v>
      </c>
      <c r="U31" s="29">
        <f t="shared" si="1"/>
        <v>0</v>
      </c>
      <c r="V31" s="28">
        <v>0</v>
      </c>
      <c r="W31" s="28">
        <v>0</v>
      </c>
      <c r="X31" s="28">
        <v>0</v>
      </c>
      <c r="Y31" s="29">
        <f t="shared" si="2"/>
        <v>0</v>
      </c>
      <c r="Z31" s="30">
        <f t="shared" si="5"/>
        <v>0</v>
      </c>
    </row>
    <row r="32" spans="1:31" ht="15.75" customHeight="1" x14ac:dyDescent="0.25">
      <c r="A32" s="1" t="s">
        <v>726</v>
      </c>
      <c r="B32" s="13" t="s">
        <v>727</v>
      </c>
      <c r="C32" s="2" t="s">
        <v>15</v>
      </c>
      <c r="D32" s="32">
        <v>3</v>
      </c>
      <c r="E32" s="32" t="s">
        <v>33</v>
      </c>
      <c r="F32" s="28">
        <v>0</v>
      </c>
      <c r="G32" s="28">
        <v>0</v>
      </c>
      <c r="H32" s="28">
        <v>0</v>
      </c>
      <c r="I32" s="29">
        <f t="shared" si="3"/>
        <v>0</v>
      </c>
      <c r="J32" s="28">
        <v>0</v>
      </c>
      <c r="K32" s="28">
        <v>0</v>
      </c>
      <c r="L32" s="28">
        <v>0</v>
      </c>
      <c r="M32" s="29">
        <f t="shared" si="0"/>
        <v>0</v>
      </c>
      <c r="N32" s="28">
        <v>0</v>
      </c>
      <c r="O32" s="28">
        <v>0</v>
      </c>
      <c r="P32" s="28">
        <v>0</v>
      </c>
      <c r="Q32" s="29">
        <f t="shared" si="4"/>
        <v>0</v>
      </c>
      <c r="R32" s="28">
        <v>0</v>
      </c>
      <c r="S32" s="28">
        <v>0</v>
      </c>
      <c r="T32" s="28">
        <v>0</v>
      </c>
      <c r="U32" s="29">
        <f t="shared" si="1"/>
        <v>0</v>
      </c>
      <c r="V32" s="28">
        <v>0</v>
      </c>
      <c r="W32" s="28">
        <v>0</v>
      </c>
      <c r="X32" s="28">
        <v>0</v>
      </c>
      <c r="Y32" s="29">
        <f t="shared" si="2"/>
        <v>0</v>
      </c>
      <c r="Z32" s="30">
        <f t="shared" si="5"/>
        <v>0</v>
      </c>
    </row>
    <row r="33" spans="1:26" ht="15.75" customHeight="1" x14ac:dyDescent="0.25">
      <c r="A33" s="1" t="s">
        <v>730</v>
      </c>
      <c r="B33" s="13" t="s">
        <v>731</v>
      </c>
      <c r="C33" s="2" t="s">
        <v>15</v>
      </c>
      <c r="D33" s="32">
        <v>3</v>
      </c>
      <c r="E33" s="32" t="s">
        <v>33</v>
      </c>
      <c r="F33" s="28">
        <v>0</v>
      </c>
      <c r="G33" s="28">
        <v>0</v>
      </c>
      <c r="H33" s="28">
        <v>0</v>
      </c>
      <c r="I33" s="29">
        <f t="shared" si="3"/>
        <v>0</v>
      </c>
      <c r="J33" s="28">
        <v>0</v>
      </c>
      <c r="K33" s="28">
        <v>0</v>
      </c>
      <c r="L33" s="28">
        <v>0</v>
      </c>
      <c r="M33" s="29">
        <f t="shared" si="0"/>
        <v>0</v>
      </c>
      <c r="N33" s="28">
        <v>0</v>
      </c>
      <c r="O33" s="28">
        <v>0</v>
      </c>
      <c r="P33" s="28">
        <v>0</v>
      </c>
      <c r="Q33" s="29">
        <f t="shared" si="4"/>
        <v>0</v>
      </c>
      <c r="R33" s="28">
        <v>0</v>
      </c>
      <c r="S33" s="28">
        <v>0</v>
      </c>
      <c r="T33" s="28">
        <v>0</v>
      </c>
      <c r="U33" s="29">
        <f t="shared" si="1"/>
        <v>0</v>
      </c>
      <c r="V33" s="28">
        <v>0</v>
      </c>
      <c r="W33" s="28">
        <v>0</v>
      </c>
      <c r="X33" s="28">
        <v>0</v>
      </c>
      <c r="Y33" s="29">
        <f t="shared" si="2"/>
        <v>0</v>
      </c>
      <c r="Z33" s="30">
        <f t="shared" si="5"/>
        <v>0</v>
      </c>
    </row>
    <row r="34" spans="1:26" ht="15.75" customHeight="1" x14ac:dyDescent="0.25">
      <c r="A34" s="1" t="s">
        <v>722</v>
      </c>
      <c r="B34" s="13" t="s">
        <v>723</v>
      </c>
      <c r="C34" s="2" t="s">
        <v>15</v>
      </c>
      <c r="D34" s="32">
        <v>3</v>
      </c>
      <c r="E34" s="32" t="s">
        <v>33</v>
      </c>
      <c r="F34" s="28">
        <v>0</v>
      </c>
      <c r="G34" s="28">
        <v>0</v>
      </c>
      <c r="H34" s="28">
        <v>0</v>
      </c>
      <c r="I34" s="29">
        <f t="shared" si="3"/>
        <v>0</v>
      </c>
      <c r="J34" s="28">
        <v>0</v>
      </c>
      <c r="K34" s="28">
        <v>0</v>
      </c>
      <c r="L34" s="28">
        <v>0</v>
      </c>
      <c r="M34" s="29">
        <f t="shared" si="0"/>
        <v>0</v>
      </c>
      <c r="N34" s="28">
        <v>0</v>
      </c>
      <c r="O34" s="28">
        <v>0</v>
      </c>
      <c r="P34" s="28">
        <v>0</v>
      </c>
      <c r="Q34" s="29">
        <f t="shared" si="4"/>
        <v>0</v>
      </c>
      <c r="R34" s="28">
        <v>0</v>
      </c>
      <c r="S34" s="28">
        <v>0</v>
      </c>
      <c r="T34" s="28">
        <v>0</v>
      </c>
      <c r="U34" s="29">
        <f t="shared" si="1"/>
        <v>0</v>
      </c>
      <c r="V34" s="28">
        <v>0</v>
      </c>
      <c r="W34" s="28">
        <v>0</v>
      </c>
      <c r="X34" s="28">
        <v>0</v>
      </c>
      <c r="Y34" s="29">
        <f t="shared" si="2"/>
        <v>0</v>
      </c>
      <c r="Z34" s="30">
        <f t="shared" si="5"/>
        <v>0</v>
      </c>
    </row>
    <row r="35" spans="1:26" ht="15.75" customHeight="1" x14ac:dyDescent="0.25">
      <c r="A35" s="1" t="s">
        <v>686</v>
      </c>
      <c r="B35" s="14" t="s">
        <v>687</v>
      </c>
      <c r="C35" s="2" t="s">
        <v>15</v>
      </c>
      <c r="D35" s="32">
        <v>3</v>
      </c>
      <c r="E35" s="32" t="s">
        <v>33</v>
      </c>
      <c r="F35" s="28">
        <v>0</v>
      </c>
      <c r="G35" s="28">
        <v>0</v>
      </c>
      <c r="H35" s="28">
        <v>0</v>
      </c>
      <c r="I35" s="29">
        <f t="shared" si="3"/>
        <v>0</v>
      </c>
      <c r="J35" s="28">
        <v>0</v>
      </c>
      <c r="K35" s="28">
        <v>0</v>
      </c>
      <c r="L35" s="28">
        <v>0</v>
      </c>
      <c r="M35" s="29">
        <f t="shared" si="0"/>
        <v>0</v>
      </c>
      <c r="N35" s="28">
        <v>0</v>
      </c>
      <c r="O35" s="28">
        <v>0</v>
      </c>
      <c r="P35" s="28">
        <v>0</v>
      </c>
      <c r="Q35" s="29">
        <f t="shared" si="4"/>
        <v>0</v>
      </c>
      <c r="R35" s="28">
        <v>0</v>
      </c>
      <c r="S35" s="28">
        <v>0</v>
      </c>
      <c r="T35" s="28">
        <v>0</v>
      </c>
      <c r="U35" s="29">
        <f t="shared" si="1"/>
        <v>0</v>
      </c>
      <c r="V35" s="28">
        <v>0</v>
      </c>
      <c r="W35" s="28">
        <v>0</v>
      </c>
      <c r="X35" s="28">
        <v>0</v>
      </c>
      <c r="Y35" s="29">
        <f t="shared" si="2"/>
        <v>0</v>
      </c>
      <c r="Z35" s="30">
        <f t="shared" si="5"/>
        <v>0</v>
      </c>
    </row>
    <row r="36" spans="1:26" ht="15.75" customHeight="1" x14ac:dyDescent="0.25">
      <c r="A36" s="1" t="s">
        <v>682</v>
      </c>
      <c r="B36" s="13" t="s">
        <v>683</v>
      </c>
      <c r="C36" s="2" t="s">
        <v>15</v>
      </c>
      <c r="D36" s="32">
        <v>3</v>
      </c>
      <c r="E36" s="32" t="s">
        <v>33</v>
      </c>
      <c r="F36" s="28">
        <v>0</v>
      </c>
      <c r="G36" s="28">
        <v>0</v>
      </c>
      <c r="H36" s="28">
        <v>0</v>
      </c>
      <c r="I36" s="29">
        <f t="shared" si="3"/>
        <v>0</v>
      </c>
      <c r="J36" s="28">
        <v>0</v>
      </c>
      <c r="K36" s="28">
        <v>0</v>
      </c>
      <c r="L36" s="28">
        <v>0</v>
      </c>
      <c r="M36" s="29">
        <f t="shared" si="0"/>
        <v>0</v>
      </c>
      <c r="N36" s="28">
        <v>0</v>
      </c>
      <c r="O36" s="28">
        <v>0</v>
      </c>
      <c r="P36" s="28">
        <v>0</v>
      </c>
      <c r="Q36" s="29">
        <f t="shared" si="4"/>
        <v>0</v>
      </c>
      <c r="R36" s="28">
        <v>0</v>
      </c>
      <c r="S36" s="28">
        <v>0</v>
      </c>
      <c r="T36" s="28">
        <v>0</v>
      </c>
      <c r="U36" s="29">
        <f t="shared" si="1"/>
        <v>0</v>
      </c>
      <c r="V36" s="28">
        <v>0</v>
      </c>
      <c r="W36" s="28">
        <v>0</v>
      </c>
      <c r="X36" s="28">
        <v>0</v>
      </c>
      <c r="Y36" s="29">
        <f t="shared" si="2"/>
        <v>0</v>
      </c>
      <c r="Z36" s="30">
        <f t="shared" si="5"/>
        <v>0</v>
      </c>
    </row>
    <row r="37" spans="1:26" x14ac:dyDescent="0.25">
      <c r="A37" s="1" t="s">
        <v>696</v>
      </c>
      <c r="B37" s="13" t="s">
        <v>697</v>
      </c>
      <c r="C37" s="2" t="s">
        <v>15</v>
      </c>
      <c r="D37" s="32">
        <v>3</v>
      </c>
      <c r="E37" s="32" t="s">
        <v>33</v>
      </c>
      <c r="F37" s="28">
        <v>0</v>
      </c>
      <c r="G37" s="28">
        <v>0</v>
      </c>
      <c r="H37" s="28">
        <v>0</v>
      </c>
      <c r="I37" s="29">
        <f t="shared" si="3"/>
        <v>0</v>
      </c>
      <c r="J37" s="28">
        <v>0</v>
      </c>
      <c r="K37" s="28">
        <v>0</v>
      </c>
      <c r="L37" s="28">
        <v>0</v>
      </c>
      <c r="M37" s="29">
        <f t="shared" si="0"/>
        <v>0</v>
      </c>
      <c r="N37" s="28">
        <v>0</v>
      </c>
      <c r="O37" s="28">
        <v>0</v>
      </c>
      <c r="P37" s="28">
        <v>0</v>
      </c>
      <c r="Q37" s="29">
        <f t="shared" si="4"/>
        <v>0</v>
      </c>
      <c r="R37" s="28">
        <v>0</v>
      </c>
      <c r="S37" s="28">
        <v>0</v>
      </c>
      <c r="T37" s="28">
        <v>0</v>
      </c>
      <c r="U37" s="29">
        <f t="shared" si="1"/>
        <v>0</v>
      </c>
      <c r="V37" s="28">
        <v>0</v>
      </c>
      <c r="W37" s="28">
        <v>0</v>
      </c>
      <c r="X37" s="28">
        <v>0</v>
      </c>
      <c r="Y37" s="29">
        <f t="shared" si="2"/>
        <v>0</v>
      </c>
      <c r="Z37" s="30">
        <f t="shared" si="5"/>
        <v>0</v>
      </c>
    </row>
    <row r="38" spans="1:26" x14ac:dyDescent="0.25">
      <c r="A38" s="1" t="s">
        <v>694</v>
      </c>
      <c r="B38" s="13" t="s">
        <v>695</v>
      </c>
      <c r="C38" s="2" t="s">
        <v>15</v>
      </c>
      <c r="D38" s="32">
        <v>3</v>
      </c>
      <c r="E38" s="32" t="s">
        <v>33</v>
      </c>
      <c r="F38" s="28">
        <v>0</v>
      </c>
      <c r="G38" s="28">
        <v>0</v>
      </c>
      <c r="H38" s="28">
        <v>0</v>
      </c>
      <c r="I38" s="29">
        <f t="shared" si="3"/>
        <v>0</v>
      </c>
      <c r="J38" s="28">
        <v>0</v>
      </c>
      <c r="K38" s="28">
        <v>0</v>
      </c>
      <c r="L38" s="28">
        <v>0</v>
      </c>
      <c r="M38" s="29">
        <f t="shared" si="0"/>
        <v>0</v>
      </c>
      <c r="N38" s="28">
        <v>0</v>
      </c>
      <c r="O38" s="28">
        <v>0</v>
      </c>
      <c r="P38" s="28">
        <v>0</v>
      </c>
      <c r="Q38" s="29">
        <f t="shared" si="4"/>
        <v>0</v>
      </c>
      <c r="R38" s="28">
        <v>0</v>
      </c>
      <c r="S38" s="28">
        <v>0</v>
      </c>
      <c r="T38" s="28">
        <v>0</v>
      </c>
      <c r="U38" s="29">
        <f t="shared" si="1"/>
        <v>0</v>
      </c>
      <c r="V38" s="28">
        <v>0</v>
      </c>
      <c r="W38" s="28">
        <v>0</v>
      </c>
      <c r="X38" s="28">
        <v>0</v>
      </c>
      <c r="Y38" s="29">
        <f t="shared" si="2"/>
        <v>0</v>
      </c>
      <c r="Z38" s="30">
        <f t="shared" si="5"/>
        <v>0</v>
      </c>
    </row>
    <row r="39" spans="1:26" x14ac:dyDescent="0.25">
      <c r="A39" s="1" t="s">
        <v>716</v>
      </c>
      <c r="B39" s="13" t="s">
        <v>717</v>
      </c>
      <c r="C39" s="2" t="s">
        <v>15</v>
      </c>
      <c r="D39" s="32">
        <v>3</v>
      </c>
      <c r="E39" s="32" t="s">
        <v>33</v>
      </c>
      <c r="F39" s="28">
        <v>0</v>
      </c>
      <c r="G39" s="28">
        <v>0</v>
      </c>
      <c r="H39" s="28">
        <v>0</v>
      </c>
      <c r="I39" s="29">
        <f t="shared" si="3"/>
        <v>0</v>
      </c>
      <c r="J39" s="28">
        <v>0</v>
      </c>
      <c r="K39" s="28">
        <v>0</v>
      </c>
      <c r="L39" s="28">
        <v>0</v>
      </c>
      <c r="M39" s="29">
        <f t="shared" si="0"/>
        <v>0</v>
      </c>
      <c r="N39" s="28">
        <v>0</v>
      </c>
      <c r="O39" s="28">
        <v>0</v>
      </c>
      <c r="P39" s="28">
        <v>0</v>
      </c>
      <c r="Q39" s="29">
        <f t="shared" si="4"/>
        <v>0</v>
      </c>
      <c r="R39" s="28">
        <v>0</v>
      </c>
      <c r="S39" s="28">
        <v>0</v>
      </c>
      <c r="T39" s="28">
        <v>0</v>
      </c>
      <c r="U39" s="29">
        <f t="shared" si="1"/>
        <v>0</v>
      </c>
      <c r="V39" s="28">
        <v>0</v>
      </c>
      <c r="W39" s="28">
        <v>0</v>
      </c>
      <c r="X39" s="28">
        <v>0</v>
      </c>
      <c r="Y39" s="29">
        <f t="shared" si="2"/>
        <v>0</v>
      </c>
      <c r="Z39" s="30">
        <f t="shared" si="5"/>
        <v>0</v>
      </c>
    </row>
    <row r="40" spans="1:26" x14ac:dyDescent="0.25">
      <c r="A40" s="1" t="s">
        <v>744</v>
      </c>
      <c r="B40" s="13" t="s">
        <v>745</v>
      </c>
      <c r="C40" s="2" t="s">
        <v>15</v>
      </c>
      <c r="D40" s="32">
        <v>3</v>
      </c>
      <c r="E40" s="32" t="s">
        <v>33</v>
      </c>
      <c r="F40" s="28">
        <v>0</v>
      </c>
      <c r="G40" s="28">
        <v>0</v>
      </c>
      <c r="H40" s="28">
        <v>0</v>
      </c>
      <c r="I40" s="29">
        <f t="shared" si="3"/>
        <v>0</v>
      </c>
      <c r="J40" s="28">
        <v>0</v>
      </c>
      <c r="K40" s="28">
        <v>0</v>
      </c>
      <c r="L40" s="28">
        <v>0</v>
      </c>
      <c r="M40" s="29">
        <f t="shared" si="0"/>
        <v>0</v>
      </c>
      <c r="N40" s="28">
        <v>0</v>
      </c>
      <c r="O40" s="28">
        <v>0</v>
      </c>
      <c r="P40" s="28">
        <v>0</v>
      </c>
      <c r="Q40" s="29">
        <f t="shared" si="4"/>
        <v>0</v>
      </c>
      <c r="R40" s="28">
        <v>0</v>
      </c>
      <c r="S40" s="28">
        <v>0</v>
      </c>
      <c r="T40" s="28">
        <v>0</v>
      </c>
      <c r="U40" s="29">
        <f t="shared" si="1"/>
        <v>0</v>
      </c>
      <c r="V40" s="28">
        <v>0</v>
      </c>
      <c r="W40" s="28">
        <v>0</v>
      </c>
      <c r="X40" s="28">
        <v>0</v>
      </c>
      <c r="Y40" s="29">
        <f t="shared" si="2"/>
        <v>0</v>
      </c>
      <c r="Z40" s="30">
        <f t="shared" si="5"/>
        <v>0</v>
      </c>
    </row>
    <row r="41" spans="1:26" x14ac:dyDescent="0.25">
      <c r="A41" t="s">
        <v>710</v>
      </c>
      <c r="B41" s="13" t="s">
        <v>711</v>
      </c>
      <c r="C41" s="2" t="s">
        <v>15</v>
      </c>
      <c r="D41" s="32">
        <v>3</v>
      </c>
      <c r="E41" s="32" t="s">
        <v>33</v>
      </c>
      <c r="F41" s="28">
        <v>0</v>
      </c>
      <c r="G41" s="28">
        <v>0</v>
      </c>
      <c r="H41" s="28">
        <v>0</v>
      </c>
      <c r="I41" s="29">
        <f t="shared" si="3"/>
        <v>0</v>
      </c>
      <c r="J41" s="28">
        <v>0</v>
      </c>
      <c r="K41" s="28">
        <v>0</v>
      </c>
      <c r="L41" s="28">
        <v>0</v>
      </c>
      <c r="M41" s="29">
        <f t="shared" si="0"/>
        <v>0</v>
      </c>
      <c r="N41" s="28">
        <v>0</v>
      </c>
      <c r="O41" s="28">
        <v>0</v>
      </c>
      <c r="P41" s="28">
        <v>0</v>
      </c>
      <c r="Q41" s="29">
        <f t="shared" si="4"/>
        <v>0</v>
      </c>
      <c r="R41" s="28">
        <v>0</v>
      </c>
      <c r="S41" s="28">
        <v>0</v>
      </c>
      <c r="T41" s="28">
        <v>0</v>
      </c>
      <c r="U41" s="29">
        <f t="shared" si="1"/>
        <v>0</v>
      </c>
      <c r="V41" s="28">
        <v>0</v>
      </c>
      <c r="W41" s="28">
        <v>0</v>
      </c>
      <c r="X41" s="28">
        <v>0</v>
      </c>
      <c r="Y41" s="29">
        <f t="shared" si="2"/>
        <v>0</v>
      </c>
      <c r="Z41" s="30">
        <f t="shared" si="5"/>
        <v>0</v>
      </c>
    </row>
    <row r="42" spans="1:26" x14ac:dyDescent="0.25">
      <c r="A42" s="1" t="s">
        <v>692</v>
      </c>
      <c r="B42" s="13" t="s">
        <v>693</v>
      </c>
      <c r="C42" s="2" t="s">
        <v>15</v>
      </c>
      <c r="D42" s="32">
        <v>3</v>
      </c>
      <c r="E42" s="32" t="s">
        <v>33</v>
      </c>
      <c r="F42" s="28">
        <v>0</v>
      </c>
      <c r="G42" s="28">
        <v>0</v>
      </c>
      <c r="H42" s="28">
        <v>0</v>
      </c>
      <c r="I42" s="29">
        <f t="shared" si="3"/>
        <v>0</v>
      </c>
      <c r="J42" s="28">
        <v>0</v>
      </c>
      <c r="K42" s="28">
        <v>0</v>
      </c>
      <c r="L42" s="28">
        <v>0</v>
      </c>
      <c r="M42" s="29">
        <f t="shared" si="0"/>
        <v>0</v>
      </c>
      <c r="N42" s="28">
        <v>0</v>
      </c>
      <c r="O42" s="28">
        <v>0</v>
      </c>
      <c r="P42" s="28">
        <v>0</v>
      </c>
      <c r="Q42" s="29">
        <f t="shared" si="4"/>
        <v>0</v>
      </c>
      <c r="R42" s="28">
        <v>0</v>
      </c>
      <c r="S42" s="28">
        <v>0</v>
      </c>
      <c r="T42" s="28">
        <v>0</v>
      </c>
      <c r="U42" s="29">
        <f t="shared" si="1"/>
        <v>0</v>
      </c>
      <c r="V42" s="28">
        <v>0</v>
      </c>
      <c r="W42" s="28">
        <v>0</v>
      </c>
      <c r="X42" s="28">
        <v>0</v>
      </c>
      <c r="Y42" s="29">
        <f t="shared" si="2"/>
        <v>0</v>
      </c>
      <c r="Z42" s="30">
        <f t="shared" si="5"/>
        <v>0</v>
      </c>
    </row>
    <row r="43" spans="1:26" x14ac:dyDescent="0.25">
      <c r="A43" s="1" t="s">
        <v>680</v>
      </c>
      <c r="B43" s="13" t="s">
        <v>681</v>
      </c>
      <c r="C43" s="2" t="s">
        <v>15</v>
      </c>
      <c r="D43" s="32">
        <v>3</v>
      </c>
      <c r="E43" s="32" t="s">
        <v>33</v>
      </c>
      <c r="F43" s="28">
        <v>0</v>
      </c>
      <c r="G43" s="28">
        <v>0</v>
      </c>
      <c r="H43" s="28">
        <v>0</v>
      </c>
      <c r="I43" s="29">
        <f t="shared" si="3"/>
        <v>0</v>
      </c>
      <c r="J43" s="28">
        <v>0</v>
      </c>
      <c r="K43" s="28">
        <v>0</v>
      </c>
      <c r="L43" s="28">
        <v>0</v>
      </c>
      <c r="M43" s="29">
        <f t="shared" si="0"/>
        <v>0</v>
      </c>
      <c r="N43" s="28">
        <v>0</v>
      </c>
      <c r="O43" s="28">
        <v>0</v>
      </c>
      <c r="P43" s="28">
        <v>0</v>
      </c>
      <c r="Q43" s="29">
        <f t="shared" si="4"/>
        <v>0</v>
      </c>
      <c r="R43" s="28">
        <v>0</v>
      </c>
      <c r="S43" s="28">
        <v>0</v>
      </c>
      <c r="T43" s="28">
        <v>0</v>
      </c>
      <c r="U43" s="29">
        <f t="shared" si="1"/>
        <v>0</v>
      </c>
      <c r="V43" s="28">
        <v>0</v>
      </c>
      <c r="W43" s="28">
        <v>0</v>
      </c>
      <c r="X43" s="28">
        <v>0</v>
      </c>
      <c r="Y43" s="29">
        <f t="shared" si="2"/>
        <v>0</v>
      </c>
      <c r="Z43" s="30">
        <f t="shared" si="5"/>
        <v>0</v>
      </c>
    </row>
    <row r="44" spans="1:26" x14ac:dyDescent="0.25">
      <c r="A44" s="1" t="s">
        <v>714</v>
      </c>
      <c r="B44" s="13" t="s">
        <v>715</v>
      </c>
      <c r="C44" s="2" t="s">
        <v>15</v>
      </c>
      <c r="D44" s="32">
        <v>3</v>
      </c>
      <c r="E44" s="32" t="s">
        <v>33</v>
      </c>
      <c r="F44" s="28">
        <v>0</v>
      </c>
      <c r="G44" s="28">
        <v>0</v>
      </c>
      <c r="H44" s="28">
        <v>0</v>
      </c>
      <c r="I44" s="29">
        <f t="shared" si="3"/>
        <v>0</v>
      </c>
      <c r="J44" s="28">
        <v>0</v>
      </c>
      <c r="K44" s="28">
        <v>0</v>
      </c>
      <c r="L44" s="28">
        <v>0</v>
      </c>
      <c r="M44" s="29">
        <f t="shared" si="0"/>
        <v>0</v>
      </c>
      <c r="N44" s="28">
        <v>0</v>
      </c>
      <c r="O44" s="28">
        <v>0</v>
      </c>
      <c r="P44" s="28">
        <v>0</v>
      </c>
      <c r="Q44" s="29">
        <f t="shared" si="4"/>
        <v>0</v>
      </c>
      <c r="R44" s="28">
        <v>0</v>
      </c>
      <c r="S44" s="28">
        <v>0</v>
      </c>
      <c r="T44" s="28">
        <v>0</v>
      </c>
      <c r="U44" s="29">
        <f t="shared" si="1"/>
        <v>0</v>
      </c>
      <c r="V44" s="28">
        <v>0</v>
      </c>
      <c r="W44" s="28">
        <v>0</v>
      </c>
      <c r="X44" s="28">
        <v>0</v>
      </c>
      <c r="Y44" s="29">
        <f t="shared" si="2"/>
        <v>0</v>
      </c>
      <c r="Z44" s="30">
        <f t="shared" si="5"/>
        <v>0</v>
      </c>
    </row>
    <row r="45" spans="1:26" x14ac:dyDescent="0.25">
      <c r="A45" s="1" t="s">
        <v>750</v>
      </c>
      <c r="B45" s="13" t="s">
        <v>751</v>
      </c>
      <c r="C45" s="2" t="s">
        <v>15</v>
      </c>
      <c r="D45" s="32">
        <v>3</v>
      </c>
      <c r="E45" s="32" t="s">
        <v>33</v>
      </c>
      <c r="F45" s="28">
        <v>0</v>
      </c>
      <c r="G45" s="28">
        <v>0</v>
      </c>
      <c r="H45" s="28">
        <v>0</v>
      </c>
      <c r="I45" s="29">
        <f t="shared" ref="I45:I46" si="6">AVERAGE(F45:H45)</f>
        <v>0</v>
      </c>
      <c r="J45" s="28">
        <v>0</v>
      </c>
      <c r="K45" s="28">
        <v>0</v>
      </c>
      <c r="L45" s="28">
        <v>0</v>
      </c>
      <c r="M45" s="29">
        <f t="shared" ref="M45:M46" si="7">AVERAGE(J45:L45)</f>
        <v>0</v>
      </c>
      <c r="N45" s="28">
        <v>0</v>
      </c>
      <c r="O45" s="28">
        <v>0</v>
      </c>
      <c r="P45" s="28">
        <v>0</v>
      </c>
      <c r="Q45" s="29">
        <f t="shared" ref="Q45:Q46" si="8">AVERAGE(N45:P45)</f>
        <v>0</v>
      </c>
      <c r="R45" s="28">
        <v>0</v>
      </c>
      <c r="S45" s="28">
        <v>0</v>
      </c>
      <c r="T45" s="28">
        <v>0</v>
      </c>
      <c r="U45" s="29">
        <f t="shared" ref="U45:U46" si="9">AVERAGE(R45:T45)</f>
        <v>0</v>
      </c>
      <c r="V45" s="28">
        <v>0</v>
      </c>
      <c r="W45" s="28">
        <v>0</v>
      </c>
      <c r="X45" s="28">
        <v>0</v>
      </c>
      <c r="Y45" s="29">
        <f t="shared" ref="Y45:Y46" si="10">AVERAGE(V45:X45)</f>
        <v>0</v>
      </c>
      <c r="Z45" s="30">
        <f t="shared" ref="Z45:Z46" si="11">AVERAGE(I45,M45,Q45,U45,Y45)</f>
        <v>0</v>
      </c>
    </row>
    <row r="46" spans="1:26" x14ac:dyDescent="0.25">
      <c r="A46" s="1" t="s">
        <v>700</v>
      </c>
      <c r="B46" s="13" t="s">
        <v>701</v>
      </c>
      <c r="C46" s="2" t="s">
        <v>15</v>
      </c>
      <c r="D46" s="32">
        <v>3</v>
      </c>
      <c r="E46" s="32" t="s">
        <v>33</v>
      </c>
      <c r="F46" s="28">
        <v>0</v>
      </c>
      <c r="G46" s="28">
        <v>0</v>
      </c>
      <c r="H46" s="28">
        <v>0</v>
      </c>
      <c r="I46" s="29">
        <f t="shared" si="6"/>
        <v>0</v>
      </c>
      <c r="J46" s="28">
        <v>0</v>
      </c>
      <c r="K46" s="28">
        <v>0</v>
      </c>
      <c r="L46" s="28">
        <v>0</v>
      </c>
      <c r="M46" s="29">
        <f t="shared" si="7"/>
        <v>0</v>
      </c>
      <c r="N46" s="28">
        <v>0</v>
      </c>
      <c r="O46" s="28">
        <v>0</v>
      </c>
      <c r="P46" s="28">
        <v>0</v>
      </c>
      <c r="Q46" s="29">
        <f t="shared" si="8"/>
        <v>0</v>
      </c>
      <c r="R46" s="28">
        <v>0</v>
      </c>
      <c r="S46" s="28">
        <v>0</v>
      </c>
      <c r="T46" s="28">
        <v>0</v>
      </c>
      <c r="U46" s="29">
        <f t="shared" si="9"/>
        <v>0</v>
      </c>
      <c r="V46" s="28">
        <v>0</v>
      </c>
      <c r="W46" s="28">
        <v>0</v>
      </c>
      <c r="X46" s="28">
        <v>0</v>
      </c>
      <c r="Y46" s="29">
        <f t="shared" si="10"/>
        <v>0</v>
      </c>
      <c r="Z46" s="30">
        <f t="shared" si="11"/>
        <v>0</v>
      </c>
    </row>
  </sheetData>
  <sortState xmlns:xlrd2="http://schemas.microsoft.com/office/spreadsheetml/2017/richdata2" ref="A3:Z46">
    <sortCondition ref="E1:E46"/>
  </sortState>
  <mergeCells count="5">
    <mergeCell ref="F1:I1"/>
    <mergeCell ref="J1:M1"/>
    <mergeCell ref="N1:Q1"/>
    <mergeCell ref="R1:U1"/>
    <mergeCell ref="V1:Y1"/>
  </mergeCells>
  <conditionalFormatting sqref="F3:H46">
    <cfRule type="cellIs" dxfId="324" priority="53" operator="lessThan">
      <formula>7.9</formula>
    </cfRule>
  </conditionalFormatting>
  <conditionalFormatting sqref="F3:H46">
    <cfRule type="cellIs" dxfId="323" priority="54" operator="lessThan">
      <formula>7.4</formula>
    </cfRule>
  </conditionalFormatting>
  <conditionalFormatting sqref="F5:H6">
    <cfRule type="cellIs" dxfId="322" priority="55" operator="lessThan">
      <formula>6.9</formula>
    </cfRule>
  </conditionalFormatting>
  <conditionalFormatting sqref="I3:I46">
    <cfRule type="cellIs" dxfId="321" priority="56" operator="lessThan">
      <formula>7.9</formula>
    </cfRule>
    <cfRule type="cellIs" dxfId="320" priority="65" operator="lessThan">
      <formula>6.9</formula>
    </cfRule>
    <cfRule type="cellIs" dxfId="319" priority="66" operator="lessThan">
      <formula>7.4</formula>
    </cfRule>
    <cfRule type="cellIs" dxfId="318" priority="67" operator="lessThan">
      <formula>7.9</formula>
    </cfRule>
  </conditionalFormatting>
  <conditionalFormatting sqref="I3:I46">
    <cfRule type="cellIs" dxfId="317" priority="57" operator="lessThan">
      <formula>6.9</formula>
    </cfRule>
    <cfRule type="cellIs" dxfId="316" priority="58" operator="lessThan">
      <formula>7.4</formula>
    </cfRule>
    <cfRule type="cellIs" dxfId="315" priority="59" operator="lessThan">
      <formula>7.9</formula>
    </cfRule>
    <cfRule type="cellIs" dxfId="314" priority="60" operator="lessThan">
      <formula>6.9</formula>
    </cfRule>
    <cfRule type="cellIs" dxfId="313" priority="61" operator="lessThan">
      <formula>7.9</formula>
    </cfRule>
    <cfRule type="cellIs" dxfId="312" priority="62" operator="lessThan">
      <formula>7.4</formula>
    </cfRule>
    <cfRule type="cellIs" dxfId="311" priority="63" operator="lessThan">
      <formula>6.9</formula>
    </cfRule>
    <cfRule type="cellIs" dxfId="310" priority="64" operator="lessThan">
      <formula>7.9</formula>
    </cfRule>
  </conditionalFormatting>
  <conditionalFormatting sqref="M3:M46">
    <cfRule type="cellIs" dxfId="309" priority="68" operator="lessThan">
      <formula>7.9</formula>
    </cfRule>
    <cfRule type="cellIs" dxfId="308" priority="69" operator="lessThan">
      <formula>6.9</formula>
    </cfRule>
    <cfRule type="cellIs" dxfId="307" priority="70" operator="lessThan">
      <formula>7.4</formula>
    </cfRule>
    <cfRule type="cellIs" dxfId="306" priority="71" operator="lessThan">
      <formula>7.9</formula>
    </cfRule>
    <cfRule type="cellIs" dxfId="305" priority="72" operator="lessThan">
      <formula>6.9</formula>
    </cfRule>
    <cfRule type="cellIs" dxfId="304" priority="73" operator="lessThan">
      <formula>7.9</formula>
    </cfRule>
    <cfRule type="cellIs" dxfId="303" priority="74" operator="lessThan">
      <formula>7.4</formula>
    </cfRule>
    <cfRule type="cellIs" dxfId="302" priority="75" operator="lessThan">
      <formula>6.9</formula>
    </cfRule>
    <cfRule type="cellIs" dxfId="301" priority="76" operator="lessThan">
      <formula>7.9</formula>
    </cfRule>
    <cfRule type="cellIs" dxfId="300" priority="77" operator="lessThan">
      <formula>6.9</formula>
    </cfRule>
    <cfRule type="cellIs" dxfId="299" priority="78" operator="lessThan">
      <formula>7.4</formula>
    </cfRule>
    <cfRule type="cellIs" dxfId="298" priority="79" operator="lessThan">
      <formula>6.9</formula>
    </cfRule>
    <cfRule type="cellIs" dxfId="297" priority="80" operator="lessThan">
      <formula>7.4</formula>
    </cfRule>
    <cfRule type="cellIs" dxfId="296" priority="81" operator="lessThan">
      <formula>7.9</formula>
    </cfRule>
  </conditionalFormatting>
  <conditionalFormatting sqref="J3:L46">
    <cfRule type="cellIs" dxfId="295" priority="50" operator="lessThan">
      <formula>7.9</formula>
    </cfRule>
  </conditionalFormatting>
  <conditionalFormatting sqref="J3:L46">
    <cfRule type="cellIs" dxfId="294" priority="51" operator="lessThan">
      <formula>7.4</formula>
    </cfRule>
  </conditionalFormatting>
  <conditionalFormatting sqref="J5:L6">
    <cfRule type="cellIs" dxfId="293" priority="52" operator="lessThan">
      <formula>6.9</formula>
    </cfRule>
  </conditionalFormatting>
  <conditionalFormatting sqref="N3:P46">
    <cfRule type="cellIs" dxfId="292" priority="21" operator="lessThan">
      <formula>7.9</formula>
    </cfRule>
  </conditionalFormatting>
  <conditionalFormatting sqref="N3:P46">
    <cfRule type="cellIs" dxfId="291" priority="22" operator="lessThan">
      <formula>7.4</formula>
    </cfRule>
  </conditionalFormatting>
  <conditionalFormatting sqref="N5:P6">
    <cfRule type="cellIs" dxfId="290" priority="23" operator="lessThan">
      <formula>6.9</formula>
    </cfRule>
  </conditionalFormatting>
  <conditionalFormatting sqref="Q3:Q46">
    <cfRule type="cellIs" dxfId="289" priority="24" operator="lessThan">
      <formula>7.9</formula>
    </cfRule>
    <cfRule type="cellIs" dxfId="288" priority="33" operator="lessThan">
      <formula>6.9</formula>
    </cfRule>
    <cfRule type="cellIs" dxfId="287" priority="34" operator="lessThan">
      <formula>7.4</formula>
    </cfRule>
    <cfRule type="cellIs" dxfId="286" priority="35" operator="lessThan">
      <formula>7.9</formula>
    </cfRule>
  </conditionalFormatting>
  <conditionalFormatting sqref="Q3:Q46">
    <cfRule type="cellIs" dxfId="285" priority="25" operator="lessThan">
      <formula>6.9</formula>
    </cfRule>
    <cfRule type="cellIs" dxfId="284" priority="26" operator="lessThan">
      <formula>7.4</formula>
    </cfRule>
    <cfRule type="cellIs" dxfId="283" priority="27" operator="lessThan">
      <formula>7.9</formula>
    </cfRule>
    <cfRule type="cellIs" dxfId="282" priority="28" operator="lessThan">
      <formula>6.9</formula>
    </cfRule>
    <cfRule type="cellIs" dxfId="281" priority="29" operator="lessThan">
      <formula>7.9</formula>
    </cfRule>
    <cfRule type="cellIs" dxfId="280" priority="30" operator="lessThan">
      <formula>7.4</formula>
    </cfRule>
    <cfRule type="cellIs" dxfId="279" priority="31" operator="lessThan">
      <formula>6.9</formula>
    </cfRule>
    <cfRule type="cellIs" dxfId="278" priority="32" operator="lessThan">
      <formula>7.9</formula>
    </cfRule>
  </conditionalFormatting>
  <conditionalFormatting sqref="U3:U46">
    <cfRule type="cellIs" dxfId="277" priority="36" operator="lessThan">
      <formula>7.9</formula>
    </cfRule>
    <cfRule type="cellIs" dxfId="276" priority="37" operator="lessThan">
      <formula>6.9</formula>
    </cfRule>
    <cfRule type="cellIs" dxfId="275" priority="38" operator="lessThan">
      <formula>7.4</formula>
    </cfRule>
    <cfRule type="cellIs" dxfId="274" priority="39" operator="lessThan">
      <formula>7.9</formula>
    </cfRule>
    <cfRule type="cellIs" dxfId="273" priority="40" operator="lessThan">
      <formula>6.9</formula>
    </cfRule>
    <cfRule type="cellIs" dxfId="272" priority="41" operator="lessThan">
      <formula>7.9</formula>
    </cfRule>
    <cfRule type="cellIs" dxfId="271" priority="42" operator="lessThan">
      <formula>7.4</formula>
    </cfRule>
    <cfRule type="cellIs" dxfId="270" priority="43" operator="lessThan">
      <formula>6.9</formula>
    </cfRule>
    <cfRule type="cellIs" dxfId="269" priority="44" operator="lessThan">
      <formula>7.9</formula>
    </cfRule>
    <cfRule type="cellIs" dxfId="268" priority="45" operator="lessThan">
      <formula>6.9</formula>
    </cfRule>
    <cfRule type="cellIs" dxfId="267" priority="46" operator="lessThan">
      <formula>7.4</formula>
    </cfRule>
    <cfRule type="cellIs" dxfId="266" priority="47" operator="lessThan">
      <formula>6.9</formula>
    </cfRule>
    <cfRule type="cellIs" dxfId="265" priority="48" operator="lessThan">
      <formula>7.4</formula>
    </cfRule>
    <cfRule type="cellIs" dxfId="264" priority="49" operator="lessThan">
      <formula>7.9</formula>
    </cfRule>
  </conditionalFormatting>
  <conditionalFormatting sqref="R3:T46">
    <cfRule type="cellIs" dxfId="263" priority="18" operator="lessThan">
      <formula>7.9</formula>
    </cfRule>
  </conditionalFormatting>
  <conditionalFormatting sqref="R3:T46">
    <cfRule type="cellIs" dxfId="262" priority="19" operator="lessThan">
      <formula>7.4</formula>
    </cfRule>
  </conditionalFormatting>
  <conditionalFormatting sqref="R5:T6">
    <cfRule type="cellIs" dxfId="261" priority="20" operator="lessThan">
      <formula>6.9</formula>
    </cfRule>
  </conditionalFormatting>
  <conditionalFormatting sqref="Y3:Y46">
    <cfRule type="cellIs" dxfId="260" priority="4" operator="lessThan">
      <formula>7.9</formula>
    </cfRule>
    <cfRule type="cellIs" dxfId="259" priority="5" operator="lessThan">
      <formula>6.9</formula>
    </cfRule>
    <cfRule type="cellIs" dxfId="258" priority="6" operator="lessThan">
      <formula>7.4</formula>
    </cfRule>
    <cfRule type="cellIs" dxfId="257" priority="7" operator="lessThan">
      <formula>7.9</formula>
    </cfRule>
    <cfRule type="cellIs" dxfId="256" priority="8" operator="lessThan">
      <formula>6.9</formula>
    </cfRule>
    <cfRule type="cellIs" dxfId="255" priority="9" operator="lessThan">
      <formula>7.9</formula>
    </cfRule>
    <cfRule type="cellIs" dxfId="254" priority="10" operator="lessThan">
      <formula>7.4</formula>
    </cfRule>
    <cfRule type="cellIs" dxfId="253" priority="11" operator="lessThan">
      <formula>6.9</formula>
    </cfRule>
    <cfRule type="cellIs" dxfId="252" priority="12" operator="lessThan">
      <formula>7.9</formula>
    </cfRule>
    <cfRule type="cellIs" dxfId="251" priority="13" operator="lessThan">
      <formula>6.9</formula>
    </cfRule>
    <cfRule type="cellIs" dxfId="250" priority="14" operator="lessThan">
      <formula>7.4</formula>
    </cfRule>
    <cfRule type="cellIs" dxfId="249" priority="15" operator="lessThan">
      <formula>6.9</formula>
    </cfRule>
    <cfRule type="cellIs" dxfId="248" priority="16" operator="lessThan">
      <formula>7.4</formula>
    </cfRule>
    <cfRule type="cellIs" dxfId="247" priority="17" operator="lessThan">
      <formula>7.9</formula>
    </cfRule>
  </conditionalFormatting>
  <conditionalFormatting sqref="V3:X46">
    <cfRule type="cellIs" dxfId="246" priority="1" operator="lessThan">
      <formula>7.9</formula>
    </cfRule>
  </conditionalFormatting>
  <conditionalFormatting sqref="V3:X46">
    <cfRule type="cellIs" dxfId="245" priority="2" operator="lessThan">
      <formula>7.4</formula>
    </cfRule>
  </conditionalFormatting>
  <conditionalFormatting sqref="V5:X6">
    <cfRule type="cellIs" dxfId="244" priority="3" operator="lessThan">
      <formula>6.9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U19"/>
  <sheetViews>
    <sheetView workbookViewId="0">
      <selection activeCell="F2" sqref="F1:U1048576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5.5703125" bestFit="1" customWidth="1"/>
    <col min="9" max="9" width="7.28515625" bestFit="1" customWidth="1"/>
    <col min="10" max="10" width="7.5703125" bestFit="1" customWidth="1"/>
    <col min="11" max="11" width="5.5703125" bestFit="1" customWidth="1"/>
    <col min="12" max="12" width="7.28515625" bestFit="1" customWidth="1"/>
    <col min="13" max="13" width="7.5703125" bestFit="1" customWidth="1"/>
    <col min="14" max="14" width="5.5703125" bestFit="1" customWidth="1"/>
    <col min="15" max="15" width="7.28515625" bestFit="1" customWidth="1"/>
    <col min="16" max="16" width="7.5703125" bestFit="1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5.5703125" bestFit="1" customWidth="1"/>
  </cols>
  <sheetData>
    <row r="1" spans="1:21" ht="60" x14ac:dyDescent="0.8">
      <c r="A1" s="44"/>
      <c r="B1" s="45"/>
      <c r="C1" s="33"/>
      <c r="D1" s="33"/>
      <c r="E1" s="33"/>
      <c r="F1" s="21" t="s">
        <v>0</v>
      </c>
      <c r="G1" s="22"/>
      <c r="H1" s="23"/>
      <c r="I1" s="21" t="s">
        <v>1</v>
      </c>
      <c r="J1" s="22"/>
      <c r="K1" s="23"/>
      <c r="L1" s="21" t="s">
        <v>122</v>
      </c>
      <c r="M1" s="22"/>
      <c r="N1" s="23"/>
      <c r="O1" s="21" t="s">
        <v>123</v>
      </c>
      <c r="P1" s="22"/>
      <c r="Q1" s="23"/>
      <c r="R1" s="21" t="s">
        <v>124</v>
      </c>
      <c r="S1" s="22"/>
      <c r="T1" s="23"/>
      <c r="U1" s="24" t="s">
        <v>2</v>
      </c>
    </row>
    <row r="2" spans="1:21" x14ac:dyDescent="0.2">
      <c r="A2" s="46" t="s">
        <v>853</v>
      </c>
      <c r="B2" s="47" t="s">
        <v>854</v>
      </c>
      <c r="C2" s="25" t="s">
        <v>848</v>
      </c>
      <c r="D2" s="25" t="s">
        <v>849</v>
      </c>
      <c r="E2" s="25" t="s">
        <v>850</v>
      </c>
      <c r="F2" s="25" t="s">
        <v>754</v>
      </c>
      <c r="G2" s="25" t="s">
        <v>755</v>
      </c>
      <c r="H2" s="26" t="s">
        <v>11</v>
      </c>
      <c r="I2" s="25" t="s">
        <v>754</v>
      </c>
      <c r="J2" s="25" t="s">
        <v>755</v>
      </c>
      <c r="K2" s="26" t="s">
        <v>11</v>
      </c>
      <c r="L2" s="25" t="s">
        <v>754</v>
      </c>
      <c r="M2" s="25" t="s">
        <v>755</v>
      </c>
      <c r="N2" s="26" t="s">
        <v>11</v>
      </c>
      <c r="O2" s="25" t="s">
        <v>754</v>
      </c>
      <c r="P2" s="25" t="s">
        <v>755</v>
      </c>
      <c r="Q2" s="26" t="s">
        <v>11</v>
      </c>
      <c r="R2" s="25" t="s">
        <v>754</v>
      </c>
      <c r="S2" s="25" t="s">
        <v>755</v>
      </c>
      <c r="T2" s="26" t="s">
        <v>11</v>
      </c>
      <c r="U2" s="24" t="s">
        <v>12</v>
      </c>
    </row>
    <row r="3" spans="1:21" ht="15.75" customHeight="1" x14ac:dyDescent="0.25">
      <c r="A3" s="48" t="s">
        <v>782</v>
      </c>
      <c r="B3" s="32" t="s">
        <v>783</v>
      </c>
      <c r="C3" s="2" t="s">
        <v>15</v>
      </c>
      <c r="D3" s="32">
        <v>201</v>
      </c>
      <c r="E3" s="32"/>
      <c r="F3" s="28">
        <v>0</v>
      </c>
      <c r="G3" s="28">
        <v>0</v>
      </c>
      <c r="H3" s="29">
        <f>AVERAGE(F3:G3)</f>
        <v>0</v>
      </c>
      <c r="I3" s="28">
        <v>0</v>
      </c>
      <c r="J3" s="28">
        <v>0</v>
      </c>
      <c r="K3" s="29">
        <f>AVERAGE(I3:J3)</f>
        <v>0</v>
      </c>
      <c r="L3" s="28">
        <v>0</v>
      </c>
      <c r="M3" s="28">
        <v>0</v>
      </c>
      <c r="N3" s="29">
        <f>AVERAGE(L3:M3)</f>
        <v>0</v>
      </c>
      <c r="O3" s="28">
        <v>0</v>
      </c>
      <c r="P3" s="28">
        <v>0</v>
      </c>
      <c r="Q3" s="29">
        <f>AVERAGE(O3:P3)</f>
        <v>0</v>
      </c>
      <c r="R3" s="28">
        <v>0</v>
      </c>
      <c r="S3" s="28">
        <v>0</v>
      </c>
      <c r="T3" s="29">
        <f>AVERAGE(R3:S3)</f>
        <v>0</v>
      </c>
      <c r="U3" s="30">
        <f>AVERAGE(H3,K3,N3,Q3,T3)</f>
        <v>0</v>
      </c>
    </row>
    <row r="4" spans="1:21" ht="15.75" customHeight="1" x14ac:dyDescent="0.25">
      <c r="A4" s="48" t="s">
        <v>768</v>
      </c>
      <c r="B4" s="32" t="s">
        <v>769</v>
      </c>
      <c r="C4" s="2" t="s">
        <v>15</v>
      </c>
      <c r="D4" s="32">
        <v>201</v>
      </c>
      <c r="E4" s="49"/>
      <c r="F4" s="28">
        <v>0</v>
      </c>
      <c r="G4" s="28">
        <v>0</v>
      </c>
      <c r="H4" s="29">
        <f>AVERAGE(F4:G4)</f>
        <v>0</v>
      </c>
      <c r="I4" s="28">
        <v>0</v>
      </c>
      <c r="J4" s="28">
        <v>0</v>
      </c>
      <c r="K4" s="29">
        <f>AVERAGE(I4:J4)</f>
        <v>0</v>
      </c>
      <c r="L4" s="28">
        <v>0</v>
      </c>
      <c r="M4" s="28">
        <v>0</v>
      </c>
      <c r="N4" s="29">
        <f>AVERAGE(L4:M4)</f>
        <v>0</v>
      </c>
      <c r="O4" s="28">
        <v>0</v>
      </c>
      <c r="P4" s="28">
        <v>0</v>
      </c>
      <c r="Q4" s="29">
        <f>AVERAGE(O4:P4)</f>
        <v>0</v>
      </c>
      <c r="R4" s="28">
        <v>0</v>
      </c>
      <c r="S4" s="28">
        <v>0</v>
      </c>
      <c r="T4" s="29">
        <f>AVERAGE(R4:S4)</f>
        <v>0</v>
      </c>
      <c r="U4" s="30">
        <f t="shared" ref="U4:U19" si="0">AVERAGE(H4,K4,N4,Q4,T4)</f>
        <v>0</v>
      </c>
    </row>
    <row r="5" spans="1:21" ht="15.75" customHeight="1" x14ac:dyDescent="0.25">
      <c r="A5" s="48" t="s">
        <v>855</v>
      </c>
      <c r="B5" s="39" t="s">
        <v>856</v>
      </c>
      <c r="C5" s="2" t="s">
        <v>15</v>
      </c>
      <c r="D5" s="32">
        <v>201</v>
      </c>
      <c r="E5" s="32"/>
      <c r="F5" s="28">
        <v>0</v>
      </c>
      <c r="G5" s="28">
        <v>0</v>
      </c>
      <c r="H5" s="29">
        <f>AVERAGE(F5:G5)</f>
        <v>0</v>
      </c>
      <c r="I5" s="28">
        <v>0</v>
      </c>
      <c r="J5" s="28">
        <v>0</v>
      </c>
      <c r="K5" s="29">
        <f>AVERAGE(I5:J5)</f>
        <v>0</v>
      </c>
      <c r="L5" s="28">
        <v>0</v>
      </c>
      <c r="M5" s="28">
        <v>0</v>
      </c>
      <c r="N5" s="29">
        <f>AVERAGE(L5:M5)</f>
        <v>0</v>
      </c>
      <c r="O5" s="28">
        <v>0</v>
      </c>
      <c r="P5" s="28">
        <v>0</v>
      </c>
      <c r="Q5" s="29">
        <f>AVERAGE(O5:P5)</f>
        <v>0</v>
      </c>
      <c r="R5" s="28">
        <v>0</v>
      </c>
      <c r="S5" s="28">
        <v>0</v>
      </c>
      <c r="T5" s="29">
        <f>AVERAGE(R5:S5)</f>
        <v>0</v>
      </c>
      <c r="U5" s="30">
        <f t="shared" si="0"/>
        <v>0</v>
      </c>
    </row>
    <row r="6" spans="1:21" ht="15.75" customHeight="1" x14ac:dyDescent="0.25">
      <c r="A6" s="48" t="s">
        <v>756</v>
      </c>
      <c r="B6" s="32" t="s">
        <v>757</v>
      </c>
      <c r="C6" s="2" t="s">
        <v>15</v>
      </c>
      <c r="D6" s="32">
        <v>201</v>
      </c>
      <c r="E6" s="32"/>
      <c r="F6" s="28">
        <v>0</v>
      </c>
      <c r="G6" s="28">
        <v>0</v>
      </c>
      <c r="H6" s="29">
        <f>AVERAGE(F6:G6)</f>
        <v>0</v>
      </c>
      <c r="I6" s="28">
        <v>0</v>
      </c>
      <c r="J6" s="28">
        <v>0</v>
      </c>
      <c r="K6" s="29">
        <f>AVERAGE(I6:J6)</f>
        <v>0</v>
      </c>
      <c r="L6" s="28">
        <v>0</v>
      </c>
      <c r="M6" s="28">
        <v>0</v>
      </c>
      <c r="N6" s="29">
        <f>AVERAGE(L6:M6)</f>
        <v>0</v>
      </c>
      <c r="O6" s="28">
        <v>0</v>
      </c>
      <c r="P6" s="28">
        <v>0</v>
      </c>
      <c r="Q6" s="29">
        <f>AVERAGE(O6:P6)</f>
        <v>0</v>
      </c>
      <c r="R6" s="28">
        <v>0</v>
      </c>
      <c r="S6" s="28">
        <v>0</v>
      </c>
      <c r="T6" s="29">
        <f>AVERAGE(R6:S6)</f>
        <v>0</v>
      </c>
      <c r="U6" s="30">
        <f t="shared" si="0"/>
        <v>0</v>
      </c>
    </row>
    <row r="7" spans="1:21" ht="15.75" customHeight="1" x14ac:dyDescent="0.25">
      <c r="A7" s="48" t="s">
        <v>774</v>
      </c>
      <c r="B7" s="32" t="s">
        <v>775</v>
      </c>
      <c r="C7" s="2" t="s">
        <v>15</v>
      </c>
      <c r="D7" s="32">
        <v>201</v>
      </c>
      <c r="E7" s="49"/>
      <c r="F7" s="28">
        <v>0</v>
      </c>
      <c r="G7" s="28">
        <v>0</v>
      </c>
      <c r="H7" s="29">
        <f>AVERAGE(F7:G7)</f>
        <v>0</v>
      </c>
      <c r="I7" s="28">
        <v>0</v>
      </c>
      <c r="J7" s="28">
        <v>0</v>
      </c>
      <c r="K7" s="29">
        <f>AVERAGE(I7:J7)</f>
        <v>0</v>
      </c>
      <c r="L7" s="28">
        <v>0</v>
      </c>
      <c r="M7" s="28">
        <v>0</v>
      </c>
      <c r="N7" s="29">
        <f>AVERAGE(L7:M7)</f>
        <v>0</v>
      </c>
      <c r="O7" s="28">
        <v>0</v>
      </c>
      <c r="P7" s="28">
        <v>0</v>
      </c>
      <c r="Q7" s="29">
        <f>AVERAGE(O7:P7)</f>
        <v>0</v>
      </c>
      <c r="R7" s="28">
        <v>0</v>
      </c>
      <c r="S7" s="28">
        <v>0</v>
      </c>
      <c r="T7" s="29">
        <f>AVERAGE(R7:S7)</f>
        <v>0</v>
      </c>
      <c r="U7" s="30">
        <f t="shared" si="0"/>
        <v>0</v>
      </c>
    </row>
    <row r="8" spans="1:21" ht="15.75" customHeight="1" x14ac:dyDescent="0.25">
      <c r="A8" s="48" t="s">
        <v>764</v>
      </c>
      <c r="B8" s="32" t="s">
        <v>765</v>
      </c>
      <c r="C8" s="2" t="s">
        <v>15</v>
      </c>
      <c r="D8" s="32">
        <v>201</v>
      </c>
      <c r="E8" s="49"/>
      <c r="F8" s="28">
        <v>0</v>
      </c>
      <c r="G8" s="28">
        <v>0</v>
      </c>
      <c r="H8" s="29">
        <f>AVERAGE(F8:G8)</f>
        <v>0</v>
      </c>
      <c r="I8" s="28">
        <v>0</v>
      </c>
      <c r="J8" s="28">
        <v>0</v>
      </c>
      <c r="K8" s="29">
        <f>AVERAGE(I8:J8)</f>
        <v>0</v>
      </c>
      <c r="L8" s="28">
        <v>0</v>
      </c>
      <c r="M8" s="28">
        <v>0</v>
      </c>
      <c r="N8" s="29">
        <f>AVERAGE(L8:M8)</f>
        <v>0</v>
      </c>
      <c r="O8" s="28">
        <v>0</v>
      </c>
      <c r="P8" s="28">
        <v>0</v>
      </c>
      <c r="Q8" s="29">
        <f>AVERAGE(O8:P8)</f>
        <v>0</v>
      </c>
      <c r="R8" s="28">
        <v>0</v>
      </c>
      <c r="S8" s="28">
        <v>0</v>
      </c>
      <c r="T8" s="29">
        <f>AVERAGE(R8:S8)</f>
        <v>0</v>
      </c>
      <c r="U8" s="30">
        <f t="shared" si="0"/>
        <v>0</v>
      </c>
    </row>
    <row r="9" spans="1:21" ht="15.75" customHeight="1" x14ac:dyDescent="0.25">
      <c r="A9" s="48" t="s">
        <v>762</v>
      </c>
      <c r="B9" s="32" t="s">
        <v>763</v>
      </c>
      <c r="C9" s="2" t="s">
        <v>15</v>
      </c>
      <c r="D9" s="32">
        <v>201</v>
      </c>
      <c r="E9" s="49"/>
      <c r="F9" s="28">
        <v>0</v>
      </c>
      <c r="G9" s="28">
        <v>0</v>
      </c>
      <c r="H9" s="29">
        <f>AVERAGE(F9:G9)</f>
        <v>0</v>
      </c>
      <c r="I9" s="28">
        <v>0</v>
      </c>
      <c r="J9" s="28">
        <v>0</v>
      </c>
      <c r="K9" s="29">
        <f>AVERAGE(I9:J9)</f>
        <v>0</v>
      </c>
      <c r="L9" s="28">
        <v>0</v>
      </c>
      <c r="M9" s="28">
        <v>0</v>
      </c>
      <c r="N9" s="29">
        <f>AVERAGE(L9:M9)</f>
        <v>0</v>
      </c>
      <c r="O9" s="28">
        <v>0</v>
      </c>
      <c r="P9" s="28">
        <v>0</v>
      </c>
      <c r="Q9" s="29">
        <f>AVERAGE(O9:P9)</f>
        <v>0</v>
      </c>
      <c r="R9" s="28">
        <v>0</v>
      </c>
      <c r="S9" s="28">
        <v>0</v>
      </c>
      <c r="T9" s="29">
        <f>AVERAGE(R9:S9)</f>
        <v>0</v>
      </c>
      <c r="U9" s="30">
        <f t="shared" si="0"/>
        <v>0</v>
      </c>
    </row>
    <row r="10" spans="1:21" ht="15.75" customHeight="1" x14ac:dyDescent="0.25">
      <c r="A10" s="48" t="s">
        <v>780</v>
      </c>
      <c r="B10" s="32" t="s">
        <v>781</v>
      </c>
      <c r="C10" s="2" t="s">
        <v>15</v>
      </c>
      <c r="D10" s="32">
        <v>201</v>
      </c>
      <c r="E10" s="32"/>
      <c r="F10" s="28">
        <v>0</v>
      </c>
      <c r="G10" s="28">
        <v>0</v>
      </c>
      <c r="H10" s="29">
        <f>AVERAGE(F10:G10)</f>
        <v>0</v>
      </c>
      <c r="I10" s="28">
        <v>0</v>
      </c>
      <c r="J10" s="28">
        <v>0</v>
      </c>
      <c r="K10" s="29">
        <f>AVERAGE(I10:J10)</f>
        <v>0</v>
      </c>
      <c r="L10" s="28">
        <v>0</v>
      </c>
      <c r="M10" s="28">
        <v>0</v>
      </c>
      <c r="N10" s="29">
        <f>AVERAGE(L10:M10)</f>
        <v>0</v>
      </c>
      <c r="O10" s="28">
        <v>0</v>
      </c>
      <c r="P10" s="28">
        <v>0</v>
      </c>
      <c r="Q10" s="29">
        <f>AVERAGE(O10:P10)</f>
        <v>0</v>
      </c>
      <c r="R10" s="28">
        <v>0</v>
      </c>
      <c r="S10" s="28">
        <v>0</v>
      </c>
      <c r="T10" s="29">
        <f>AVERAGE(R10:S10)</f>
        <v>0</v>
      </c>
      <c r="U10" s="30">
        <f t="shared" si="0"/>
        <v>0</v>
      </c>
    </row>
    <row r="11" spans="1:21" ht="15.75" customHeight="1" x14ac:dyDescent="0.25">
      <c r="A11" s="48" t="s">
        <v>766</v>
      </c>
      <c r="B11" s="32" t="s">
        <v>767</v>
      </c>
      <c r="C11" s="2" t="s">
        <v>15</v>
      </c>
      <c r="D11" s="32">
        <v>201</v>
      </c>
      <c r="E11" s="32"/>
      <c r="F11" s="28">
        <v>0</v>
      </c>
      <c r="G11" s="28">
        <v>0</v>
      </c>
      <c r="H11" s="29">
        <f>AVERAGE(F11:G11)</f>
        <v>0</v>
      </c>
      <c r="I11" s="28">
        <v>0</v>
      </c>
      <c r="J11" s="28">
        <v>0</v>
      </c>
      <c r="K11" s="29">
        <f>AVERAGE(I11:J11)</f>
        <v>0</v>
      </c>
      <c r="L11" s="28">
        <v>0</v>
      </c>
      <c r="M11" s="28">
        <v>0</v>
      </c>
      <c r="N11" s="29">
        <f>AVERAGE(L11:M11)</f>
        <v>0</v>
      </c>
      <c r="O11" s="28">
        <v>0</v>
      </c>
      <c r="P11" s="28">
        <v>0</v>
      </c>
      <c r="Q11" s="29">
        <f>AVERAGE(O11:P11)</f>
        <v>0</v>
      </c>
      <c r="R11" s="28">
        <v>0</v>
      </c>
      <c r="S11" s="28">
        <v>0</v>
      </c>
      <c r="T11" s="29">
        <f>AVERAGE(R11:S11)</f>
        <v>0</v>
      </c>
      <c r="U11" s="30">
        <f t="shared" si="0"/>
        <v>0</v>
      </c>
    </row>
    <row r="12" spans="1:21" ht="15.75" customHeight="1" x14ac:dyDescent="0.25">
      <c r="A12" s="48" t="s">
        <v>760</v>
      </c>
      <c r="B12" s="32" t="s">
        <v>761</v>
      </c>
      <c r="C12" s="2" t="s">
        <v>15</v>
      </c>
      <c r="D12" s="32">
        <v>201</v>
      </c>
      <c r="E12" s="49"/>
      <c r="F12" s="28">
        <v>0</v>
      </c>
      <c r="G12" s="28">
        <v>0</v>
      </c>
      <c r="H12" s="29">
        <f>AVERAGE(F12:G12)</f>
        <v>0</v>
      </c>
      <c r="I12" s="28">
        <v>0</v>
      </c>
      <c r="J12" s="28">
        <v>0</v>
      </c>
      <c r="K12" s="29">
        <f>AVERAGE(I12:J12)</f>
        <v>0</v>
      </c>
      <c r="L12" s="28">
        <v>0</v>
      </c>
      <c r="M12" s="28">
        <v>0</v>
      </c>
      <c r="N12" s="29">
        <f>AVERAGE(L12:M12)</f>
        <v>0</v>
      </c>
      <c r="O12" s="28">
        <v>0</v>
      </c>
      <c r="P12" s="28">
        <v>0</v>
      </c>
      <c r="Q12" s="29">
        <f>AVERAGE(O12:P12)</f>
        <v>0</v>
      </c>
      <c r="R12" s="28">
        <v>0</v>
      </c>
      <c r="S12" s="28">
        <v>0</v>
      </c>
      <c r="T12" s="29">
        <f>AVERAGE(R12:S12)</f>
        <v>0</v>
      </c>
      <c r="U12" s="30">
        <f t="shared" si="0"/>
        <v>0</v>
      </c>
    </row>
    <row r="13" spans="1:21" ht="15.75" customHeight="1" x14ac:dyDescent="0.25">
      <c r="A13" s="48" t="s">
        <v>857</v>
      </c>
      <c r="B13" s="49" t="s">
        <v>858</v>
      </c>
      <c r="C13" s="2" t="s">
        <v>15</v>
      </c>
      <c r="D13" s="32">
        <v>201</v>
      </c>
      <c r="E13" s="32"/>
      <c r="F13" s="28">
        <v>0</v>
      </c>
      <c r="G13" s="28">
        <v>0</v>
      </c>
      <c r="H13" s="29">
        <f>AVERAGE(F13:G13)</f>
        <v>0</v>
      </c>
      <c r="I13" s="28">
        <v>0</v>
      </c>
      <c r="J13" s="28">
        <v>0</v>
      </c>
      <c r="K13" s="29">
        <f>AVERAGE(I13:J13)</f>
        <v>0</v>
      </c>
      <c r="L13" s="28">
        <v>0</v>
      </c>
      <c r="M13" s="28">
        <v>0</v>
      </c>
      <c r="N13" s="29">
        <f>AVERAGE(L13:M13)</f>
        <v>0</v>
      </c>
      <c r="O13" s="28">
        <v>0</v>
      </c>
      <c r="P13" s="28">
        <v>0</v>
      </c>
      <c r="Q13" s="29">
        <f>AVERAGE(O13:P13)</f>
        <v>0</v>
      </c>
      <c r="R13" s="28">
        <v>0</v>
      </c>
      <c r="S13" s="28">
        <v>0</v>
      </c>
      <c r="T13" s="29">
        <f>AVERAGE(R13:S13)</f>
        <v>0</v>
      </c>
      <c r="U13" s="30">
        <f t="shared" si="0"/>
        <v>0</v>
      </c>
    </row>
    <row r="14" spans="1:21" ht="15.75" customHeight="1" x14ac:dyDescent="0.25">
      <c r="A14" s="48" t="s">
        <v>772</v>
      </c>
      <c r="B14" s="32" t="s">
        <v>773</v>
      </c>
      <c r="C14" s="2" t="s">
        <v>15</v>
      </c>
      <c r="D14" s="32">
        <v>201</v>
      </c>
      <c r="E14" s="49"/>
      <c r="F14" s="28">
        <v>0</v>
      </c>
      <c r="G14" s="28">
        <v>0</v>
      </c>
      <c r="H14" s="29">
        <f>AVERAGE(F14:G14)</f>
        <v>0</v>
      </c>
      <c r="I14" s="28">
        <v>0</v>
      </c>
      <c r="J14" s="28">
        <v>0</v>
      </c>
      <c r="K14" s="29">
        <f>AVERAGE(I14:J14)</f>
        <v>0</v>
      </c>
      <c r="L14" s="28">
        <v>0</v>
      </c>
      <c r="M14" s="28">
        <v>0</v>
      </c>
      <c r="N14" s="29">
        <f>AVERAGE(L14:M14)</f>
        <v>0</v>
      </c>
      <c r="O14" s="28">
        <v>0</v>
      </c>
      <c r="P14" s="28">
        <v>0</v>
      </c>
      <c r="Q14" s="29">
        <f>AVERAGE(O14:P14)</f>
        <v>0</v>
      </c>
      <c r="R14" s="28">
        <v>0</v>
      </c>
      <c r="S14" s="28">
        <v>0</v>
      </c>
      <c r="T14" s="29">
        <f>AVERAGE(R14:S14)</f>
        <v>0</v>
      </c>
      <c r="U14" s="30">
        <f t="shared" si="0"/>
        <v>0</v>
      </c>
    </row>
    <row r="15" spans="1:21" ht="15.75" customHeight="1" x14ac:dyDescent="0.25">
      <c r="A15" s="48" t="s">
        <v>776</v>
      </c>
      <c r="B15" s="32" t="s">
        <v>777</v>
      </c>
      <c r="C15" s="2" t="s">
        <v>15</v>
      </c>
      <c r="D15" s="32">
        <v>201</v>
      </c>
      <c r="E15" s="32"/>
      <c r="F15" s="28">
        <v>0</v>
      </c>
      <c r="G15" s="28">
        <v>0</v>
      </c>
      <c r="H15" s="29">
        <f>AVERAGE(F15:G15)</f>
        <v>0</v>
      </c>
      <c r="I15" s="28">
        <v>0</v>
      </c>
      <c r="J15" s="28">
        <v>0</v>
      </c>
      <c r="K15" s="29">
        <f>AVERAGE(I15:J15)</f>
        <v>0</v>
      </c>
      <c r="L15" s="28">
        <v>0</v>
      </c>
      <c r="M15" s="28">
        <v>0</v>
      </c>
      <c r="N15" s="29">
        <f>AVERAGE(L15:M15)</f>
        <v>0</v>
      </c>
      <c r="O15" s="28">
        <v>0</v>
      </c>
      <c r="P15" s="28">
        <v>0</v>
      </c>
      <c r="Q15" s="29">
        <f>AVERAGE(O15:P15)</f>
        <v>0</v>
      </c>
      <c r="R15" s="28">
        <v>0</v>
      </c>
      <c r="S15" s="28">
        <v>0</v>
      </c>
      <c r="T15" s="29">
        <f>AVERAGE(R15:S15)</f>
        <v>0</v>
      </c>
      <c r="U15" s="30">
        <f t="shared" si="0"/>
        <v>0</v>
      </c>
    </row>
    <row r="16" spans="1:21" ht="15.75" customHeight="1" x14ac:dyDescent="0.25">
      <c r="A16" s="48" t="s">
        <v>778</v>
      </c>
      <c r="B16" s="32" t="s">
        <v>779</v>
      </c>
      <c r="C16" s="2" t="s">
        <v>15</v>
      </c>
      <c r="D16" s="32">
        <v>201</v>
      </c>
      <c r="E16" s="49"/>
      <c r="F16" s="28">
        <v>0</v>
      </c>
      <c r="G16" s="28">
        <v>0</v>
      </c>
      <c r="H16" s="29">
        <f>AVERAGE(F16:G16)</f>
        <v>0</v>
      </c>
      <c r="I16" s="28">
        <v>0</v>
      </c>
      <c r="J16" s="28">
        <v>0</v>
      </c>
      <c r="K16" s="29">
        <f>AVERAGE(I16:J16)</f>
        <v>0</v>
      </c>
      <c r="L16" s="28">
        <v>0</v>
      </c>
      <c r="M16" s="28">
        <v>0</v>
      </c>
      <c r="N16" s="29">
        <f>AVERAGE(L16:M16)</f>
        <v>0</v>
      </c>
      <c r="O16" s="28">
        <v>0</v>
      </c>
      <c r="P16" s="28">
        <v>0</v>
      </c>
      <c r="Q16" s="29">
        <f>AVERAGE(O16:P16)</f>
        <v>0</v>
      </c>
      <c r="R16" s="28">
        <v>0</v>
      </c>
      <c r="S16" s="28">
        <v>0</v>
      </c>
      <c r="T16" s="29">
        <f>AVERAGE(R16:S16)</f>
        <v>0</v>
      </c>
      <c r="U16" s="30">
        <f t="shared" si="0"/>
        <v>0</v>
      </c>
    </row>
    <row r="17" spans="1:21" ht="15.75" customHeight="1" x14ac:dyDescent="0.25">
      <c r="A17" s="48" t="s">
        <v>758</v>
      </c>
      <c r="B17" s="32" t="s">
        <v>759</v>
      </c>
      <c r="C17" s="2" t="s">
        <v>15</v>
      </c>
      <c r="D17" s="32">
        <v>201</v>
      </c>
      <c r="E17" s="32"/>
      <c r="F17" s="28">
        <v>0</v>
      </c>
      <c r="G17" s="28">
        <v>0</v>
      </c>
      <c r="H17" s="29">
        <f>AVERAGE(F17:G17)</f>
        <v>0</v>
      </c>
      <c r="I17" s="28">
        <v>0</v>
      </c>
      <c r="J17" s="28">
        <v>0</v>
      </c>
      <c r="K17" s="29">
        <f>AVERAGE(I17:J17)</f>
        <v>0</v>
      </c>
      <c r="L17" s="28">
        <v>0</v>
      </c>
      <c r="M17" s="28">
        <v>0</v>
      </c>
      <c r="N17" s="29">
        <f>AVERAGE(L17:M17)</f>
        <v>0</v>
      </c>
      <c r="O17" s="28">
        <v>0</v>
      </c>
      <c r="P17" s="28">
        <v>0</v>
      </c>
      <c r="Q17" s="29">
        <f>AVERAGE(O17:P17)</f>
        <v>0</v>
      </c>
      <c r="R17" s="28">
        <v>0</v>
      </c>
      <c r="S17" s="28">
        <v>0</v>
      </c>
      <c r="T17" s="29">
        <f>AVERAGE(R17:S17)</f>
        <v>0</v>
      </c>
      <c r="U17" s="30">
        <f t="shared" si="0"/>
        <v>0</v>
      </c>
    </row>
    <row r="18" spans="1:21" ht="15.75" customHeight="1" x14ac:dyDescent="0.25">
      <c r="A18" s="48" t="s">
        <v>770</v>
      </c>
      <c r="B18" s="50" t="s">
        <v>771</v>
      </c>
      <c r="C18" s="2" t="s">
        <v>15</v>
      </c>
      <c r="D18" s="32">
        <v>201</v>
      </c>
      <c r="E18" s="49"/>
      <c r="F18" s="28">
        <v>0</v>
      </c>
      <c r="G18" s="28">
        <v>0</v>
      </c>
      <c r="H18" s="29">
        <f>AVERAGE(F18:G18)</f>
        <v>0</v>
      </c>
      <c r="I18" s="28">
        <v>0</v>
      </c>
      <c r="J18" s="28">
        <v>0</v>
      </c>
      <c r="K18" s="29">
        <f>AVERAGE(I18:J18)</f>
        <v>0</v>
      </c>
      <c r="L18" s="28">
        <v>0</v>
      </c>
      <c r="M18" s="28">
        <v>0</v>
      </c>
      <c r="N18" s="29">
        <f>AVERAGE(L18:M18)</f>
        <v>0</v>
      </c>
      <c r="O18" s="28">
        <v>0</v>
      </c>
      <c r="P18" s="28">
        <v>0</v>
      </c>
      <c r="Q18" s="29">
        <f>AVERAGE(O18:P18)</f>
        <v>0</v>
      </c>
      <c r="R18" s="28">
        <v>0</v>
      </c>
      <c r="S18" s="28">
        <v>0</v>
      </c>
      <c r="T18" s="29">
        <f>AVERAGE(R18:S18)</f>
        <v>0</v>
      </c>
      <c r="U18" s="30">
        <f t="shared" si="0"/>
        <v>0</v>
      </c>
    </row>
    <row r="19" spans="1:21" x14ac:dyDescent="0.25">
      <c r="A19" s="48" t="s">
        <v>784</v>
      </c>
      <c r="B19" s="32" t="s">
        <v>859</v>
      </c>
      <c r="C19" s="2" t="s">
        <v>15</v>
      </c>
      <c r="D19" s="32">
        <v>201</v>
      </c>
      <c r="E19" s="32"/>
      <c r="F19" s="28">
        <v>0</v>
      </c>
      <c r="G19" s="28">
        <v>0</v>
      </c>
      <c r="H19" s="29">
        <f>AVERAGE(F19:G19)</f>
        <v>0</v>
      </c>
      <c r="I19" s="28">
        <v>0</v>
      </c>
      <c r="J19" s="28">
        <v>0</v>
      </c>
      <c r="K19" s="29">
        <f>AVERAGE(I19:J19)</f>
        <v>0</v>
      </c>
      <c r="L19" s="28">
        <v>0</v>
      </c>
      <c r="M19" s="28">
        <v>0</v>
      </c>
      <c r="N19" s="29">
        <f>AVERAGE(L19:M19)</f>
        <v>0</v>
      </c>
      <c r="O19" s="28">
        <v>0</v>
      </c>
      <c r="P19" s="28">
        <v>0</v>
      </c>
      <c r="Q19" s="29">
        <f>AVERAGE(O19:P19)</f>
        <v>0</v>
      </c>
      <c r="R19" s="28">
        <v>0</v>
      </c>
      <c r="S19" s="28">
        <v>0</v>
      </c>
      <c r="T19" s="29">
        <f>AVERAGE(R19:S19)</f>
        <v>0</v>
      </c>
      <c r="U19" s="30">
        <f t="shared" si="0"/>
        <v>0</v>
      </c>
    </row>
  </sheetData>
  <sortState xmlns:xlrd2="http://schemas.microsoft.com/office/spreadsheetml/2017/richdata2" ref="A3:Q19">
    <sortCondition ref="D1:D19"/>
  </sortState>
  <mergeCells count="5">
    <mergeCell ref="R1:T1"/>
    <mergeCell ref="F1:H1"/>
    <mergeCell ref="I1:K1"/>
    <mergeCell ref="L1:N1"/>
    <mergeCell ref="O1:Q1"/>
  </mergeCells>
  <conditionalFormatting sqref="B3:B19">
    <cfRule type="cellIs" dxfId="243" priority="82" operator="lessThan">
      <formula>7.9</formula>
    </cfRule>
  </conditionalFormatting>
  <conditionalFormatting sqref="F3:G19">
    <cfRule type="cellIs" dxfId="242" priority="53" operator="lessThan">
      <formula>7.9</formula>
    </cfRule>
  </conditionalFormatting>
  <conditionalFormatting sqref="F3:G19">
    <cfRule type="cellIs" dxfId="241" priority="54" operator="lessThan">
      <formula>7.4</formula>
    </cfRule>
  </conditionalFormatting>
  <conditionalFormatting sqref="F5:G6">
    <cfRule type="cellIs" dxfId="240" priority="55" operator="lessThan">
      <formula>6.9</formula>
    </cfRule>
  </conditionalFormatting>
  <conditionalFormatting sqref="H3:H19">
    <cfRule type="cellIs" dxfId="239" priority="56" operator="lessThan">
      <formula>7.9</formula>
    </cfRule>
    <cfRule type="cellIs" dxfId="238" priority="65" operator="lessThan">
      <formula>6.9</formula>
    </cfRule>
    <cfRule type="cellIs" dxfId="237" priority="66" operator="lessThan">
      <formula>7.4</formula>
    </cfRule>
    <cfRule type="cellIs" dxfId="236" priority="67" operator="lessThan">
      <formula>7.9</formula>
    </cfRule>
  </conditionalFormatting>
  <conditionalFormatting sqref="H3:H19">
    <cfRule type="cellIs" dxfId="235" priority="57" operator="lessThan">
      <formula>6.9</formula>
    </cfRule>
    <cfRule type="cellIs" dxfId="234" priority="58" operator="lessThan">
      <formula>7.4</formula>
    </cfRule>
    <cfRule type="cellIs" dxfId="233" priority="59" operator="lessThan">
      <formula>7.9</formula>
    </cfRule>
    <cfRule type="cellIs" dxfId="232" priority="60" operator="lessThan">
      <formula>6.9</formula>
    </cfRule>
    <cfRule type="cellIs" dxfId="231" priority="61" operator="lessThan">
      <formula>7.9</formula>
    </cfRule>
    <cfRule type="cellIs" dxfId="230" priority="62" operator="lessThan">
      <formula>7.4</formula>
    </cfRule>
    <cfRule type="cellIs" dxfId="229" priority="63" operator="lessThan">
      <formula>6.9</formula>
    </cfRule>
    <cfRule type="cellIs" dxfId="228" priority="64" operator="lessThan">
      <formula>7.9</formula>
    </cfRule>
  </conditionalFormatting>
  <conditionalFormatting sqref="K3:K19">
    <cfRule type="cellIs" dxfId="227" priority="68" operator="lessThan">
      <formula>7.9</formula>
    </cfRule>
    <cfRule type="cellIs" dxfId="226" priority="69" operator="lessThan">
      <formula>6.9</formula>
    </cfRule>
    <cfRule type="cellIs" dxfId="225" priority="70" operator="lessThan">
      <formula>7.4</formula>
    </cfRule>
    <cfRule type="cellIs" dxfId="224" priority="71" operator="lessThan">
      <formula>7.9</formula>
    </cfRule>
    <cfRule type="cellIs" dxfId="223" priority="72" operator="lessThan">
      <formula>6.9</formula>
    </cfRule>
    <cfRule type="cellIs" dxfId="222" priority="73" operator="lessThan">
      <formula>7.9</formula>
    </cfRule>
    <cfRule type="cellIs" dxfId="221" priority="74" operator="lessThan">
      <formula>7.4</formula>
    </cfRule>
    <cfRule type="cellIs" dxfId="220" priority="75" operator="lessThan">
      <formula>6.9</formula>
    </cfRule>
    <cfRule type="cellIs" dxfId="219" priority="76" operator="lessThan">
      <formula>7.9</formula>
    </cfRule>
    <cfRule type="cellIs" dxfId="218" priority="77" operator="lessThan">
      <formula>6.9</formula>
    </cfRule>
    <cfRule type="cellIs" dxfId="217" priority="78" operator="lessThan">
      <formula>7.4</formula>
    </cfRule>
    <cfRule type="cellIs" dxfId="216" priority="79" operator="lessThan">
      <formula>6.9</formula>
    </cfRule>
    <cfRule type="cellIs" dxfId="215" priority="80" operator="lessThan">
      <formula>7.4</formula>
    </cfRule>
    <cfRule type="cellIs" dxfId="214" priority="81" operator="lessThan">
      <formula>7.9</formula>
    </cfRule>
  </conditionalFormatting>
  <conditionalFormatting sqref="I3:J19">
    <cfRule type="cellIs" dxfId="213" priority="50" operator="lessThan">
      <formula>7.9</formula>
    </cfRule>
  </conditionalFormatting>
  <conditionalFormatting sqref="I3:J19">
    <cfRule type="cellIs" dxfId="212" priority="51" operator="lessThan">
      <formula>7.4</formula>
    </cfRule>
  </conditionalFormatting>
  <conditionalFormatting sqref="I5:J6">
    <cfRule type="cellIs" dxfId="211" priority="52" operator="lessThan">
      <formula>6.9</formula>
    </cfRule>
  </conditionalFormatting>
  <conditionalFormatting sqref="L3:M19">
    <cfRule type="cellIs" dxfId="210" priority="21" operator="lessThan">
      <formula>7.9</formula>
    </cfRule>
  </conditionalFormatting>
  <conditionalFormatting sqref="L3:M19">
    <cfRule type="cellIs" dxfId="209" priority="22" operator="lessThan">
      <formula>7.4</formula>
    </cfRule>
  </conditionalFormatting>
  <conditionalFormatting sqref="L5:M6">
    <cfRule type="cellIs" dxfId="208" priority="23" operator="lessThan">
      <formula>6.9</formula>
    </cfRule>
  </conditionalFormatting>
  <conditionalFormatting sqref="N3:N19">
    <cfRule type="cellIs" dxfId="207" priority="24" operator="lessThan">
      <formula>7.9</formula>
    </cfRule>
    <cfRule type="cellIs" dxfId="206" priority="33" operator="lessThan">
      <formula>6.9</formula>
    </cfRule>
    <cfRule type="cellIs" dxfId="205" priority="34" operator="lessThan">
      <formula>7.4</formula>
    </cfRule>
    <cfRule type="cellIs" dxfId="204" priority="35" operator="lessThan">
      <formula>7.9</formula>
    </cfRule>
  </conditionalFormatting>
  <conditionalFormatting sqref="N3:N19">
    <cfRule type="cellIs" dxfId="203" priority="25" operator="lessThan">
      <formula>6.9</formula>
    </cfRule>
    <cfRule type="cellIs" dxfId="202" priority="26" operator="lessThan">
      <formula>7.4</formula>
    </cfRule>
    <cfRule type="cellIs" dxfId="201" priority="27" operator="lessThan">
      <formula>7.9</formula>
    </cfRule>
    <cfRule type="cellIs" dxfId="200" priority="28" operator="lessThan">
      <formula>6.9</formula>
    </cfRule>
    <cfRule type="cellIs" dxfId="199" priority="29" operator="lessThan">
      <formula>7.9</formula>
    </cfRule>
    <cfRule type="cellIs" dxfId="198" priority="30" operator="lessThan">
      <formula>7.4</formula>
    </cfRule>
    <cfRule type="cellIs" dxfId="197" priority="31" operator="lessThan">
      <formula>6.9</formula>
    </cfRule>
    <cfRule type="cellIs" dxfId="196" priority="32" operator="lessThan">
      <formula>7.9</formula>
    </cfRule>
  </conditionalFormatting>
  <conditionalFormatting sqref="Q3:Q19">
    <cfRule type="cellIs" dxfId="195" priority="36" operator="lessThan">
      <formula>7.9</formula>
    </cfRule>
    <cfRule type="cellIs" dxfId="194" priority="37" operator="lessThan">
      <formula>6.9</formula>
    </cfRule>
    <cfRule type="cellIs" dxfId="193" priority="38" operator="lessThan">
      <formula>7.4</formula>
    </cfRule>
    <cfRule type="cellIs" dxfId="192" priority="39" operator="lessThan">
      <formula>7.9</formula>
    </cfRule>
    <cfRule type="cellIs" dxfId="191" priority="40" operator="lessThan">
      <formula>6.9</formula>
    </cfRule>
    <cfRule type="cellIs" dxfId="190" priority="41" operator="lessThan">
      <formula>7.9</formula>
    </cfRule>
    <cfRule type="cellIs" dxfId="189" priority="42" operator="lessThan">
      <formula>7.4</formula>
    </cfRule>
    <cfRule type="cellIs" dxfId="188" priority="43" operator="lessThan">
      <formula>6.9</formula>
    </cfRule>
    <cfRule type="cellIs" dxfId="187" priority="44" operator="lessThan">
      <formula>7.9</formula>
    </cfRule>
    <cfRule type="cellIs" dxfId="186" priority="45" operator="lessThan">
      <formula>6.9</formula>
    </cfRule>
    <cfRule type="cellIs" dxfId="185" priority="46" operator="lessThan">
      <formula>7.4</formula>
    </cfRule>
    <cfRule type="cellIs" dxfId="184" priority="47" operator="lessThan">
      <formula>6.9</formula>
    </cfRule>
    <cfRule type="cellIs" dxfId="183" priority="48" operator="lessThan">
      <formula>7.4</formula>
    </cfRule>
    <cfRule type="cellIs" dxfId="182" priority="49" operator="lessThan">
      <formula>7.9</formula>
    </cfRule>
  </conditionalFormatting>
  <conditionalFormatting sqref="O3:P19">
    <cfRule type="cellIs" dxfId="181" priority="18" operator="lessThan">
      <formula>7.9</formula>
    </cfRule>
  </conditionalFormatting>
  <conditionalFormatting sqref="O3:P19">
    <cfRule type="cellIs" dxfId="180" priority="19" operator="lessThan">
      <formula>7.4</formula>
    </cfRule>
  </conditionalFormatting>
  <conditionalFormatting sqref="O5:P6">
    <cfRule type="cellIs" dxfId="179" priority="20" operator="lessThan">
      <formula>6.9</formula>
    </cfRule>
  </conditionalFormatting>
  <conditionalFormatting sqref="T3:T19">
    <cfRule type="cellIs" dxfId="178" priority="4" operator="lessThan">
      <formula>7.9</formula>
    </cfRule>
    <cfRule type="cellIs" dxfId="177" priority="5" operator="lessThan">
      <formula>6.9</formula>
    </cfRule>
    <cfRule type="cellIs" dxfId="176" priority="6" operator="lessThan">
      <formula>7.4</formula>
    </cfRule>
    <cfRule type="cellIs" dxfId="175" priority="7" operator="lessThan">
      <formula>7.9</formula>
    </cfRule>
    <cfRule type="cellIs" dxfId="174" priority="8" operator="lessThan">
      <formula>6.9</formula>
    </cfRule>
    <cfRule type="cellIs" dxfId="173" priority="9" operator="lessThan">
      <formula>7.9</formula>
    </cfRule>
    <cfRule type="cellIs" dxfId="172" priority="10" operator="lessThan">
      <formula>7.4</formula>
    </cfRule>
    <cfRule type="cellIs" dxfId="171" priority="11" operator="lessThan">
      <formula>6.9</formula>
    </cfRule>
    <cfRule type="cellIs" dxfId="170" priority="12" operator="lessThan">
      <formula>7.9</formula>
    </cfRule>
    <cfRule type="cellIs" dxfId="169" priority="13" operator="lessThan">
      <formula>6.9</formula>
    </cfRule>
    <cfRule type="cellIs" dxfId="168" priority="14" operator="lessThan">
      <formula>7.4</formula>
    </cfRule>
    <cfRule type="cellIs" dxfId="167" priority="15" operator="lessThan">
      <formula>6.9</formula>
    </cfRule>
    <cfRule type="cellIs" dxfId="166" priority="16" operator="lessThan">
      <formula>7.4</formula>
    </cfRule>
    <cfRule type="cellIs" dxfId="165" priority="17" operator="lessThan">
      <formula>7.9</formula>
    </cfRule>
  </conditionalFormatting>
  <conditionalFormatting sqref="R3:S19">
    <cfRule type="cellIs" dxfId="164" priority="1" operator="lessThan">
      <formula>7.9</formula>
    </cfRule>
  </conditionalFormatting>
  <conditionalFormatting sqref="R3:S19">
    <cfRule type="cellIs" dxfId="163" priority="2" operator="lessThan">
      <formula>7.4</formula>
    </cfRule>
  </conditionalFormatting>
  <conditionalFormatting sqref="R5:S6">
    <cfRule type="cellIs" dxfId="162" priority="3" operator="lessThan">
      <formula>6.9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9"/>
  <sheetViews>
    <sheetView tabSelected="1" workbookViewId="0">
      <selection activeCell="A20" sqref="A20:XFD469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5.5703125" bestFit="1" customWidth="1"/>
    <col min="9" max="9" width="7.28515625" bestFit="1" customWidth="1"/>
    <col min="10" max="10" width="7.5703125" bestFit="1" customWidth="1"/>
    <col min="11" max="11" width="5.5703125" bestFit="1" customWidth="1"/>
    <col min="12" max="12" width="7.28515625" bestFit="1" customWidth="1"/>
    <col min="13" max="13" width="7.5703125" bestFit="1" customWidth="1"/>
    <col min="14" max="14" width="5.5703125" bestFit="1" customWidth="1"/>
    <col min="15" max="15" width="7.28515625" bestFit="1" customWidth="1"/>
    <col min="16" max="16" width="7.5703125" bestFit="1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5.5703125" bestFit="1" customWidth="1"/>
    <col min="22" max="26" width="3.140625" customWidth="1"/>
  </cols>
  <sheetData>
    <row r="1" spans="1:26" ht="44.25" x14ac:dyDescent="0.2">
      <c r="A1" s="44"/>
      <c r="B1" s="51"/>
      <c r="C1" s="33"/>
      <c r="D1" s="33"/>
      <c r="E1" s="33"/>
      <c r="F1" s="21" t="s">
        <v>0</v>
      </c>
      <c r="G1" s="22"/>
      <c r="H1" s="23"/>
      <c r="I1" s="21" t="s">
        <v>1</v>
      </c>
      <c r="J1" s="22"/>
      <c r="K1" s="23"/>
      <c r="L1" s="21" t="s">
        <v>122</v>
      </c>
      <c r="M1" s="22"/>
      <c r="N1" s="23"/>
      <c r="O1" s="21" t="s">
        <v>123</v>
      </c>
      <c r="P1" s="22"/>
      <c r="Q1" s="23"/>
      <c r="R1" s="21" t="s">
        <v>124</v>
      </c>
      <c r="S1" s="22"/>
      <c r="T1" s="23"/>
      <c r="U1" s="24" t="s">
        <v>2</v>
      </c>
      <c r="V1" s="11"/>
      <c r="W1" s="11"/>
      <c r="X1" s="11"/>
      <c r="Y1" s="11"/>
      <c r="Z1" s="11"/>
    </row>
    <row r="2" spans="1:26" x14ac:dyDescent="0.2">
      <c r="A2" s="52" t="s">
        <v>853</v>
      </c>
      <c r="B2" s="53" t="s">
        <v>854</v>
      </c>
      <c r="C2" s="25" t="s">
        <v>848</v>
      </c>
      <c r="D2" s="25" t="s">
        <v>849</v>
      </c>
      <c r="E2" s="25" t="s">
        <v>850</v>
      </c>
      <c r="F2" s="25" t="s">
        <v>754</v>
      </c>
      <c r="G2" s="25" t="s">
        <v>755</v>
      </c>
      <c r="H2" s="26" t="s">
        <v>11</v>
      </c>
      <c r="I2" s="25" t="s">
        <v>754</v>
      </c>
      <c r="J2" s="25" t="s">
        <v>755</v>
      </c>
      <c r="K2" s="26" t="s">
        <v>11</v>
      </c>
      <c r="L2" s="25" t="s">
        <v>754</v>
      </c>
      <c r="M2" s="25" t="s">
        <v>755</v>
      </c>
      <c r="N2" s="26" t="s">
        <v>11</v>
      </c>
      <c r="O2" s="25" t="s">
        <v>754</v>
      </c>
      <c r="P2" s="25" t="s">
        <v>755</v>
      </c>
      <c r="Q2" s="26" t="s">
        <v>11</v>
      </c>
      <c r="R2" s="25" t="s">
        <v>754</v>
      </c>
      <c r="S2" s="25" t="s">
        <v>755</v>
      </c>
      <c r="T2" s="26" t="s">
        <v>11</v>
      </c>
      <c r="U2" s="24" t="s">
        <v>12</v>
      </c>
      <c r="V2" s="5"/>
      <c r="W2" s="5"/>
      <c r="X2" s="5"/>
      <c r="Y2" s="5"/>
      <c r="Z2" s="5"/>
    </row>
    <row r="3" spans="1:26" ht="15.75" customHeight="1" x14ac:dyDescent="0.25">
      <c r="A3" s="54" t="s">
        <v>815</v>
      </c>
      <c r="B3" s="32" t="s">
        <v>816</v>
      </c>
      <c r="C3" s="2" t="s">
        <v>15</v>
      </c>
      <c r="D3" s="32">
        <v>401</v>
      </c>
      <c r="E3" s="32"/>
      <c r="F3" s="28">
        <v>0</v>
      </c>
      <c r="G3" s="28">
        <v>0</v>
      </c>
      <c r="H3" s="29">
        <f>AVERAGE(F3:G3)</f>
        <v>0</v>
      </c>
      <c r="I3" s="28">
        <v>0</v>
      </c>
      <c r="J3" s="28">
        <v>0</v>
      </c>
      <c r="K3" s="29">
        <f>AVERAGE(I3:J3)</f>
        <v>0</v>
      </c>
      <c r="L3" s="28">
        <v>0</v>
      </c>
      <c r="M3" s="28">
        <v>0</v>
      </c>
      <c r="N3" s="29">
        <f>AVERAGE(L3:M3)</f>
        <v>0</v>
      </c>
      <c r="O3" s="28">
        <v>0</v>
      </c>
      <c r="P3" s="28">
        <v>0</v>
      </c>
      <c r="Q3" s="29">
        <f>AVERAGE(O3:P3)</f>
        <v>0</v>
      </c>
      <c r="R3" s="28">
        <v>0</v>
      </c>
      <c r="S3" s="28">
        <v>0</v>
      </c>
      <c r="T3" s="29">
        <f>AVERAGE(R3:S3)</f>
        <v>0</v>
      </c>
      <c r="U3" s="30">
        <f>AVERAGE(H3,K3,N3,Q3,T3)</f>
        <v>0</v>
      </c>
      <c r="V3" s="6"/>
      <c r="W3" s="6"/>
      <c r="X3" s="7"/>
      <c r="Y3" s="6"/>
      <c r="Z3" s="7"/>
    </row>
    <row r="4" spans="1:26" ht="15.75" customHeight="1" x14ac:dyDescent="0.25">
      <c r="A4" s="54" t="s">
        <v>785</v>
      </c>
      <c r="B4" s="49" t="s">
        <v>786</v>
      </c>
      <c r="C4" s="2" t="s">
        <v>15</v>
      </c>
      <c r="D4" s="32">
        <v>401</v>
      </c>
      <c r="E4" s="49"/>
      <c r="F4" s="28">
        <v>0</v>
      </c>
      <c r="G4" s="28">
        <v>0</v>
      </c>
      <c r="H4" s="29">
        <f>AVERAGE(F4:G4)</f>
        <v>0</v>
      </c>
      <c r="I4" s="28">
        <v>0</v>
      </c>
      <c r="J4" s="28">
        <v>0</v>
      </c>
      <c r="K4" s="29">
        <f>AVERAGE(I4:J4)</f>
        <v>0</v>
      </c>
      <c r="L4" s="28">
        <v>0</v>
      </c>
      <c r="M4" s="28">
        <v>0</v>
      </c>
      <c r="N4" s="29">
        <f>AVERAGE(L4:M4)</f>
        <v>0</v>
      </c>
      <c r="O4" s="28">
        <v>0</v>
      </c>
      <c r="P4" s="28">
        <v>0</v>
      </c>
      <c r="Q4" s="29">
        <f>AVERAGE(O4:P4)</f>
        <v>0</v>
      </c>
      <c r="R4" s="28">
        <v>0</v>
      </c>
      <c r="S4" s="28">
        <v>0</v>
      </c>
      <c r="T4" s="29">
        <f>AVERAGE(R4:S4)</f>
        <v>0</v>
      </c>
      <c r="U4" s="30">
        <f t="shared" ref="U4:U19" si="0">AVERAGE(H4,K4,N4,Q4,T4)</f>
        <v>0</v>
      </c>
      <c r="V4" s="7"/>
      <c r="W4" s="7"/>
      <c r="X4" s="7"/>
      <c r="Y4" s="7"/>
      <c r="Z4" s="7"/>
    </row>
    <row r="5" spans="1:26" ht="15.75" customHeight="1" x14ac:dyDescent="0.25">
      <c r="A5" s="54" t="s">
        <v>791</v>
      </c>
      <c r="B5" s="32" t="s">
        <v>860</v>
      </c>
      <c r="C5" s="2" t="s">
        <v>15</v>
      </c>
      <c r="D5" s="32">
        <v>401</v>
      </c>
      <c r="E5" s="32"/>
      <c r="F5" s="28">
        <v>0</v>
      </c>
      <c r="G5" s="28">
        <v>0</v>
      </c>
      <c r="H5" s="29">
        <f>AVERAGE(F5:G5)</f>
        <v>0</v>
      </c>
      <c r="I5" s="28">
        <v>0</v>
      </c>
      <c r="J5" s="28">
        <v>0</v>
      </c>
      <c r="K5" s="29">
        <f>AVERAGE(I5:J5)</f>
        <v>0</v>
      </c>
      <c r="L5" s="28">
        <v>0</v>
      </c>
      <c r="M5" s="28">
        <v>0</v>
      </c>
      <c r="N5" s="29">
        <f>AVERAGE(L5:M5)</f>
        <v>0</v>
      </c>
      <c r="O5" s="28">
        <v>0</v>
      </c>
      <c r="P5" s="28">
        <v>0</v>
      </c>
      <c r="Q5" s="29">
        <f>AVERAGE(O5:P5)</f>
        <v>0</v>
      </c>
      <c r="R5" s="28">
        <v>0</v>
      </c>
      <c r="S5" s="28">
        <v>0</v>
      </c>
      <c r="T5" s="29">
        <f>AVERAGE(R5:S5)</f>
        <v>0</v>
      </c>
      <c r="U5" s="30">
        <f t="shared" si="0"/>
        <v>0</v>
      </c>
      <c r="V5" s="7"/>
      <c r="W5" s="7"/>
      <c r="X5" s="7"/>
      <c r="Y5" s="8"/>
      <c r="Z5" s="7"/>
    </row>
    <row r="6" spans="1:26" ht="15.75" customHeight="1" x14ac:dyDescent="0.25">
      <c r="A6" s="54" t="s">
        <v>813</v>
      </c>
      <c r="B6" s="32" t="s">
        <v>814</v>
      </c>
      <c r="C6" s="2" t="s">
        <v>15</v>
      </c>
      <c r="D6" s="32">
        <v>401</v>
      </c>
      <c r="E6" s="32"/>
      <c r="F6" s="28">
        <v>0</v>
      </c>
      <c r="G6" s="28">
        <v>0</v>
      </c>
      <c r="H6" s="29">
        <f>AVERAGE(F6:G6)</f>
        <v>0</v>
      </c>
      <c r="I6" s="28">
        <v>0</v>
      </c>
      <c r="J6" s="28">
        <v>0</v>
      </c>
      <c r="K6" s="29">
        <f>AVERAGE(I6:J6)</f>
        <v>0</v>
      </c>
      <c r="L6" s="28">
        <v>0</v>
      </c>
      <c r="M6" s="28">
        <v>0</v>
      </c>
      <c r="N6" s="29">
        <f>AVERAGE(L6:M6)</f>
        <v>0</v>
      </c>
      <c r="O6" s="28">
        <v>0</v>
      </c>
      <c r="P6" s="28">
        <v>0</v>
      </c>
      <c r="Q6" s="29">
        <f>AVERAGE(O6:P6)</f>
        <v>0</v>
      </c>
      <c r="R6" s="28">
        <v>0</v>
      </c>
      <c r="S6" s="28">
        <v>0</v>
      </c>
      <c r="T6" s="29">
        <f>AVERAGE(R6:S6)</f>
        <v>0</v>
      </c>
      <c r="U6" s="30">
        <f t="shared" si="0"/>
        <v>0</v>
      </c>
      <c r="V6" s="7"/>
      <c r="W6" s="7"/>
      <c r="X6" s="7"/>
      <c r="Y6" s="8"/>
      <c r="Z6" s="7"/>
    </row>
    <row r="7" spans="1:26" ht="15.75" customHeight="1" x14ac:dyDescent="0.25">
      <c r="A7" s="54" t="s">
        <v>809</v>
      </c>
      <c r="B7" s="49" t="s">
        <v>810</v>
      </c>
      <c r="C7" s="2" t="s">
        <v>15</v>
      </c>
      <c r="D7" s="32">
        <v>401</v>
      </c>
      <c r="E7" s="49"/>
      <c r="F7" s="28">
        <v>0</v>
      </c>
      <c r="G7" s="28">
        <v>0</v>
      </c>
      <c r="H7" s="29">
        <f>AVERAGE(F7:G7)</f>
        <v>0</v>
      </c>
      <c r="I7" s="28">
        <v>0</v>
      </c>
      <c r="J7" s="28">
        <v>0</v>
      </c>
      <c r="K7" s="29">
        <f>AVERAGE(I7:J7)</f>
        <v>0</v>
      </c>
      <c r="L7" s="28">
        <v>0</v>
      </c>
      <c r="M7" s="28">
        <v>0</v>
      </c>
      <c r="N7" s="29">
        <f>AVERAGE(L7:M7)</f>
        <v>0</v>
      </c>
      <c r="O7" s="28">
        <v>0</v>
      </c>
      <c r="P7" s="28">
        <v>0</v>
      </c>
      <c r="Q7" s="29">
        <f>AVERAGE(O7:P7)</f>
        <v>0</v>
      </c>
      <c r="R7" s="28">
        <v>0</v>
      </c>
      <c r="S7" s="28">
        <v>0</v>
      </c>
      <c r="T7" s="29">
        <f>AVERAGE(R7:S7)</f>
        <v>0</v>
      </c>
      <c r="U7" s="30">
        <f t="shared" si="0"/>
        <v>0</v>
      </c>
      <c r="V7" s="9"/>
      <c r="W7" s="9"/>
      <c r="X7" s="6"/>
      <c r="Y7" s="6"/>
      <c r="Z7" s="7"/>
    </row>
    <row r="8" spans="1:26" ht="15.75" customHeight="1" x14ac:dyDescent="0.25">
      <c r="A8" s="54" t="s">
        <v>787</v>
      </c>
      <c r="B8" s="49" t="s">
        <v>788</v>
      </c>
      <c r="C8" s="2" t="s">
        <v>15</v>
      </c>
      <c r="D8" s="32">
        <v>401</v>
      </c>
      <c r="E8" s="49"/>
      <c r="F8" s="28">
        <v>0</v>
      </c>
      <c r="G8" s="28">
        <v>0</v>
      </c>
      <c r="H8" s="29">
        <f>AVERAGE(F8:G8)</f>
        <v>0</v>
      </c>
      <c r="I8" s="28">
        <v>0</v>
      </c>
      <c r="J8" s="28">
        <v>0</v>
      </c>
      <c r="K8" s="29">
        <f>AVERAGE(I8:J8)</f>
        <v>0</v>
      </c>
      <c r="L8" s="28">
        <v>0</v>
      </c>
      <c r="M8" s="28">
        <v>0</v>
      </c>
      <c r="N8" s="29">
        <f>AVERAGE(L8:M8)</f>
        <v>0</v>
      </c>
      <c r="O8" s="28">
        <v>0</v>
      </c>
      <c r="P8" s="28">
        <v>0</v>
      </c>
      <c r="Q8" s="29">
        <f>AVERAGE(O8:P8)</f>
        <v>0</v>
      </c>
      <c r="R8" s="28">
        <v>0</v>
      </c>
      <c r="S8" s="28">
        <v>0</v>
      </c>
      <c r="T8" s="29">
        <f>AVERAGE(R8:S8)</f>
        <v>0</v>
      </c>
      <c r="U8" s="30">
        <f t="shared" si="0"/>
        <v>0</v>
      </c>
      <c r="V8" s="7"/>
      <c r="W8" s="7"/>
      <c r="X8" s="6"/>
      <c r="Y8" s="6"/>
      <c r="Z8" s="7"/>
    </row>
    <row r="9" spans="1:26" ht="15.75" customHeight="1" x14ac:dyDescent="0.25">
      <c r="A9" s="54" t="s">
        <v>802</v>
      </c>
      <c r="B9" s="49" t="s">
        <v>803</v>
      </c>
      <c r="C9" s="2" t="s">
        <v>15</v>
      </c>
      <c r="D9" s="32">
        <v>401</v>
      </c>
      <c r="E9" s="49"/>
      <c r="F9" s="28">
        <v>0</v>
      </c>
      <c r="G9" s="28">
        <v>0</v>
      </c>
      <c r="H9" s="29">
        <f>AVERAGE(F9:G9)</f>
        <v>0</v>
      </c>
      <c r="I9" s="28">
        <v>0</v>
      </c>
      <c r="J9" s="28">
        <v>0</v>
      </c>
      <c r="K9" s="29">
        <f>AVERAGE(I9:J9)</f>
        <v>0</v>
      </c>
      <c r="L9" s="28">
        <v>0</v>
      </c>
      <c r="M9" s="28">
        <v>0</v>
      </c>
      <c r="N9" s="29">
        <f>AVERAGE(L9:M9)</f>
        <v>0</v>
      </c>
      <c r="O9" s="28">
        <v>0</v>
      </c>
      <c r="P9" s="28">
        <v>0</v>
      </c>
      <c r="Q9" s="29">
        <f>AVERAGE(O9:P9)</f>
        <v>0</v>
      </c>
      <c r="R9" s="28">
        <v>0</v>
      </c>
      <c r="S9" s="28">
        <v>0</v>
      </c>
      <c r="T9" s="29">
        <f>AVERAGE(R9:S9)</f>
        <v>0</v>
      </c>
      <c r="U9" s="30">
        <f t="shared" si="0"/>
        <v>0</v>
      </c>
      <c r="V9" s="6"/>
      <c r="W9" s="6"/>
      <c r="X9" s="10"/>
      <c r="Y9" s="8"/>
      <c r="Z9" s="7"/>
    </row>
    <row r="10" spans="1:26" ht="15.75" customHeight="1" x14ac:dyDescent="0.25">
      <c r="A10" s="55" t="s">
        <v>800</v>
      </c>
      <c r="B10" s="39" t="s">
        <v>801</v>
      </c>
      <c r="C10" s="2" t="s">
        <v>15</v>
      </c>
      <c r="D10" s="32">
        <v>401</v>
      </c>
      <c r="E10" s="32"/>
      <c r="F10" s="28">
        <v>0</v>
      </c>
      <c r="G10" s="28">
        <v>0</v>
      </c>
      <c r="H10" s="29">
        <f>AVERAGE(F10:G10)</f>
        <v>0</v>
      </c>
      <c r="I10" s="28">
        <v>0</v>
      </c>
      <c r="J10" s="28">
        <v>0</v>
      </c>
      <c r="K10" s="29">
        <f>AVERAGE(I10:J10)</f>
        <v>0</v>
      </c>
      <c r="L10" s="28">
        <v>0</v>
      </c>
      <c r="M10" s="28">
        <v>0</v>
      </c>
      <c r="N10" s="29">
        <f>AVERAGE(L10:M10)</f>
        <v>0</v>
      </c>
      <c r="O10" s="28">
        <v>0</v>
      </c>
      <c r="P10" s="28">
        <v>0</v>
      </c>
      <c r="Q10" s="29">
        <f>AVERAGE(O10:P10)</f>
        <v>0</v>
      </c>
      <c r="R10" s="28">
        <v>0</v>
      </c>
      <c r="S10" s="28">
        <v>0</v>
      </c>
      <c r="T10" s="29">
        <f>AVERAGE(R10:S10)</f>
        <v>0</v>
      </c>
      <c r="U10" s="30">
        <f t="shared" si="0"/>
        <v>0</v>
      </c>
      <c r="V10" s="7"/>
      <c r="W10" s="7"/>
      <c r="X10" s="7"/>
      <c r="Y10" s="7"/>
      <c r="Z10" s="7"/>
    </row>
    <row r="11" spans="1:26" ht="15.75" customHeight="1" x14ac:dyDescent="0.25">
      <c r="A11" s="54" t="s">
        <v>794</v>
      </c>
      <c r="B11" s="32" t="s">
        <v>795</v>
      </c>
      <c r="C11" s="2" t="s">
        <v>15</v>
      </c>
      <c r="D11" s="32">
        <v>401</v>
      </c>
      <c r="E11" s="32"/>
      <c r="F11" s="28">
        <v>0</v>
      </c>
      <c r="G11" s="28">
        <v>0</v>
      </c>
      <c r="H11" s="29">
        <f>AVERAGE(F11:G11)</f>
        <v>0</v>
      </c>
      <c r="I11" s="28">
        <v>0</v>
      </c>
      <c r="J11" s="28">
        <v>0</v>
      </c>
      <c r="K11" s="29">
        <f>AVERAGE(I11:J11)</f>
        <v>0</v>
      </c>
      <c r="L11" s="28">
        <v>0</v>
      </c>
      <c r="M11" s="28">
        <v>0</v>
      </c>
      <c r="N11" s="29">
        <f>AVERAGE(L11:M11)</f>
        <v>0</v>
      </c>
      <c r="O11" s="28">
        <v>0</v>
      </c>
      <c r="P11" s="28">
        <v>0</v>
      </c>
      <c r="Q11" s="29">
        <f>AVERAGE(O11:P11)</f>
        <v>0</v>
      </c>
      <c r="R11" s="28">
        <v>0</v>
      </c>
      <c r="S11" s="28">
        <v>0</v>
      </c>
      <c r="T11" s="29">
        <f>AVERAGE(R11:S11)</f>
        <v>0</v>
      </c>
      <c r="U11" s="30">
        <f t="shared" si="0"/>
        <v>0</v>
      </c>
      <c r="V11" s="8"/>
      <c r="W11" s="8"/>
      <c r="X11" s="6"/>
      <c r="Y11" s="6"/>
      <c r="Z11" s="7"/>
    </row>
    <row r="12" spans="1:26" ht="15.75" customHeight="1" x14ac:dyDescent="0.25">
      <c r="A12" s="54" t="s">
        <v>792</v>
      </c>
      <c r="B12" s="49" t="s">
        <v>806</v>
      </c>
      <c r="C12" s="2" t="s">
        <v>15</v>
      </c>
      <c r="D12" s="32">
        <v>401</v>
      </c>
      <c r="E12" s="49"/>
      <c r="F12" s="28">
        <v>0</v>
      </c>
      <c r="G12" s="28">
        <v>0</v>
      </c>
      <c r="H12" s="29">
        <f>AVERAGE(F12:G12)</f>
        <v>0</v>
      </c>
      <c r="I12" s="28">
        <v>0</v>
      </c>
      <c r="J12" s="28">
        <v>0</v>
      </c>
      <c r="K12" s="29">
        <f>AVERAGE(I12:J12)</f>
        <v>0</v>
      </c>
      <c r="L12" s="28">
        <v>0</v>
      </c>
      <c r="M12" s="28">
        <v>0</v>
      </c>
      <c r="N12" s="29">
        <f>AVERAGE(L12:M12)</f>
        <v>0</v>
      </c>
      <c r="O12" s="28">
        <v>0</v>
      </c>
      <c r="P12" s="28">
        <v>0</v>
      </c>
      <c r="Q12" s="29">
        <f>AVERAGE(O12:P12)</f>
        <v>0</v>
      </c>
      <c r="R12" s="28">
        <v>0</v>
      </c>
      <c r="S12" s="28">
        <v>0</v>
      </c>
      <c r="T12" s="29">
        <f>AVERAGE(R12:S12)</f>
        <v>0</v>
      </c>
      <c r="U12" s="30">
        <f t="shared" si="0"/>
        <v>0</v>
      </c>
      <c r="V12" s="8"/>
      <c r="W12" s="6"/>
      <c r="X12" s="6"/>
      <c r="Y12" s="10"/>
      <c r="Z12" s="7"/>
    </row>
    <row r="13" spans="1:26" ht="15.75" customHeight="1" x14ac:dyDescent="0.25">
      <c r="A13" s="54" t="s">
        <v>792</v>
      </c>
      <c r="B13" s="32" t="s">
        <v>793</v>
      </c>
      <c r="C13" s="2" t="s">
        <v>15</v>
      </c>
      <c r="D13" s="32">
        <v>401</v>
      </c>
      <c r="E13" s="32"/>
      <c r="F13" s="28">
        <v>0</v>
      </c>
      <c r="G13" s="28">
        <v>0</v>
      </c>
      <c r="H13" s="29">
        <f>AVERAGE(F13:G13)</f>
        <v>0</v>
      </c>
      <c r="I13" s="28">
        <v>0</v>
      </c>
      <c r="J13" s="28">
        <v>0</v>
      </c>
      <c r="K13" s="29">
        <f>AVERAGE(I13:J13)</f>
        <v>0</v>
      </c>
      <c r="L13" s="28">
        <v>0</v>
      </c>
      <c r="M13" s="28">
        <v>0</v>
      </c>
      <c r="N13" s="29">
        <f>AVERAGE(L13:M13)</f>
        <v>0</v>
      </c>
      <c r="O13" s="28">
        <v>0</v>
      </c>
      <c r="P13" s="28">
        <v>0</v>
      </c>
      <c r="Q13" s="29">
        <f>AVERAGE(O13:P13)</f>
        <v>0</v>
      </c>
      <c r="R13" s="28">
        <v>0</v>
      </c>
      <c r="S13" s="28">
        <v>0</v>
      </c>
      <c r="T13" s="29">
        <f>AVERAGE(R13:S13)</f>
        <v>0</v>
      </c>
      <c r="U13" s="30">
        <f t="shared" si="0"/>
        <v>0</v>
      </c>
      <c r="V13" s="8"/>
      <c r="W13" s="7"/>
      <c r="X13" s="7"/>
      <c r="Y13" s="8"/>
      <c r="Z13" s="7"/>
    </row>
    <row r="14" spans="1:26" ht="15.75" customHeight="1" x14ac:dyDescent="0.25">
      <c r="A14" s="54" t="s">
        <v>811</v>
      </c>
      <c r="B14" s="49" t="s">
        <v>812</v>
      </c>
      <c r="C14" s="2" t="s">
        <v>15</v>
      </c>
      <c r="D14" s="32">
        <v>401</v>
      </c>
      <c r="E14" s="49"/>
      <c r="F14" s="28">
        <v>0</v>
      </c>
      <c r="G14" s="28">
        <v>0</v>
      </c>
      <c r="H14" s="29">
        <f>AVERAGE(F14:G14)</f>
        <v>0</v>
      </c>
      <c r="I14" s="28">
        <v>0</v>
      </c>
      <c r="J14" s="28">
        <v>0</v>
      </c>
      <c r="K14" s="29">
        <f>AVERAGE(I14:J14)</f>
        <v>0</v>
      </c>
      <c r="L14" s="28">
        <v>0</v>
      </c>
      <c r="M14" s="28">
        <v>0</v>
      </c>
      <c r="N14" s="29">
        <f>AVERAGE(L14:M14)</f>
        <v>0</v>
      </c>
      <c r="O14" s="28">
        <v>0</v>
      </c>
      <c r="P14" s="28">
        <v>0</v>
      </c>
      <c r="Q14" s="29">
        <f>AVERAGE(O14:P14)</f>
        <v>0</v>
      </c>
      <c r="R14" s="28">
        <v>0</v>
      </c>
      <c r="S14" s="28">
        <v>0</v>
      </c>
      <c r="T14" s="29">
        <f>AVERAGE(R14:S14)</f>
        <v>0</v>
      </c>
      <c r="U14" s="30">
        <f t="shared" si="0"/>
        <v>0</v>
      </c>
      <c r="V14" s="8"/>
      <c r="W14" s="8"/>
      <c r="X14" s="7"/>
      <c r="Y14" s="7"/>
      <c r="Z14" s="7"/>
    </row>
    <row r="15" spans="1:26" ht="15.75" customHeight="1" x14ac:dyDescent="0.25">
      <c r="A15" s="54" t="s">
        <v>789</v>
      </c>
      <c r="B15" s="32" t="s">
        <v>790</v>
      </c>
      <c r="C15" s="2" t="s">
        <v>15</v>
      </c>
      <c r="D15" s="32">
        <v>401</v>
      </c>
      <c r="E15" s="32"/>
      <c r="F15" s="28">
        <v>0</v>
      </c>
      <c r="G15" s="28">
        <v>0</v>
      </c>
      <c r="H15" s="29">
        <f>AVERAGE(F15:G15)</f>
        <v>0</v>
      </c>
      <c r="I15" s="28">
        <v>0</v>
      </c>
      <c r="J15" s="28">
        <v>0</v>
      </c>
      <c r="K15" s="29">
        <f>AVERAGE(I15:J15)</f>
        <v>0</v>
      </c>
      <c r="L15" s="28">
        <v>0</v>
      </c>
      <c r="M15" s="28">
        <v>0</v>
      </c>
      <c r="N15" s="29">
        <f>AVERAGE(L15:M15)</f>
        <v>0</v>
      </c>
      <c r="O15" s="28">
        <v>0</v>
      </c>
      <c r="P15" s="28">
        <v>0</v>
      </c>
      <c r="Q15" s="29">
        <f>AVERAGE(O15:P15)</f>
        <v>0</v>
      </c>
      <c r="R15" s="28">
        <v>0</v>
      </c>
      <c r="S15" s="28">
        <v>0</v>
      </c>
      <c r="T15" s="29">
        <f>AVERAGE(R15:S15)</f>
        <v>0</v>
      </c>
      <c r="U15" s="30">
        <f t="shared" si="0"/>
        <v>0</v>
      </c>
      <c r="V15" s="10"/>
      <c r="W15" s="8"/>
      <c r="X15" s="8"/>
      <c r="Y15" s="6"/>
      <c r="Z15" s="7"/>
    </row>
    <row r="16" spans="1:26" ht="15.75" customHeight="1" x14ac:dyDescent="0.25">
      <c r="A16" s="54" t="s">
        <v>807</v>
      </c>
      <c r="B16" s="49" t="s">
        <v>808</v>
      </c>
      <c r="C16" s="2" t="s">
        <v>15</v>
      </c>
      <c r="D16" s="32">
        <v>401</v>
      </c>
      <c r="E16" s="49"/>
      <c r="F16" s="28">
        <v>0</v>
      </c>
      <c r="G16" s="28">
        <v>0</v>
      </c>
      <c r="H16" s="29">
        <f>AVERAGE(F16:G16)</f>
        <v>0</v>
      </c>
      <c r="I16" s="28">
        <v>0</v>
      </c>
      <c r="J16" s="28">
        <v>0</v>
      </c>
      <c r="K16" s="29">
        <f>AVERAGE(I16:J16)</f>
        <v>0</v>
      </c>
      <c r="L16" s="28">
        <v>0</v>
      </c>
      <c r="M16" s="28">
        <v>0</v>
      </c>
      <c r="N16" s="29">
        <f>AVERAGE(L16:M16)</f>
        <v>0</v>
      </c>
      <c r="O16" s="28">
        <v>0</v>
      </c>
      <c r="P16" s="28">
        <v>0</v>
      </c>
      <c r="Q16" s="29">
        <f>AVERAGE(O16:P16)</f>
        <v>0</v>
      </c>
      <c r="R16" s="28">
        <v>0</v>
      </c>
      <c r="S16" s="28">
        <v>0</v>
      </c>
      <c r="T16" s="29">
        <f>AVERAGE(R16:S16)</f>
        <v>0</v>
      </c>
      <c r="U16" s="30">
        <f t="shared" si="0"/>
        <v>0</v>
      </c>
      <c r="V16" s="6"/>
      <c r="W16" s="6"/>
      <c r="X16" s="7"/>
      <c r="Y16" s="7"/>
      <c r="Z16" s="7"/>
    </row>
    <row r="17" spans="1:26" ht="15.75" customHeight="1" x14ac:dyDescent="0.25">
      <c r="A17" s="54" t="s">
        <v>798</v>
      </c>
      <c r="B17" s="32" t="s">
        <v>799</v>
      </c>
      <c r="C17" s="2" t="s">
        <v>15</v>
      </c>
      <c r="D17" s="32">
        <v>401</v>
      </c>
      <c r="E17" s="32"/>
      <c r="F17" s="28">
        <v>0</v>
      </c>
      <c r="G17" s="28">
        <v>0</v>
      </c>
      <c r="H17" s="29">
        <f>AVERAGE(F17:G17)</f>
        <v>0</v>
      </c>
      <c r="I17" s="28">
        <v>0</v>
      </c>
      <c r="J17" s="28">
        <v>0</v>
      </c>
      <c r="K17" s="29">
        <f>AVERAGE(I17:J17)</f>
        <v>0</v>
      </c>
      <c r="L17" s="28">
        <v>0</v>
      </c>
      <c r="M17" s="28">
        <v>0</v>
      </c>
      <c r="N17" s="29">
        <f>AVERAGE(L17:M17)</f>
        <v>0</v>
      </c>
      <c r="O17" s="28">
        <v>0</v>
      </c>
      <c r="P17" s="28">
        <v>0</v>
      </c>
      <c r="Q17" s="29">
        <f>AVERAGE(O17:P17)</f>
        <v>0</v>
      </c>
      <c r="R17" s="28">
        <v>0</v>
      </c>
      <c r="S17" s="28">
        <v>0</v>
      </c>
      <c r="T17" s="29">
        <f>AVERAGE(R17:S17)</f>
        <v>0</v>
      </c>
      <c r="U17" s="30">
        <f t="shared" si="0"/>
        <v>0</v>
      </c>
      <c r="V17" s="6"/>
      <c r="W17" s="6"/>
      <c r="X17" s="6"/>
      <c r="Y17" s="6"/>
      <c r="Z17" s="7"/>
    </row>
    <row r="18" spans="1:26" ht="15.75" customHeight="1" x14ac:dyDescent="0.25">
      <c r="A18" s="54" t="s">
        <v>804</v>
      </c>
      <c r="B18" s="49" t="s">
        <v>805</v>
      </c>
      <c r="C18" s="2" t="s">
        <v>15</v>
      </c>
      <c r="D18" s="32">
        <v>401</v>
      </c>
      <c r="E18" s="49"/>
      <c r="F18" s="28">
        <v>0</v>
      </c>
      <c r="G18" s="28">
        <v>0</v>
      </c>
      <c r="H18" s="29">
        <f>AVERAGE(F18:G18)</f>
        <v>0</v>
      </c>
      <c r="I18" s="28">
        <v>0</v>
      </c>
      <c r="J18" s="28">
        <v>0</v>
      </c>
      <c r="K18" s="29">
        <f>AVERAGE(I18:J18)</f>
        <v>0</v>
      </c>
      <c r="L18" s="28">
        <v>0</v>
      </c>
      <c r="M18" s="28">
        <v>0</v>
      </c>
      <c r="N18" s="29">
        <f>AVERAGE(L18:M18)</f>
        <v>0</v>
      </c>
      <c r="O18" s="28">
        <v>0</v>
      </c>
      <c r="P18" s="28">
        <v>0</v>
      </c>
      <c r="Q18" s="29">
        <f>AVERAGE(O18:P18)</f>
        <v>0</v>
      </c>
      <c r="R18" s="28">
        <v>0</v>
      </c>
      <c r="S18" s="28">
        <v>0</v>
      </c>
      <c r="T18" s="29">
        <f>AVERAGE(R18:S18)</f>
        <v>0</v>
      </c>
      <c r="U18" s="30">
        <f t="shared" si="0"/>
        <v>0</v>
      </c>
    </row>
    <row r="19" spans="1:26" ht="15.75" customHeight="1" x14ac:dyDescent="0.25">
      <c r="A19" s="54" t="s">
        <v>796</v>
      </c>
      <c r="B19" s="32" t="s">
        <v>797</v>
      </c>
      <c r="C19" s="2" t="s">
        <v>15</v>
      </c>
      <c r="D19" s="32">
        <v>401</v>
      </c>
      <c r="E19" s="32"/>
      <c r="F19" s="28">
        <v>0</v>
      </c>
      <c r="G19" s="28">
        <v>0</v>
      </c>
      <c r="H19" s="29">
        <f>AVERAGE(F19:G19)</f>
        <v>0</v>
      </c>
      <c r="I19" s="28">
        <v>0</v>
      </c>
      <c r="J19" s="28">
        <v>0</v>
      </c>
      <c r="K19" s="29">
        <f>AVERAGE(I19:J19)</f>
        <v>0</v>
      </c>
      <c r="L19" s="28">
        <v>0</v>
      </c>
      <c r="M19" s="28">
        <v>0</v>
      </c>
      <c r="N19" s="29">
        <f>AVERAGE(L19:M19)</f>
        <v>0</v>
      </c>
      <c r="O19" s="28">
        <v>0</v>
      </c>
      <c r="P19" s="28">
        <v>0</v>
      </c>
      <c r="Q19" s="29">
        <f>AVERAGE(O19:P19)</f>
        <v>0</v>
      </c>
      <c r="R19" s="28">
        <v>0</v>
      </c>
      <c r="S19" s="28">
        <v>0</v>
      </c>
      <c r="T19" s="29">
        <f>AVERAGE(R19:S19)</f>
        <v>0</v>
      </c>
      <c r="U19" s="30">
        <f t="shared" si="0"/>
        <v>0</v>
      </c>
    </row>
  </sheetData>
  <sortState xmlns:xlrd2="http://schemas.microsoft.com/office/spreadsheetml/2017/richdata2" ref="A3:U19">
    <sortCondition ref="D1:D19"/>
  </sortState>
  <mergeCells count="5">
    <mergeCell ref="F1:H1"/>
    <mergeCell ref="I1:K1"/>
    <mergeCell ref="L1:N1"/>
    <mergeCell ref="O1:Q1"/>
    <mergeCell ref="R1:T1"/>
  </mergeCells>
  <conditionalFormatting sqref="F3:G19">
    <cfRule type="cellIs" dxfId="161" priority="53" operator="lessThan">
      <formula>7.9</formula>
    </cfRule>
  </conditionalFormatting>
  <conditionalFormatting sqref="F3:G19">
    <cfRule type="cellIs" dxfId="160" priority="54" operator="lessThan">
      <formula>7.4</formula>
    </cfRule>
  </conditionalFormatting>
  <conditionalFormatting sqref="F5:G6">
    <cfRule type="cellIs" dxfId="159" priority="55" operator="lessThan">
      <formula>6.9</formula>
    </cfRule>
  </conditionalFormatting>
  <conditionalFormatting sqref="H3:H19">
    <cfRule type="cellIs" dxfId="158" priority="56" operator="lessThan">
      <formula>7.9</formula>
    </cfRule>
    <cfRule type="cellIs" dxfId="157" priority="65" operator="lessThan">
      <formula>6.9</formula>
    </cfRule>
    <cfRule type="cellIs" dxfId="156" priority="66" operator="lessThan">
      <formula>7.4</formula>
    </cfRule>
    <cfRule type="cellIs" dxfId="155" priority="67" operator="lessThan">
      <formula>7.9</formula>
    </cfRule>
  </conditionalFormatting>
  <conditionalFormatting sqref="H3:H19">
    <cfRule type="cellIs" dxfId="154" priority="57" operator="lessThan">
      <formula>6.9</formula>
    </cfRule>
    <cfRule type="cellIs" dxfId="153" priority="58" operator="lessThan">
      <formula>7.4</formula>
    </cfRule>
    <cfRule type="cellIs" dxfId="152" priority="59" operator="lessThan">
      <formula>7.9</formula>
    </cfRule>
    <cfRule type="cellIs" dxfId="151" priority="60" operator="lessThan">
      <formula>6.9</formula>
    </cfRule>
    <cfRule type="cellIs" dxfId="150" priority="61" operator="lessThan">
      <formula>7.9</formula>
    </cfRule>
    <cfRule type="cellIs" dxfId="149" priority="62" operator="lessThan">
      <formula>7.4</formula>
    </cfRule>
    <cfRule type="cellIs" dxfId="148" priority="63" operator="lessThan">
      <formula>6.9</formula>
    </cfRule>
    <cfRule type="cellIs" dxfId="147" priority="64" operator="lessThan">
      <formula>7.9</formula>
    </cfRule>
  </conditionalFormatting>
  <conditionalFormatting sqref="K3:K19">
    <cfRule type="cellIs" dxfId="146" priority="68" operator="lessThan">
      <formula>7.9</formula>
    </cfRule>
    <cfRule type="cellIs" dxfId="145" priority="69" operator="lessThan">
      <formula>6.9</formula>
    </cfRule>
    <cfRule type="cellIs" dxfId="144" priority="70" operator="lessThan">
      <formula>7.4</formula>
    </cfRule>
    <cfRule type="cellIs" dxfId="143" priority="71" operator="lessThan">
      <formula>7.9</formula>
    </cfRule>
    <cfRule type="cellIs" dxfId="142" priority="72" operator="lessThan">
      <formula>6.9</formula>
    </cfRule>
    <cfRule type="cellIs" dxfId="141" priority="73" operator="lessThan">
      <formula>7.9</formula>
    </cfRule>
    <cfRule type="cellIs" dxfId="140" priority="74" operator="lessThan">
      <formula>7.4</formula>
    </cfRule>
    <cfRule type="cellIs" dxfId="139" priority="75" operator="lessThan">
      <formula>6.9</formula>
    </cfRule>
    <cfRule type="cellIs" dxfId="138" priority="76" operator="lessThan">
      <formula>7.9</formula>
    </cfRule>
    <cfRule type="cellIs" dxfId="137" priority="77" operator="lessThan">
      <formula>6.9</formula>
    </cfRule>
    <cfRule type="cellIs" dxfId="136" priority="78" operator="lessThan">
      <formula>7.4</formula>
    </cfRule>
    <cfRule type="cellIs" dxfId="135" priority="79" operator="lessThan">
      <formula>6.9</formula>
    </cfRule>
    <cfRule type="cellIs" dxfId="134" priority="80" operator="lessThan">
      <formula>7.4</formula>
    </cfRule>
    <cfRule type="cellIs" dxfId="133" priority="81" operator="lessThan">
      <formula>7.9</formula>
    </cfRule>
  </conditionalFormatting>
  <conditionalFormatting sqref="I3:J19">
    <cfRule type="cellIs" dxfId="132" priority="50" operator="lessThan">
      <formula>7.9</formula>
    </cfRule>
  </conditionalFormatting>
  <conditionalFormatting sqref="I3:J19">
    <cfRule type="cellIs" dxfId="131" priority="51" operator="lessThan">
      <formula>7.4</formula>
    </cfRule>
  </conditionalFormatting>
  <conditionalFormatting sqref="I5:J6">
    <cfRule type="cellIs" dxfId="130" priority="52" operator="lessThan">
      <formula>6.9</formula>
    </cfRule>
  </conditionalFormatting>
  <conditionalFormatting sqref="L3:M19">
    <cfRule type="cellIs" dxfId="129" priority="21" operator="lessThan">
      <formula>7.9</formula>
    </cfRule>
  </conditionalFormatting>
  <conditionalFormatting sqref="L3:M19">
    <cfRule type="cellIs" dxfId="128" priority="22" operator="lessThan">
      <formula>7.4</formula>
    </cfRule>
  </conditionalFormatting>
  <conditionalFormatting sqref="L5:M6">
    <cfRule type="cellIs" dxfId="127" priority="23" operator="lessThan">
      <formula>6.9</formula>
    </cfRule>
  </conditionalFormatting>
  <conditionalFormatting sqref="N3:N19">
    <cfRule type="cellIs" dxfId="126" priority="24" operator="lessThan">
      <formula>7.9</formula>
    </cfRule>
    <cfRule type="cellIs" dxfId="125" priority="33" operator="lessThan">
      <formula>6.9</formula>
    </cfRule>
    <cfRule type="cellIs" dxfId="124" priority="34" operator="lessThan">
      <formula>7.4</formula>
    </cfRule>
    <cfRule type="cellIs" dxfId="123" priority="35" operator="lessThan">
      <formula>7.9</formula>
    </cfRule>
  </conditionalFormatting>
  <conditionalFormatting sqref="N3:N19">
    <cfRule type="cellIs" dxfId="122" priority="25" operator="lessThan">
      <formula>6.9</formula>
    </cfRule>
    <cfRule type="cellIs" dxfId="121" priority="26" operator="lessThan">
      <formula>7.4</formula>
    </cfRule>
    <cfRule type="cellIs" dxfId="120" priority="27" operator="lessThan">
      <formula>7.9</formula>
    </cfRule>
    <cfRule type="cellIs" dxfId="119" priority="28" operator="lessThan">
      <formula>6.9</formula>
    </cfRule>
    <cfRule type="cellIs" dxfId="118" priority="29" operator="lessThan">
      <formula>7.9</formula>
    </cfRule>
    <cfRule type="cellIs" dxfId="117" priority="30" operator="lessThan">
      <formula>7.4</formula>
    </cfRule>
    <cfRule type="cellIs" dxfId="116" priority="31" operator="lessThan">
      <formula>6.9</formula>
    </cfRule>
    <cfRule type="cellIs" dxfId="115" priority="32" operator="lessThan">
      <formula>7.9</formula>
    </cfRule>
  </conditionalFormatting>
  <conditionalFormatting sqref="Q3:Q19">
    <cfRule type="cellIs" dxfId="114" priority="36" operator="lessThan">
      <formula>7.9</formula>
    </cfRule>
    <cfRule type="cellIs" dxfId="113" priority="37" operator="lessThan">
      <formula>6.9</formula>
    </cfRule>
    <cfRule type="cellIs" dxfId="112" priority="38" operator="lessThan">
      <formula>7.4</formula>
    </cfRule>
    <cfRule type="cellIs" dxfId="111" priority="39" operator="lessThan">
      <formula>7.9</formula>
    </cfRule>
    <cfRule type="cellIs" dxfId="110" priority="40" operator="lessThan">
      <formula>6.9</formula>
    </cfRule>
    <cfRule type="cellIs" dxfId="109" priority="41" operator="lessThan">
      <formula>7.9</formula>
    </cfRule>
    <cfRule type="cellIs" dxfId="108" priority="42" operator="lessThan">
      <formula>7.4</formula>
    </cfRule>
    <cfRule type="cellIs" dxfId="107" priority="43" operator="lessThan">
      <formula>6.9</formula>
    </cfRule>
    <cfRule type="cellIs" dxfId="106" priority="44" operator="lessThan">
      <formula>7.9</formula>
    </cfRule>
    <cfRule type="cellIs" dxfId="105" priority="45" operator="lessThan">
      <formula>6.9</formula>
    </cfRule>
    <cfRule type="cellIs" dxfId="104" priority="46" operator="lessThan">
      <formula>7.4</formula>
    </cfRule>
    <cfRule type="cellIs" dxfId="103" priority="47" operator="lessThan">
      <formula>6.9</formula>
    </cfRule>
    <cfRule type="cellIs" dxfId="102" priority="48" operator="lessThan">
      <formula>7.4</formula>
    </cfRule>
    <cfRule type="cellIs" dxfId="101" priority="49" operator="lessThan">
      <formula>7.9</formula>
    </cfRule>
  </conditionalFormatting>
  <conditionalFormatting sqref="O3:P19">
    <cfRule type="cellIs" dxfId="100" priority="18" operator="lessThan">
      <formula>7.9</formula>
    </cfRule>
  </conditionalFormatting>
  <conditionalFormatting sqref="O3:P19">
    <cfRule type="cellIs" dxfId="99" priority="19" operator="lessThan">
      <formula>7.4</formula>
    </cfRule>
  </conditionalFormatting>
  <conditionalFormatting sqref="O5:P6">
    <cfRule type="cellIs" dxfId="98" priority="20" operator="lessThan">
      <formula>6.9</formula>
    </cfRule>
  </conditionalFormatting>
  <conditionalFormatting sqref="T3:T19">
    <cfRule type="cellIs" dxfId="97" priority="4" operator="lessThan">
      <formula>7.9</formula>
    </cfRule>
    <cfRule type="cellIs" dxfId="96" priority="5" operator="lessThan">
      <formula>6.9</formula>
    </cfRule>
    <cfRule type="cellIs" dxfId="95" priority="6" operator="lessThan">
      <formula>7.4</formula>
    </cfRule>
    <cfRule type="cellIs" dxfId="94" priority="7" operator="lessThan">
      <formula>7.9</formula>
    </cfRule>
    <cfRule type="cellIs" dxfId="93" priority="8" operator="lessThan">
      <formula>6.9</formula>
    </cfRule>
    <cfRule type="cellIs" dxfId="92" priority="9" operator="lessThan">
      <formula>7.9</formula>
    </cfRule>
    <cfRule type="cellIs" dxfId="91" priority="10" operator="lessThan">
      <formula>7.4</formula>
    </cfRule>
    <cfRule type="cellIs" dxfId="90" priority="11" operator="lessThan">
      <formula>6.9</formula>
    </cfRule>
    <cfRule type="cellIs" dxfId="89" priority="12" operator="lessThan">
      <formula>7.9</formula>
    </cfRule>
    <cfRule type="cellIs" dxfId="88" priority="13" operator="lessThan">
      <formula>6.9</formula>
    </cfRule>
    <cfRule type="cellIs" dxfId="87" priority="14" operator="lessThan">
      <formula>7.4</formula>
    </cfRule>
    <cfRule type="cellIs" dxfId="86" priority="15" operator="lessThan">
      <formula>6.9</formula>
    </cfRule>
    <cfRule type="cellIs" dxfId="85" priority="16" operator="lessThan">
      <formula>7.4</formula>
    </cfRule>
    <cfRule type="cellIs" dxfId="84" priority="17" operator="lessThan">
      <formula>7.9</formula>
    </cfRule>
  </conditionalFormatting>
  <conditionalFormatting sqref="R3:S19">
    <cfRule type="cellIs" dxfId="83" priority="1" operator="lessThan">
      <formula>7.9</formula>
    </cfRule>
  </conditionalFormatting>
  <conditionalFormatting sqref="R3:S19">
    <cfRule type="cellIs" dxfId="82" priority="2" operator="lessThan">
      <formula>7.4</formula>
    </cfRule>
  </conditionalFormatting>
  <conditionalFormatting sqref="R5:S6">
    <cfRule type="cellIs" dxfId="81" priority="3" operator="lessThan">
      <formula>6.9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8"/>
  <sheetViews>
    <sheetView workbookViewId="0">
      <selection activeCell="A19" sqref="A19:XFD568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7.28515625" bestFit="1" customWidth="1"/>
    <col min="7" max="7" width="7.5703125" bestFit="1" customWidth="1"/>
    <col min="8" max="8" width="5.5703125" bestFit="1" customWidth="1"/>
    <col min="9" max="9" width="7.28515625" bestFit="1" customWidth="1"/>
    <col min="10" max="10" width="7.5703125" bestFit="1" customWidth="1"/>
    <col min="11" max="11" width="5.5703125" bestFit="1" customWidth="1"/>
    <col min="12" max="12" width="7.28515625" bestFit="1" customWidth="1"/>
    <col min="13" max="13" width="7.5703125" bestFit="1" customWidth="1"/>
    <col min="14" max="14" width="5.5703125" bestFit="1" customWidth="1"/>
    <col min="15" max="15" width="7.28515625" bestFit="1" customWidth="1"/>
    <col min="16" max="16" width="7.5703125" bestFit="1" customWidth="1"/>
    <col min="17" max="17" width="5.5703125" bestFit="1" customWidth="1"/>
    <col min="18" max="18" width="7.28515625" bestFit="1" customWidth="1"/>
    <col min="19" max="19" width="7.5703125" bestFit="1" customWidth="1"/>
    <col min="20" max="20" width="5.5703125" bestFit="1" customWidth="1"/>
    <col min="22" max="26" width="3.140625" customWidth="1"/>
  </cols>
  <sheetData>
    <row r="1" spans="1:26" ht="59.25" x14ac:dyDescent="0.2">
      <c r="A1" s="56"/>
      <c r="B1" s="57"/>
      <c r="C1" s="33"/>
      <c r="D1" s="33"/>
      <c r="E1" s="33"/>
      <c r="F1" s="21" t="s">
        <v>0</v>
      </c>
      <c r="G1" s="22"/>
      <c r="H1" s="23"/>
      <c r="I1" s="21" t="s">
        <v>1</v>
      </c>
      <c r="J1" s="22"/>
      <c r="K1" s="23"/>
      <c r="L1" s="21" t="s">
        <v>122</v>
      </c>
      <c r="M1" s="22"/>
      <c r="N1" s="23"/>
      <c r="O1" s="21" t="s">
        <v>123</v>
      </c>
      <c r="P1" s="22"/>
      <c r="Q1" s="23"/>
      <c r="R1" s="21" t="s">
        <v>124</v>
      </c>
      <c r="S1" s="22"/>
      <c r="T1" s="23"/>
      <c r="U1" s="24" t="s">
        <v>2</v>
      </c>
      <c r="V1" s="11"/>
      <c r="W1" s="11"/>
      <c r="X1" s="11"/>
      <c r="Y1" s="11"/>
      <c r="Z1" s="11"/>
    </row>
    <row r="2" spans="1:26" x14ac:dyDescent="0.2">
      <c r="A2" s="52" t="s">
        <v>853</v>
      </c>
      <c r="B2" s="58" t="s">
        <v>854</v>
      </c>
      <c r="C2" s="25" t="s">
        <v>848</v>
      </c>
      <c r="D2" s="25" t="s">
        <v>849</v>
      </c>
      <c r="E2" s="25" t="s">
        <v>850</v>
      </c>
      <c r="F2" s="25" t="s">
        <v>754</v>
      </c>
      <c r="G2" s="25" t="s">
        <v>755</v>
      </c>
      <c r="H2" s="26" t="s">
        <v>11</v>
      </c>
      <c r="I2" s="25" t="s">
        <v>754</v>
      </c>
      <c r="J2" s="25" t="s">
        <v>755</v>
      </c>
      <c r="K2" s="26" t="s">
        <v>11</v>
      </c>
      <c r="L2" s="25" t="s">
        <v>754</v>
      </c>
      <c r="M2" s="25" t="s">
        <v>755</v>
      </c>
      <c r="N2" s="26" t="s">
        <v>11</v>
      </c>
      <c r="O2" s="25" t="s">
        <v>754</v>
      </c>
      <c r="P2" s="25" t="s">
        <v>755</v>
      </c>
      <c r="Q2" s="26" t="s">
        <v>11</v>
      </c>
      <c r="R2" s="25" t="s">
        <v>754</v>
      </c>
      <c r="S2" s="25" t="s">
        <v>755</v>
      </c>
      <c r="T2" s="26" t="s">
        <v>11</v>
      </c>
      <c r="U2" s="24" t="s">
        <v>12</v>
      </c>
      <c r="V2" s="5"/>
      <c r="W2" s="5"/>
      <c r="X2" s="5"/>
      <c r="Y2" s="5"/>
      <c r="Z2" s="5"/>
    </row>
    <row r="3" spans="1:26" ht="15.75" customHeight="1" x14ac:dyDescent="0.25">
      <c r="A3" s="59" t="s">
        <v>845</v>
      </c>
      <c r="B3" s="32" t="s">
        <v>861</v>
      </c>
      <c r="C3" s="2" t="s">
        <v>15</v>
      </c>
      <c r="D3" s="32">
        <v>601</v>
      </c>
      <c r="E3" s="32"/>
      <c r="F3" s="28">
        <v>0</v>
      </c>
      <c r="G3" s="28">
        <v>0</v>
      </c>
      <c r="H3" s="29">
        <f>AVERAGE(F3:G3)</f>
        <v>0</v>
      </c>
      <c r="I3" s="28">
        <v>0</v>
      </c>
      <c r="J3" s="28">
        <v>0</v>
      </c>
      <c r="K3" s="29">
        <f>AVERAGE(I3:J3)</f>
        <v>0</v>
      </c>
      <c r="L3" s="28">
        <v>0</v>
      </c>
      <c r="M3" s="28">
        <v>0</v>
      </c>
      <c r="N3" s="29">
        <f>AVERAGE(L3:M3)</f>
        <v>0</v>
      </c>
      <c r="O3" s="28">
        <v>0</v>
      </c>
      <c r="P3" s="28">
        <v>0</v>
      </c>
      <c r="Q3" s="29">
        <f>AVERAGE(O3:P3)</f>
        <v>0</v>
      </c>
      <c r="R3" s="28">
        <v>0</v>
      </c>
      <c r="S3" s="28">
        <v>0</v>
      </c>
      <c r="T3" s="29">
        <f>AVERAGE(R3:S3)</f>
        <v>0</v>
      </c>
      <c r="U3" s="30">
        <f>AVERAGE(H3,K3,N3,Q3,T3)</f>
        <v>0</v>
      </c>
      <c r="V3" s="6"/>
      <c r="W3" s="6"/>
      <c r="X3" s="7"/>
      <c r="Y3" s="6"/>
      <c r="Z3" s="7"/>
    </row>
    <row r="4" spans="1:26" ht="15.75" customHeight="1" x14ac:dyDescent="0.25">
      <c r="A4" s="59" t="s">
        <v>844</v>
      </c>
      <c r="B4" s="32" t="s">
        <v>862</v>
      </c>
      <c r="C4" s="2" t="s">
        <v>15</v>
      </c>
      <c r="D4" s="32">
        <v>601</v>
      </c>
      <c r="E4" s="49"/>
      <c r="F4" s="28">
        <v>0</v>
      </c>
      <c r="G4" s="28">
        <v>0</v>
      </c>
      <c r="H4" s="29">
        <f>AVERAGE(F4:G4)</f>
        <v>0</v>
      </c>
      <c r="I4" s="28">
        <v>0</v>
      </c>
      <c r="J4" s="28">
        <v>0</v>
      </c>
      <c r="K4" s="29">
        <f>AVERAGE(I4:J4)</f>
        <v>0</v>
      </c>
      <c r="L4" s="28">
        <v>0</v>
      </c>
      <c r="M4" s="28">
        <v>0</v>
      </c>
      <c r="N4" s="29">
        <f>AVERAGE(L4:M4)</f>
        <v>0</v>
      </c>
      <c r="O4" s="28">
        <v>0</v>
      </c>
      <c r="P4" s="28">
        <v>0</v>
      </c>
      <c r="Q4" s="29">
        <f>AVERAGE(O4:P4)</f>
        <v>0</v>
      </c>
      <c r="R4" s="28">
        <v>0</v>
      </c>
      <c r="S4" s="28">
        <v>0</v>
      </c>
      <c r="T4" s="29">
        <f>AVERAGE(R4:S4)</f>
        <v>0</v>
      </c>
      <c r="U4" s="30">
        <f t="shared" ref="U4:U18" si="0">AVERAGE(H4,K4,N4,Q4,T4)</f>
        <v>0</v>
      </c>
      <c r="V4" s="7"/>
      <c r="W4" s="7"/>
      <c r="X4" s="7"/>
      <c r="Y4" s="7"/>
      <c r="Z4" s="7"/>
    </row>
    <row r="5" spans="1:26" ht="15.75" customHeight="1" x14ac:dyDescent="0.25">
      <c r="A5" s="59" t="s">
        <v>838</v>
      </c>
      <c r="B5" s="32" t="s">
        <v>839</v>
      </c>
      <c r="C5" s="2" t="s">
        <v>15</v>
      </c>
      <c r="D5" s="32">
        <v>601</v>
      </c>
      <c r="E5" s="32"/>
      <c r="F5" s="28">
        <v>0</v>
      </c>
      <c r="G5" s="28">
        <v>0</v>
      </c>
      <c r="H5" s="29">
        <f>AVERAGE(F5:G5)</f>
        <v>0</v>
      </c>
      <c r="I5" s="28">
        <v>0</v>
      </c>
      <c r="J5" s="28">
        <v>0</v>
      </c>
      <c r="K5" s="29">
        <f>AVERAGE(I5:J5)</f>
        <v>0</v>
      </c>
      <c r="L5" s="28">
        <v>0</v>
      </c>
      <c r="M5" s="28">
        <v>0</v>
      </c>
      <c r="N5" s="29">
        <f>AVERAGE(L5:M5)</f>
        <v>0</v>
      </c>
      <c r="O5" s="28">
        <v>0</v>
      </c>
      <c r="P5" s="28">
        <v>0</v>
      </c>
      <c r="Q5" s="29">
        <f>AVERAGE(O5:P5)</f>
        <v>0</v>
      </c>
      <c r="R5" s="28">
        <v>0</v>
      </c>
      <c r="S5" s="28">
        <v>0</v>
      </c>
      <c r="T5" s="29">
        <f>AVERAGE(R5:S5)</f>
        <v>0</v>
      </c>
      <c r="U5" s="30">
        <f t="shared" si="0"/>
        <v>0</v>
      </c>
      <c r="V5" s="7"/>
      <c r="W5" s="7"/>
      <c r="X5" s="7"/>
      <c r="Y5" s="8"/>
      <c r="Z5" s="7"/>
    </row>
    <row r="6" spans="1:26" ht="15.75" customHeight="1" x14ac:dyDescent="0.25">
      <c r="A6" s="59" t="s">
        <v>820</v>
      </c>
      <c r="B6" s="32" t="s">
        <v>821</v>
      </c>
      <c r="C6" s="2" t="s">
        <v>15</v>
      </c>
      <c r="D6" s="32">
        <v>601</v>
      </c>
      <c r="E6" s="32"/>
      <c r="F6" s="28">
        <v>0</v>
      </c>
      <c r="G6" s="28">
        <v>0</v>
      </c>
      <c r="H6" s="29">
        <f>AVERAGE(F6:G6)</f>
        <v>0</v>
      </c>
      <c r="I6" s="28">
        <v>0</v>
      </c>
      <c r="J6" s="28">
        <v>0</v>
      </c>
      <c r="K6" s="29">
        <f>AVERAGE(I6:J6)</f>
        <v>0</v>
      </c>
      <c r="L6" s="28">
        <v>0</v>
      </c>
      <c r="M6" s="28">
        <v>0</v>
      </c>
      <c r="N6" s="29">
        <f>AVERAGE(L6:M6)</f>
        <v>0</v>
      </c>
      <c r="O6" s="28">
        <v>0</v>
      </c>
      <c r="P6" s="28">
        <v>0</v>
      </c>
      <c r="Q6" s="29">
        <f>AVERAGE(O6:P6)</f>
        <v>0</v>
      </c>
      <c r="R6" s="28">
        <v>0</v>
      </c>
      <c r="S6" s="28">
        <v>0</v>
      </c>
      <c r="T6" s="29">
        <f>AVERAGE(R6:S6)</f>
        <v>0</v>
      </c>
      <c r="U6" s="30">
        <f t="shared" si="0"/>
        <v>0</v>
      </c>
      <c r="V6" s="7"/>
      <c r="W6" s="7"/>
      <c r="X6" s="7"/>
      <c r="Y6" s="8"/>
      <c r="Z6" s="7"/>
    </row>
    <row r="7" spans="1:26" ht="15.75" customHeight="1" x14ac:dyDescent="0.25">
      <c r="A7" s="59" t="s">
        <v>836</v>
      </c>
      <c r="B7" s="32" t="s">
        <v>837</v>
      </c>
      <c r="C7" s="2" t="s">
        <v>15</v>
      </c>
      <c r="D7" s="32">
        <v>601</v>
      </c>
      <c r="E7" s="49"/>
      <c r="F7" s="28">
        <v>0</v>
      </c>
      <c r="G7" s="28">
        <v>0</v>
      </c>
      <c r="H7" s="29">
        <f>AVERAGE(F7:G7)</f>
        <v>0</v>
      </c>
      <c r="I7" s="28">
        <v>0</v>
      </c>
      <c r="J7" s="28">
        <v>0</v>
      </c>
      <c r="K7" s="29">
        <f>AVERAGE(I7:J7)</f>
        <v>0</v>
      </c>
      <c r="L7" s="28">
        <v>0</v>
      </c>
      <c r="M7" s="28">
        <v>0</v>
      </c>
      <c r="N7" s="29">
        <f>AVERAGE(L7:M7)</f>
        <v>0</v>
      </c>
      <c r="O7" s="28">
        <v>0</v>
      </c>
      <c r="P7" s="28">
        <v>0</v>
      </c>
      <c r="Q7" s="29">
        <f>AVERAGE(O7:P7)</f>
        <v>0</v>
      </c>
      <c r="R7" s="28">
        <v>0</v>
      </c>
      <c r="S7" s="28">
        <v>0</v>
      </c>
      <c r="T7" s="29">
        <f>AVERAGE(R7:S7)</f>
        <v>0</v>
      </c>
      <c r="U7" s="30">
        <f t="shared" si="0"/>
        <v>0</v>
      </c>
      <c r="V7" s="9"/>
      <c r="W7" s="9"/>
      <c r="X7" s="6"/>
      <c r="Y7" s="6"/>
      <c r="Z7" s="7"/>
    </row>
    <row r="8" spans="1:26" ht="15.75" customHeight="1" x14ac:dyDescent="0.25">
      <c r="A8" s="59" t="s">
        <v>842</v>
      </c>
      <c r="B8" s="32" t="s">
        <v>843</v>
      </c>
      <c r="C8" s="2" t="s">
        <v>15</v>
      </c>
      <c r="D8" s="32">
        <v>601</v>
      </c>
      <c r="E8" s="49"/>
      <c r="F8" s="28">
        <v>0</v>
      </c>
      <c r="G8" s="28">
        <v>0</v>
      </c>
      <c r="H8" s="29">
        <f>AVERAGE(F8:G8)</f>
        <v>0</v>
      </c>
      <c r="I8" s="28">
        <v>0</v>
      </c>
      <c r="J8" s="28">
        <v>0</v>
      </c>
      <c r="K8" s="29">
        <f>AVERAGE(I8:J8)</f>
        <v>0</v>
      </c>
      <c r="L8" s="28">
        <v>0</v>
      </c>
      <c r="M8" s="28">
        <v>0</v>
      </c>
      <c r="N8" s="29">
        <f>AVERAGE(L8:M8)</f>
        <v>0</v>
      </c>
      <c r="O8" s="28">
        <v>0</v>
      </c>
      <c r="P8" s="28">
        <v>0</v>
      </c>
      <c r="Q8" s="29">
        <f>AVERAGE(O8:P8)</f>
        <v>0</v>
      </c>
      <c r="R8" s="28">
        <v>0</v>
      </c>
      <c r="S8" s="28">
        <v>0</v>
      </c>
      <c r="T8" s="29">
        <f>AVERAGE(R8:S8)</f>
        <v>0</v>
      </c>
      <c r="U8" s="30">
        <f t="shared" si="0"/>
        <v>0</v>
      </c>
      <c r="V8" s="7"/>
      <c r="W8" s="7"/>
      <c r="X8" s="6"/>
      <c r="Y8" s="6"/>
      <c r="Z8" s="7"/>
    </row>
    <row r="9" spans="1:26" ht="15.75" customHeight="1" x14ac:dyDescent="0.25">
      <c r="A9" s="59" t="s">
        <v>840</v>
      </c>
      <c r="B9" s="32" t="s">
        <v>841</v>
      </c>
      <c r="C9" s="2" t="s">
        <v>15</v>
      </c>
      <c r="D9" s="32">
        <v>601</v>
      </c>
      <c r="E9" s="49"/>
      <c r="F9" s="28">
        <v>0</v>
      </c>
      <c r="G9" s="28">
        <v>0</v>
      </c>
      <c r="H9" s="29">
        <f>AVERAGE(F9:G9)</f>
        <v>0</v>
      </c>
      <c r="I9" s="28">
        <v>0</v>
      </c>
      <c r="J9" s="28">
        <v>0</v>
      </c>
      <c r="K9" s="29">
        <f>AVERAGE(I9:J9)</f>
        <v>0</v>
      </c>
      <c r="L9" s="28">
        <v>0</v>
      </c>
      <c r="M9" s="28">
        <v>0</v>
      </c>
      <c r="N9" s="29">
        <f>AVERAGE(L9:M9)</f>
        <v>0</v>
      </c>
      <c r="O9" s="28">
        <v>0</v>
      </c>
      <c r="P9" s="28">
        <v>0</v>
      </c>
      <c r="Q9" s="29">
        <f>AVERAGE(O9:P9)</f>
        <v>0</v>
      </c>
      <c r="R9" s="28">
        <v>0</v>
      </c>
      <c r="S9" s="28">
        <v>0</v>
      </c>
      <c r="T9" s="29">
        <f>AVERAGE(R9:S9)</f>
        <v>0</v>
      </c>
      <c r="U9" s="30">
        <f t="shared" si="0"/>
        <v>0</v>
      </c>
      <c r="V9" s="6"/>
      <c r="W9" s="6"/>
      <c r="X9" s="10"/>
      <c r="Y9" s="8"/>
      <c r="Z9" s="7"/>
    </row>
    <row r="10" spans="1:26" ht="15.75" customHeight="1" x14ac:dyDescent="0.25">
      <c r="A10" s="59" t="s">
        <v>822</v>
      </c>
      <c r="B10" s="32" t="s">
        <v>823</v>
      </c>
      <c r="C10" s="2" t="s">
        <v>15</v>
      </c>
      <c r="D10" s="32">
        <v>601</v>
      </c>
      <c r="E10" s="32"/>
      <c r="F10" s="28">
        <v>0</v>
      </c>
      <c r="G10" s="28">
        <v>0</v>
      </c>
      <c r="H10" s="29">
        <f>AVERAGE(F10:G10)</f>
        <v>0</v>
      </c>
      <c r="I10" s="28">
        <v>0</v>
      </c>
      <c r="J10" s="28">
        <v>0</v>
      </c>
      <c r="K10" s="29">
        <f>AVERAGE(I10:J10)</f>
        <v>0</v>
      </c>
      <c r="L10" s="28">
        <v>0</v>
      </c>
      <c r="M10" s="28">
        <v>0</v>
      </c>
      <c r="N10" s="29">
        <f>AVERAGE(L10:M10)</f>
        <v>0</v>
      </c>
      <c r="O10" s="28">
        <v>0</v>
      </c>
      <c r="P10" s="28">
        <v>0</v>
      </c>
      <c r="Q10" s="29">
        <f>AVERAGE(O10:P10)</f>
        <v>0</v>
      </c>
      <c r="R10" s="28">
        <v>0</v>
      </c>
      <c r="S10" s="28">
        <v>0</v>
      </c>
      <c r="T10" s="29">
        <f>AVERAGE(R10:S10)</f>
        <v>0</v>
      </c>
      <c r="U10" s="30">
        <f t="shared" si="0"/>
        <v>0</v>
      </c>
      <c r="V10" s="7"/>
      <c r="W10" s="7"/>
      <c r="X10" s="7"/>
      <c r="Y10" s="7"/>
      <c r="Z10" s="7"/>
    </row>
    <row r="11" spans="1:26" ht="15.75" customHeight="1" x14ac:dyDescent="0.25">
      <c r="A11" s="59" t="s">
        <v>832</v>
      </c>
      <c r="B11" s="49" t="s">
        <v>833</v>
      </c>
      <c r="C11" s="2" t="s">
        <v>15</v>
      </c>
      <c r="D11" s="32">
        <v>601</v>
      </c>
      <c r="E11" s="32"/>
      <c r="F11" s="28">
        <v>0</v>
      </c>
      <c r="G11" s="28">
        <v>0</v>
      </c>
      <c r="H11" s="29">
        <f>AVERAGE(F11:G11)</f>
        <v>0</v>
      </c>
      <c r="I11" s="28">
        <v>0</v>
      </c>
      <c r="J11" s="28">
        <v>0</v>
      </c>
      <c r="K11" s="29">
        <f>AVERAGE(I11:J11)</f>
        <v>0</v>
      </c>
      <c r="L11" s="28">
        <v>0</v>
      </c>
      <c r="M11" s="28">
        <v>0</v>
      </c>
      <c r="N11" s="29">
        <f>AVERAGE(L11:M11)</f>
        <v>0</v>
      </c>
      <c r="O11" s="28">
        <v>0</v>
      </c>
      <c r="P11" s="28">
        <v>0</v>
      </c>
      <c r="Q11" s="29">
        <f>AVERAGE(O11:P11)</f>
        <v>0</v>
      </c>
      <c r="R11" s="28">
        <v>0</v>
      </c>
      <c r="S11" s="28">
        <v>0</v>
      </c>
      <c r="T11" s="29">
        <f>AVERAGE(R11:S11)</f>
        <v>0</v>
      </c>
      <c r="U11" s="30">
        <f t="shared" si="0"/>
        <v>0</v>
      </c>
      <c r="V11" s="8"/>
      <c r="W11" s="8"/>
      <c r="X11" s="6"/>
      <c r="Y11" s="6"/>
      <c r="Z11" s="7"/>
    </row>
    <row r="12" spans="1:26" ht="15.75" customHeight="1" x14ac:dyDescent="0.25">
      <c r="A12" s="59" t="s">
        <v>817</v>
      </c>
      <c r="B12" s="32" t="s">
        <v>818</v>
      </c>
      <c r="C12" s="2" t="s">
        <v>15</v>
      </c>
      <c r="D12" s="32">
        <v>601</v>
      </c>
      <c r="E12" s="49"/>
      <c r="F12" s="28">
        <v>0</v>
      </c>
      <c r="G12" s="28">
        <v>0</v>
      </c>
      <c r="H12" s="29">
        <f>AVERAGE(F12:G12)</f>
        <v>0</v>
      </c>
      <c r="I12" s="28">
        <v>0</v>
      </c>
      <c r="J12" s="28">
        <v>0</v>
      </c>
      <c r="K12" s="29">
        <f>AVERAGE(I12:J12)</f>
        <v>0</v>
      </c>
      <c r="L12" s="28">
        <v>0</v>
      </c>
      <c r="M12" s="28">
        <v>0</v>
      </c>
      <c r="N12" s="29">
        <f>AVERAGE(L12:M12)</f>
        <v>0</v>
      </c>
      <c r="O12" s="28">
        <v>0</v>
      </c>
      <c r="P12" s="28">
        <v>0</v>
      </c>
      <c r="Q12" s="29">
        <f>AVERAGE(O12:P12)</f>
        <v>0</v>
      </c>
      <c r="R12" s="28">
        <v>0</v>
      </c>
      <c r="S12" s="28">
        <v>0</v>
      </c>
      <c r="T12" s="29">
        <f>AVERAGE(R12:S12)</f>
        <v>0</v>
      </c>
      <c r="U12" s="30">
        <f t="shared" si="0"/>
        <v>0</v>
      </c>
      <c r="V12" s="8"/>
      <c r="W12" s="6"/>
      <c r="X12" s="6"/>
      <c r="Y12" s="10"/>
      <c r="Z12" s="7"/>
    </row>
    <row r="13" spans="1:26" ht="15.75" customHeight="1" x14ac:dyDescent="0.25">
      <c r="A13" s="59" t="s">
        <v>824</v>
      </c>
      <c r="B13" s="32" t="s">
        <v>825</v>
      </c>
      <c r="C13" s="2" t="s">
        <v>15</v>
      </c>
      <c r="D13" s="32">
        <v>601</v>
      </c>
      <c r="E13" s="32"/>
      <c r="F13" s="28">
        <v>0</v>
      </c>
      <c r="G13" s="28">
        <v>0</v>
      </c>
      <c r="H13" s="29">
        <f>AVERAGE(F13:G13)</f>
        <v>0</v>
      </c>
      <c r="I13" s="28">
        <v>0</v>
      </c>
      <c r="J13" s="28">
        <v>0</v>
      </c>
      <c r="K13" s="29">
        <f>AVERAGE(I13:J13)</f>
        <v>0</v>
      </c>
      <c r="L13" s="28">
        <v>0</v>
      </c>
      <c r="M13" s="28">
        <v>0</v>
      </c>
      <c r="N13" s="29">
        <f>AVERAGE(L13:M13)</f>
        <v>0</v>
      </c>
      <c r="O13" s="28">
        <v>0</v>
      </c>
      <c r="P13" s="28">
        <v>0</v>
      </c>
      <c r="Q13" s="29">
        <f>AVERAGE(O13:P13)</f>
        <v>0</v>
      </c>
      <c r="R13" s="28">
        <v>0</v>
      </c>
      <c r="S13" s="28">
        <v>0</v>
      </c>
      <c r="T13" s="29">
        <f>AVERAGE(R13:S13)</f>
        <v>0</v>
      </c>
      <c r="U13" s="30">
        <f t="shared" si="0"/>
        <v>0</v>
      </c>
      <c r="V13" s="8"/>
      <c r="W13" s="7"/>
      <c r="X13" s="7"/>
      <c r="Y13" s="8"/>
      <c r="Z13" s="7"/>
    </row>
    <row r="14" spans="1:26" ht="15.75" customHeight="1" x14ac:dyDescent="0.25">
      <c r="A14" s="59" t="s">
        <v>828</v>
      </c>
      <c r="B14" s="49" t="s">
        <v>829</v>
      </c>
      <c r="C14" s="2" t="s">
        <v>15</v>
      </c>
      <c r="D14" s="32">
        <v>601</v>
      </c>
      <c r="E14" s="49"/>
      <c r="F14" s="28">
        <v>0</v>
      </c>
      <c r="G14" s="28">
        <v>0</v>
      </c>
      <c r="H14" s="29">
        <f>AVERAGE(F14:G14)</f>
        <v>0</v>
      </c>
      <c r="I14" s="28">
        <v>0</v>
      </c>
      <c r="J14" s="28">
        <v>0</v>
      </c>
      <c r="K14" s="29">
        <f>AVERAGE(I14:J14)</f>
        <v>0</v>
      </c>
      <c r="L14" s="28">
        <v>0</v>
      </c>
      <c r="M14" s="28">
        <v>0</v>
      </c>
      <c r="N14" s="29">
        <f>AVERAGE(L14:M14)</f>
        <v>0</v>
      </c>
      <c r="O14" s="28">
        <v>0</v>
      </c>
      <c r="P14" s="28">
        <v>0</v>
      </c>
      <c r="Q14" s="29">
        <f>AVERAGE(O14:P14)</f>
        <v>0</v>
      </c>
      <c r="R14" s="28">
        <v>0</v>
      </c>
      <c r="S14" s="28">
        <v>0</v>
      </c>
      <c r="T14" s="29">
        <f>AVERAGE(R14:S14)</f>
        <v>0</v>
      </c>
      <c r="U14" s="30">
        <f t="shared" si="0"/>
        <v>0</v>
      </c>
      <c r="V14" s="8"/>
      <c r="W14" s="8"/>
      <c r="X14" s="7"/>
      <c r="Y14" s="7"/>
      <c r="Z14" s="7"/>
    </row>
    <row r="15" spans="1:26" ht="15.75" customHeight="1" x14ac:dyDescent="0.25">
      <c r="A15" s="59" t="s">
        <v>830</v>
      </c>
      <c r="B15" s="49" t="s">
        <v>831</v>
      </c>
      <c r="C15" s="2" t="s">
        <v>15</v>
      </c>
      <c r="D15" s="32">
        <v>601</v>
      </c>
      <c r="E15" s="32"/>
      <c r="F15" s="28">
        <v>0</v>
      </c>
      <c r="G15" s="28">
        <v>0</v>
      </c>
      <c r="H15" s="29">
        <f>AVERAGE(F15:G15)</f>
        <v>0</v>
      </c>
      <c r="I15" s="28">
        <v>0</v>
      </c>
      <c r="J15" s="28">
        <v>0</v>
      </c>
      <c r="K15" s="29">
        <f>AVERAGE(I15:J15)</f>
        <v>0</v>
      </c>
      <c r="L15" s="28">
        <v>0</v>
      </c>
      <c r="M15" s="28">
        <v>0</v>
      </c>
      <c r="N15" s="29">
        <f>AVERAGE(L15:M15)</f>
        <v>0</v>
      </c>
      <c r="O15" s="28">
        <v>0</v>
      </c>
      <c r="P15" s="28">
        <v>0</v>
      </c>
      <c r="Q15" s="29">
        <f>AVERAGE(O15:P15)</f>
        <v>0</v>
      </c>
      <c r="R15" s="28">
        <v>0</v>
      </c>
      <c r="S15" s="28">
        <v>0</v>
      </c>
      <c r="T15" s="29">
        <f>AVERAGE(R15:S15)</f>
        <v>0</v>
      </c>
      <c r="U15" s="30">
        <f t="shared" si="0"/>
        <v>0</v>
      </c>
      <c r="V15" s="10"/>
      <c r="W15" s="8"/>
      <c r="X15" s="8"/>
      <c r="Y15" s="6"/>
      <c r="Z15" s="7"/>
    </row>
    <row r="16" spans="1:26" ht="15.75" customHeight="1" x14ac:dyDescent="0.25">
      <c r="A16" s="59" t="s">
        <v>834</v>
      </c>
      <c r="B16" s="32" t="s">
        <v>835</v>
      </c>
      <c r="C16" s="2" t="s">
        <v>15</v>
      </c>
      <c r="D16" s="32">
        <v>601</v>
      </c>
      <c r="E16" s="49"/>
      <c r="F16" s="28">
        <v>0</v>
      </c>
      <c r="G16" s="28">
        <v>0</v>
      </c>
      <c r="H16" s="29">
        <f>AVERAGE(F16:G16)</f>
        <v>0</v>
      </c>
      <c r="I16" s="28">
        <v>0</v>
      </c>
      <c r="J16" s="28">
        <v>0</v>
      </c>
      <c r="K16" s="29">
        <f>AVERAGE(I16:J16)</f>
        <v>0</v>
      </c>
      <c r="L16" s="28">
        <v>0</v>
      </c>
      <c r="M16" s="28">
        <v>0</v>
      </c>
      <c r="N16" s="29">
        <f>AVERAGE(L16:M16)</f>
        <v>0</v>
      </c>
      <c r="O16" s="28">
        <v>0</v>
      </c>
      <c r="P16" s="28">
        <v>0</v>
      </c>
      <c r="Q16" s="29">
        <f>AVERAGE(O16:P16)</f>
        <v>0</v>
      </c>
      <c r="R16" s="28">
        <v>0</v>
      </c>
      <c r="S16" s="28">
        <v>0</v>
      </c>
      <c r="T16" s="29">
        <f>AVERAGE(R16:S16)</f>
        <v>0</v>
      </c>
      <c r="U16" s="30">
        <f t="shared" si="0"/>
        <v>0</v>
      </c>
      <c r="V16" s="6"/>
      <c r="W16" s="6"/>
      <c r="X16" s="7"/>
      <c r="Y16" s="7"/>
      <c r="Z16" s="7"/>
    </row>
    <row r="17" spans="1:26" ht="15.75" customHeight="1" x14ac:dyDescent="0.25">
      <c r="A17" s="59" t="s">
        <v>826</v>
      </c>
      <c r="B17" s="32" t="s">
        <v>827</v>
      </c>
      <c r="C17" s="2" t="s">
        <v>15</v>
      </c>
      <c r="D17" s="32">
        <v>601</v>
      </c>
      <c r="E17" s="32"/>
      <c r="F17" s="28">
        <v>0</v>
      </c>
      <c r="G17" s="28">
        <v>0</v>
      </c>
      <c r="H17" s="29">
        <f>AVERAGE(F17:G17)</f>
        <v>0</v>
      </c>
      <c r="I17" s="28">
        <v>0</v>
      </c>
      <c r="J17" s="28">
        <v>0</v>
      </c>
      <c r="K17" s="29">
        <f>AVERAGE(I17:J17)</f>
        <v>0</v>
      </c>
      <c r="L17" s="28">
        <v>0</v>
      </c>
      <c r="M17" s="28">
        <v>0</v>
      </c>
      <c r="N17" s="29">
        <f>AVERAGE(L17:M17)</f>
        <v>0</v>
      </c>
      <c r="O17" s="28">
        <v>0</v>
      </c>
      <c r="P17" s="28">
        <v>0</v>
      </c>
      <c r="Q17" s="29">
        <f>AVERAGE(O17:P17)</f>
        <v>0</v>
      </c>
      <c r="R17" s="28">
        <v>0</v>
      </c>
      <c r="S17" s="28">
        <v>0</v>
      </c>
      <c r="T17" s="29">
        <f>AVERAGE(R17:S17)</f>
        <v>0</v>
      </c>
      <c r="U17" s="30">
        <f t="shared" si="0"/>
        <v>0</v>
      </c>
      <c r="V17" s="6"/>
      <c r="W17" s="6"/>
      <c r="X17" s="6"/>
      <c r="Y17" s="6"/>
      <c r="Z17" s="7"/>
    </row>
    <row r="18" spans="1:26" ht="15.75" customHeight="1" x14ac:dyDescent="0.25">
      <c r="A18" s="59" t="s">
        <v>819</v>
      </c>
      <c r="B18" s="60" t="s">
        <v>863</v>
      </c>
      <c r="C18" s="2" t="s">
        <v>15</v>
      </c>
      <c r="D18" s="32">
        <v>601</v>
      </c>
      <c r="E18" s="49"/>
      <c r="F18" s="28">
        <v>0</v>
      </c>
      <c r="G18" s="28">
        <v>0</v>
      </c>
      <c r="H18" s="29">
        <f>AVERAGE(F18:G18)</f>
        <v>0</v>
      </c>
      <c r="I18" s="28">
        <v>0</v>
      </c>
      <c r="J18" s="28">
        <v>0</v>
      </c>
      <c r="K18" s="29">
        <f>AVERAGE(I18:J18)</f>
        <v>0</v>
      </c>
      <c r="L18" s="28">
        <v>0</v>
      </c>
      <c r="M18" s="28">
        <v>0</v>
      </c>
      <c r="N18" s="29">
        <f>AVERAGE(L18:M18)</f>
        <v>0</v>
      </c>
      <c r="O18" s="28">
        <v>0</v>
      </c>
      <c r="P18" s="28">
        <v>0</v>
      </c>
      <c r="Q18" s="29">
        <f>AVERAGE(O18:P18)</f>
        <v>0</v>
      </c>
      <c r="R18" s="28">
        <v>0</v>
      </c>
      <c r="S18" s="28">
        <v>0</v>
      </c>
      <c r="T18" s="29">
        <f>AVERAGE(R18:S18)</f>
        <v>0</v>
      </c>
      <c r="U18" s="30">
        <f t="shared" si="0"/>
        <v>0</v>
      </c>
    </row>
  </sheetData>
  <sortState xmlns:xlrd2="http://schemas.microsoft.com/office/spreadsheetml/2017/richdata2" ref="A3:U18">
    <sortCondition ref="B3:B18"/>
  </sortState>
  <mergeCells count="5">
    <mergeCell ref="F1:H1"/>
    <mergeCell ref="I1:K1"/>
    <mergeCell ref="L1:N1"/>
    <mergeCell ref="O1:Q1"/>
    <mergeCell ref="R1:T1"/>
  </mergeCells>
  <conditionalFormatting sqref="F3:G18">
    <cfRule type="cellIs" dxfId="80" priority="53" operator="lessThan">
      <formula>7.9</formula>
    </cfRule>
  </conditionalFormatting>
  <conditionalFormatting sqref="F3:G18">
    <cfRule type="cellIs" dxfId="79" priority="54" operator="lessThan">
      <formula>7.4</formula>
    </cfRule>
  </conditionalFormatting>
  <conditionalFormatting sqref="F5:G6">
    <cfRule type="cellIs" dxfId="78" priority="55" operator="lessThan">
      <formula>6.9</formula>
    </cfRule>
  </conditionalFormatting>
  <conditionalFormatting sqref="H3:H18">
    <cfRule type="cellIs" dxfId="77" priority="56" operator="lessThan">
      <formula>7.9</formula>
    </cfRule>
    <cfRule type="cellIs" dxfId="76" priority="65" operator="lessThan">
      <formula>6.9</formula>
    </cfRule>
    <cfRule type="cellIs" dxfId="75" priority="66" operator="lessThan">
      <formula>7.4</formula>
    </cfRule>
    <cfRule type="cellIs" dxfId="74" priority="67" operator="lessThan">
      <formula>7.9</formula>
    </cfRule>
  </conditionalFormatting>
  <conditionalFormatting sqref="H3:H18">
    <cfRule type="cellIs" dxfId="73" priority="57" operator="lessThan">
      <formula>6.9</formula>
    </cfRule>
    <cfRule type="cellIs" dxfId="72" priority="58" operator="lessThan">
      <formula>7.4</formula>
    </cfRule>
    <cfRule type="cellIs" dxfId="71" priority="59" operator="lessThan">
      <formula>7.9</formula>
    </cfRule>
    <cfRule type="cellIs" dxfId="70" priority="60" operator="lessThan">
      <formula>6.9</formula>
    </cfRule>
    <cfRule type="cellIs" dxfId="69" priority="61" operator="lessThan">
      <formula>7.9</formula>
    </cfRule>
    <cfRule type="cellIs" dxfId="68" priority="62" operator="lessThan">
      <formula>7.4</formula>
    </cfRule>
    <cfRule type="cellIs" dxfId="67" priority="63" operator="lessThan">
      <formula>6.9</formula>
    </cfRule>
    <cfRule type="cellIs" dxfId="66" priority="64" operator="lessThan">
      <formula>7.9</formula>
    </cfRule>
  </conditionalFormatting>
  <conditionalFormatting sqref="K3:K18">
    <cfRule type="cellIs" dxfId="65" priority="68" operator="lessThan">
      <formula>7.9</formula>
    </cfRule>
    <cfRule type="cellIs" dxfId="64" priority="69" operator="lessThan">
      <formula>6.9</formula>
    </cfRule>
    <cfRule type="cellIs" dxfId="63" priority="70" operator="lessThan">
      <formula>7.4</formula>
    </cfRule>
    <cfRule type="cellIs" dxfId="62" priority="71" operator="lessThan">
      <formula>7.9</formula>
    </cfRule>
    <cfRule type="cellIs" dxfId="61" priority="72" operator="lessThan">
      <formula>6.9</formula>
    </cfRule>
    <cfRule type="cellIs" dxfId="60" priority="73" operator="lessThan">
      <formula>7.9</formula>
    </cfRule>
    <cfRule type="cellIs" dxfId="59" priority="74" operator="lessThan">
      <formula>7.4</formula>
    </cfRule>
    <cfRule type="cellIs" dxfId="58" priority="75" operator="lessThan">
      <formula>6.9</formula>
    </cfRule>
    <cfRule type="cellIs" dxfId="57" priority="76" operator="lessThan">
      <formula>7.9</formula>
    </cfRule>
    <cfRule type="cellIs" dxfId="56" priority="77" operator="lessThan">
      <formula>6.9</formula>
    </cfRule>
    <cfRule type="cellIs" dxfId="55" priority="78" operator="lessThan">
      <formula>7.4</formula>
    </cfRule>
    <cfRule type="cellIs" dxfId="54" priority="79" operator="lessThan">
      <formula>6.9</formula>
    </cfRule>
    <cfRule type="cellIs" dxfId="53" priority="80" operator="lessThan">
      <formula>7.4</formula>
    </cfRule>
    <cfRule type="cellIs" dxfId="52" priority="81" operator="lessThan">
      <formula>7.9</formula>
    </cfRule>
  </conditionalFormatting>
  <conditionalFormatting sqref="I3:J18">
    <cfRule type="cellIs" dxfId="51" priority="50" operator="lessThan">
      <formula>7.9</formula>
    </cfRule>
  </conditionalFormatting>
  <conditionalFormatting sqref="I3:J18">
    <cfRule type="cellIs" dxfId="50" priority="51" operator="lessThan">
      <formula>7.4</formula>
    </cfRule>
  </conditionalFormatting>
  <conditionalFormatting sqref="I5:J6">
    <cfRule type="cellIs" dxfId="49" priority="52" operator="lessThan">
      <formula>6.9</formula>
    </cfRule>
  </conditionalFormatting>
  <conditionalFormatting sqref="L3:M18">
    <cfRule type="cellIs" dxfId="48" priority="21" operator="lessThan">
      <formula>7.9</formula>
    </cfRule>
  </conditionalFormatting>
  <conditionalFormatting sqref="L3:M18">
    <cfRule type="cellIs" dxfId="47" priority="22" operator="lessThan">
      <formula>7.4</formula>
    </cfRule>
  </conditionalFormatting>
  <conditionalFormatting sqref="L5:M6">
    <cfRule type="cellIs" dxfId="46" priority="23" operator="lessThan">
      <formula>6.9</formula>
    </cfRule>
  </conditionalFormatting>
  <conditionalFormatting sqref="N3:N18">
    <cfRule type="cellIs" dxfId="45" priority="24" operator="lessThan">
      <formula>7.9</formula>
    </cfRule>
    <cfRule type="cellIs" dxfId="44" priority="33" operator="lessThan">
      <formula>6.9</formula>
    </cfRule>
    <cfRule type="cellIs" dxfId="43" priority="34" operator="lessThan">
      <formula>7.4</formula>
    </cfRule>
    <cfRule type="cellIs" dxfId="42" priority="35" operator="lessThan">
      <formula>7.9</formula>
    </cfRule>
  </conditionalFormatting>
  <conditionalFormatting sqref="N3:N18">
    <cfRule type="cellIs" dxfId="41" priority="25" operator="lessThan">
      <formula>6.9</formula>
    </cfRule>
    <cfRule type="cellIs" dxfId="40" priority="26" operator="lessThan">
      <formula>7.4</formula>
    </cfRule>
    <cfRule type="cellIs" dxfId="39" priority="27" operator="lessThan">
      <formula>7.9</formula>
    </cfRule>
    <cfRule type="cellIs" dxfId="38" priority="28" operator="lessThan">
      <formula>6.9</formula>
    </cfRule>
    <cfRule type="cellIs" dxfId="37" priority="29" operator="lessThan">
      <formula>7.9</formula>
    </cfRule>
    <cfRule type="cellIs" dxfId="36" priority="30" operator="lessThan">
      <formula>7.4</formula>
    </cfRule>
    <cfRule type="cellIs" dxfId="35" priority="31" operator="lessThan">
      <formula>6.9</formula>
    </cfRule>
    <cfRule type="cellIs" dxfId="34" priority="32" operator="lessThan">
      <formula>7.9</formula>
    </cfRule>
  </conditionalFormatting>
  <conditionalFormatting sqref="Q3:Q18">
    <cfRule type="cellIs" dxfId="33" priority="36" operator="lessThan">
      <formula>7.9</formula>
    </cfRule>
    <cfRule type="cellIs" dxfId="32" priority="37" operator="lessThan">
      <formula>6.9</formula>
    </cfRule>
    <cfRule type="cellIs" dxfId="31" priority="38" operator="lessThan">
      <formula>7.4</formula>
    </cfRule>
    <cfRule type="cellIs" dxfId="30" priority="39" operator="lessThan">
      <formula>7.9</formula>
    </cfRule>
    <cfRule type="cellIs" dxfId="29" priority="40" operator="lessThan">
      <formula>6.9</formula>
    </cfRule>
    <cfRule type="cellIs" dxfId="28" priority="41" operator="lessThan">
      <formula>7.9</formula>
    </cfRule>
    <cfRule type="cellIs" dxfId="27" priority="42" operator="lessThan">
      <formula>7.4</formula>
    </cfRule>
    <cfRule type="cellIs" dxfId="26" priority="43" operator="lessThan">
      <formula>6.9</formula>
    </cfRule>
    <cfRule type="cellIs" dxfId="25" priority="44" operator="lessThan">
      <formula>7.9</formula>
    </cfRule>
    <cfRule type="cellIs" dxfId="24" priority="45" operator="lessThan">
      <formula>6.9</formula>
    </cfRule>
    <cfRule type="cellIs" dxfId="23" priority="46" operator="lessThan">
      <formula>7.4</formula>
    </cfRule>
    <cfRule type="cellIs" dxfId="22" priority="47" operator="lessThan">
      <formula>6.9</formula>
    </cfRule>
    <cfRule type="cellIs" dxfId="21" priority="48" operator="lessThan">
      <formula>7.4</formula>
    </cfRule>
    <cfRule type="cellIs" dxfId="20" priority="49" operator="lessThan">
      <formula>7.9</formula>
    </cfRule>
  </conditionalFormatting>
  <conditionalFormatting sqref="O3:P18">
    <cfRule type="cellIs" dxfId="19" priority="18" operator="lessThan">
      <formula>7.9</formula>
    </cfRule>
  </conditionalFormatting>
  <conditionalFormatting sqref="O3:P18">
    <cfRule type="cellIs" dxfId="18" priority="19" operator="lessThan">
      <formula>7.4</formula>
    </cfRule>
  </conditionalFormatting>
  <conditionalFormatting sqref="O5:P6">
    <cfRule type="cellIs" dxfId="17" priority="20" operator="lessThan">
      <formula>6.9</formula>
    </cfRule>
  </conditionalFormatting>
  <conditionalFormatting sqref="T3:T18">
    <cfRule type="cellIs" dxfId="16" priority="4" operator="lessThan">
      <formula>7.9</formula>
    </cfRule>
    <cfRule type="cellIs" dxfId="15" priority="5" operator="lessThan">
      <formula>6.9</formula>
    </cfRule>
    <cfRule type="cellIs" dxfId="14" priority="6" operator="lessThan">
      <formula>7.4</formula>
    </cfRule>
    <cfRule type="cellIs" dxfId="13" priority="7" operator="lessThan">
      <formula>7.9</formula>
    </cfRule>
    <cfRule type="cellIs" dxfId="12" priority="8" operator="lessThan">
      <formula>6.9</formula>
    </cfRule>
    <cfRule type="cellIs" dxfId="11" priority="9" operator="lessThan">
      <formula>7.9</formula>
    </cfRule>
    <cfRule type="cellIs" dxfId="10" priority="10" operator="lessThan">
      <formula>7.4</formula>
    </cfRule>
    <cfRule type="cellIs" dxfId="9" priority="11" operator="lessThan">
      <formula>6.9</formula>
    </cfRule>
    <cfRule type="cellIs" dxfId="8" priority="12" operator="lessThan">
      <formula>7.9</formula>
    </cfRule>
    <cfRule type="cellIs" dxfId="7" priority="13" operator="lessThan">
      <formula>6.9</formula>
    </cfRule>
    <cfRule type="cellIs" dxfId="6" priority="14" operator="lessThan">
      <formula>7.4</formula>
    </cfRule>
    <cfRule type="cellIs" dxfId="5" priority="15" operator="lessThan">
      <formula>6.9</formula>
    </cfRule>
    <cfRule type="cellIs" dxfId="4" priority="16" operator="lessThan">
      <formula>7.4</formula>
    </cfRule>
    <cfRule type="cellIs" dxfId="3" priority="17" operator="lessThan">
      <formula>7.9</formula>
    </cfRule>
  </conditionalFormatting>
  <conditionalFormatting sqref="R3:S18">
    <cfRule type="cellIs" dxfId="2" priority="1" operator="lessThan">
      <formula>7.9</formula>
    </cfRule>
  </conditionalFormatting>
  <conditionalFormatting sqref="R3:S18">
    <cfRule type="cellIs" dxfId="1" priority="2" operator="lessThan">
      <formula>7.4</formula>
    </cfRule>
  </conditionalFormatting>
  <conditionalFormatting sqref="R5:S6">
    <cfRule type="cellIs" dxfId="0" priority="3" operator="lessThan">
      <formula>6.9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Maternal</vt:lpstr>
      <vt:lpstr>Kinder 1</vt:lpstr>
      <vt:lpstr>Kinder 2</vt:lpstr>
      <vt:lpstr>Kinder 3</vt:lpstr>
      <vt:lpstr>Primaria 1</vt:lpstr>
      <vt:lpstr>Primaria 2</vt:lpstr>
      <vt:lpstr>Primaria 3</vt:lpstr>
      <vt:lpstr>Primaria 4</vt:lpstr>
      <vt:lpstr>Primaria 5</vt:lpstr>
      <vt:lpstr>Primaria 6</vt:lpstr>
      <vt:lpstr>Secundaria 1</vt:lpstr>
      <vt:lpstr>Secundaria 2</vt:lpstr>
      <vt:lpstr>Secundaria 3</vt:lpstr>
      <vt:lpstr>Preparatoria 1</vt:lpstr>
      <vt:lpstr>Preparatoria 2</vt:lpstr>
      <vt:lpstr>Preparatoria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Hernández Albarrán</dc:creator>
  <cp:lastModifiedBy>Vianney Hernández Albarrán</cp:lastModifiedBy>
  <dcterms:created xsi:type="dcterms:W3CDTF">2026-07-14T06:43:09Z</dcterms:created>
  <dcterms:modified xsi:type="dcterms:W3CDTF">2026-07-15T07:20:54Z</dcterms:modified>
</cp:coreProperties>
</file>