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VIANNEY\Sitio\Datos\"/>
    </mc:Choice>
  </mc:AlternateContent>
  <xr:revisionPtr revIDLastSave="0" documentId="13_ncr:1_{AA393B8A-BF4A-4294-A79C-2AE79EB6D1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nal" sheetId="1" r:id="rId1"/>
    <sheet name="Kinder 1" sheetId="2" r:id="rId2"/>
    <sheet name="Kinder 2" sheetId="3" r:id="rId3"/>
    <sheet name="Kinder 3" sheetId="4" r:id="rId4"/>
    <sheet name="Primaria 1" sheetId="5" r:id="rId5"/>
    <sheet name="Primaria 2" sheetId="6" r:id="rId6"/>
    <sheet name="Primaria 3" sheetId="7" r:id="rId7"/>
    <sheet name="Primaria 4" sheetId="8" r:id="rId8"/>
    <sheet name="Primaria 5" sheetId="9" r:id="rId9"/>
    <sheet name="Primaria 6" sheetId="10" r:id="rId10"/>
    <sheet name="Secundaria 1" sheetId="11" r:id="rId11"/>
    <sheet name="Secundaria 2" sheetId="18" r:id="rId12"/>
    <sheet name="Secundaria 3" sheetId="13" r:id="rId13"/>
    <sheet name="Preparatoria 1" sheetId="14" r:id="rId14"/>
    <sheet name="Preparatoria 2" sheetId="15" r:id="rId15"/>
    <sheet name="Preparatoria 3" sheetId="16" r:id="rId16"/>
  </sheets>
  <definedNames>
    <definedName name="_xlnm._FilterDatabase" localSheetId="13" hidden="1">'Preparatoria 1'!$D$3:$E$19</definedName>
    <definedName name="_xlnm._FilterDatabase" localSheetId="4" hidden="1">'Primaria 1'!$E$1:$E$40</definedName>
    <definedName name="_xlnm._FilterDatabase" localSheetId="10" hidden="1">'Secundaria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M10" i="1"/>
  <c r="Q10" i="1"/>
  <c r="U10" i="1"/>
  <c r="Y10" i="1"/>
  <c r="AC10" i="1"/>
  <c r="AG10" i="1"/>
  <c r="AH10" i="1"/>
  <c r="I11" i="1"/>
  <c r="M11" i="1"/>
  <c r="Q11" i="1"/>
  <c r="U11" i="1"/>
  <c r="Y11" i="1"/>
  <c r="AC11" i="1"/>
  <c r="AG11" i="1"/>
  <c r="AH11" i="1"/>
  <c r="AG9" i="1"/>
  <c r="AC9" i="1"/>
  <c r="Y9" i="1"/>
  <c r="U9" i="1"/>
  <c r="Q9" i="1"/>
  <c r="M9" i="1"/>
  <c r="I9" i="1"/>
  <c r="AG8" i="1"/>
  <c r="AC8" i="1"/>
  <c r="Y8" i="1"/>
  <c r="U8" i="1"/>
  <c r="Q8" i="1"/>
  <c r="M8" i="1"/>
  <c r="I8" i="1"/>
  <c r="AG7" i="1"/>
  <c r="AC7" i="1"/>
  <c r="Y7" i="1"/>
  <c r="U7" i="1"/>
  <c r="Q7" i="1"/>
  <c r="M7" i="1"/>
  <c r="I7" i="1"/>
  <c r="AG6" i="1"/>
  <c r="AC6" i="1"/>
  <c r="Y6" i="1"/>
  <c r="U6" i="1"/>
  <c r="Q6" i="1"/>
  <c r="M6" i="1"/>
  <c r="I6" i="1"/>
  <c r="AG5" i="1"/>
  <c r="AC5" i="1"/>
  <c r="Y5" i="1"/>
  <c r="U5" i="1"/>
  <c r="Q5" i="1"/>
  <c r="M5" i="1"/>
  <c r="I5" i="1"/>
  <c r="AG4" i="1"/>
  <c r="AC4" i="1"/>
  <c r="Y4" i="1"/>
  <c r="U4" i="1"/>
  <c r="Q4" i="1"/>
  <c r="M4" i="1"/>
  <c r="I4" i="1"/>
  <c r="AG3" i="1"/>
  <c r="AC3" i="1"/>
  <c r="Y3" i="1"/>
  <c r="U3" i="1"/>
  <c r="Q3" i="1"/>
  <c r="M3" i="1"/>
  <c r="I3" i="1"/>
  <c r="AG9" i="2"/>
  <c r="AC9" i="2"/>
  <c r="Y9" i="2"/>
  <c r="U9" i="2"/>
  <c r="Q9" i="2"/>
  <c r="M9" i="2"/>
  <c r="I9" i="2"/>
  <c r="AH9" i="2" s="1"/>
  <c r="AG8" i="2"/>
  <c r="AC8" i="2"/>
  <c r="Y8" i="2"/>
  <c r="U8" i="2"/>
  <c r="Q8" i="2"/>
  <c r="M8" i="2"/>
  <c r="I8" i="2"/>
  <c r="AH8" i="2" s="1"/>
  <c r="AG7" i="2"/>
  <c r="AC7" i="2"/>
  <c r="Y7" i="2"/>
  <c r="U7" i="2"/>
  <c r="Q7" i="2"/>
  <c r="M7" i="2"/>
  <c r="I7" i="2"/>
  <c r="AG6" i="2"/>
  <c r="AC6" i="2"/>
  <c r="Y6" i="2"/>
  <c r="U6" i="2"/>
  <c r="Q6" i="2"/>
  <c r="M6" i="2"/>
  <c r="I6" i="2"/>
  <c r="AG5" i="2"/>
  <c r="AC5" i="2"/>
  <c r="Y5" i="2"/>
  <c r="U5" i="2"/>
  <c r="Q5" i="2"/>
  <c r="M5" i="2"/>
  <c r="I5" i="2"/>
  <c r="AH5" i="2" s="1"/>
  <c r="AG4" i="2"/>
  <c r="AC4" i="2"/>
  <c r="Y4" i="2"/>
  <c r="U4" i="2"/>
  <c r="Q4" i="2"/>
  <c r="M4" i="2"/>
  <c r="I4" i="2"/>
  <c r="AH4" i="2" s="1"/>
  <c r="AG3" i="2"/>
  <c r="AC3" i="2"/>
  <c r="Y3" i="2"/>
  <c r="U3" i="2"/>
  <c r="Q3" i="2"/>
  <c r="M3" i="2"/>
  <c r="I3" i="2"/>
  <c r="I23" i="3"/>
  <c r="M23" i="3"/>
  <c r="Q23" i="3"/>
  <c r="U23" i="3"/>
  <c r="Y23" i="3"/>
  <c r="AC23" i="3"/>
  <c r="AG23" i="3"/>
  <c r="I24" i="3"/>
  <c r="M24" i="3"/>
  <c r="Q24" i="3"/>
  <c r="U24" i="3"/>
  <c r="Y24" i="3"/>
  <c r="AC24" i="3"/>
  <c r="AG24" i="3"/>
  <c r="I25" i="3"/>
  <c r="M25" i="3"/>
  <c r="Q25" i="3"/>
  <c r="U25" i="3"/>
  <c r="Y25" i="3"/>
  <c r="AC25" i="3"/>
  <c r="AG25" i="3"/>
  <c r="I26" i="3"/>
  <c r="AH26" i="3" s="1"/>
  <c r="M26" i="3"/>
  <c r="Q26" i="3"/>
  <c r="U26" i="3"/>
  <c r="Y26" i="3"/>
  <c r="AC26" i="3"/>
  <c r="AG26" i="3"/>
  <c r="AG22" i="3"/>
  <c r="AC22" i="3"/>
  <c r="Y22" i="3"/>
  <c r="U22" i="3"/>
  <c r="Q22" i="3"/>
  <c r="M22" i="3"/>
  <c r="I22" i="3"/>
  <c r="AH22" i="3" s="1"/>
  <c r="AG21" i="3"/>
  <c r="AC21" i="3"/>
  <c r="Y21" i="3"/>
  <c r="U21" i="3"/>
  <c r="Q21" i="3"/>
  <c r="M21" i="3"/>
  <c r="I21" i="3"/>
  <c r="AH21" i="3" s="1"/>
  <c r="AG20" i="3"/>
  <c r="AC20" i="3"/>
  <c r="Y20" i="3"/>
  <c r="U20" i="3"/>
  <c r="Q20" i="3"/>
  <c r="M20" i="3"/>
  <c r="I20" i="3"/>
  <c r="AG19" i="3"/>
  <c r="AC19" i="3"/>
  <c r="Y19" i="3"/>
  <c r="U19" i="3"/>
  <c r="Q19" i="3"/>
  <c r="M19" i="3"/>
  <c r="I19" i="3"/>
  <c r="AH19" i="3" s="1"/>
  <c r="AG18" i="3"/>
  <c r="AC18" i="3"/>
  <c r="Y18" i="3"/>
  <c r="U18" i="3"/>
  <c r="Q18" i="3"/>
  <c r="M18" i="3"/>
  <c r="I18" i="3"/>
  <c r="AH18" i="3" s="1"/>
  <c r="AG17" i="3"/>
  <c r="AC17" i="3"/>
  <c r="Y17" i="3"/>
  <c r="U17" i="3"/>
  <c r="Q17" i="3"/>
  <c r="M17" i="3"/>
  <c r="I17" i="3"/>
  <c r="AG16" i="3"/>
  <c r="AC16" i="3"/>
  <c r="Y16" i="3"/>
  <c r="U16" i="3"/>
  <c r="Q16" i="3"/>
  <c r="M16" i="3"/>
  <c r="I16" i="3"/>
  <c r="AH16" i="3" s="1"/>
  <c r="AG15" i="3"/>
  <c r="AC15" i="3"/>
  <c r="Y15" i="3"/>
  <c r="U15" i="3"/>
  <c r="Q15" i="3"/>
  <c r="M15" i="3"/>
  <c r="I15" i="3"/>
  <c r="AH15" i="3" s="1"/>
  <c r="AG14" i="3"/>
  <c r="AC14" i="3"/>
  <c r="Y14" i="3"/>
  <c r="U14" i="3"/>
  <c r="Q14" i="3"/>
  <c r="M14" i="3"/>
  <c r="I14" i="3"/>
  <c r="AG13" i="3"/>
  <c r="AC13" i="3"/>
  <c r="Y13" i="3"/>
  <c r="U13" i="3"/>
  <c r="Q13" i="3"/>
  <c r="M13" i="3"/>
  <c r="I13" i="3"/>
  <c r="AG12" i="3"/>
  <c r="AC12" i="3"/>
  <c r="Y12" i="3"/>
  <c r="U12" i="3"/>
  <c r="Q12" i="3"/>
  <c r="M12" i="3"/>
  <c r="I12" i="3"/>
  <c r="AH12" i="3" s="1"/>
  <c r="AG11" i="3"/>
  <c r="AC11" i="3"/>
  <c r="Y11" i="3"/>
  <c r="U11" i="3"/>
  <c r="Q11" i="3"/>
  <c r="M11" i="3"/>
  <c r="I11" i="3"/>
  <c r="AG10" i="3"/>
  <c r="AC10" i="3"/>
  <c r="Y10" i="3"/>
  <c r="U10" i="3"/>
  <c r="Q10" i="3"/>
  <c r="M10" i="3"/>
  <c r="I10" i="3"/>
  <c r="AH10" i="3" s="1"/>
  <c r="AG9" i="3"/>
  <c r="AC9" i="3"/>
  <c r="Y9" i="3"/>
  <c r="U9" i="3"/>
  <c r="Q9" i="3"/>
  <c r="M9" i="3"/>
  <c r="I9" i="3"/>
  <c r="AG8" i="3"/>
  <c r="AC8" i="3"/>
  <c r="Y8" i="3"/>
  <c r="U8" i="3"/>
  <c r="Q8" i="3"/>
  <c r="M8" i="3"/>
  <c r="I8" i="3"/>
  <c r="AG7" i="3"/>
  <c r="AC7" i="3"/>
  <c r="Y7" i="3"/>
  <c r="U7" i="3"/>
  <c r="Q7" i="3"/>
  <c r="M7" i="3"/>
  <c r="I7" i="3"/>
  <c r="AH7" i="3" s="1"/>
  <c r="AG6" i="3"/>
  <c r="AC6" i="3"/>
  <c r="Y6" i="3"/>
  <c r="U6" i="3"/>
  <c r="Q6" i="3"/>
  <c r="M6" i="3"/>
  <c r="I6" i="3"/>
  <c r="AG5" i="3"/>
  <c r="AC5" i="3"/>
  <c r="Y5" i="3"/>
  <c r="U5" i="3"/>
  <c r="Q5" i="3"/>
  <c r="M5" i="3"/>
  <c r="I5" i="3"/>
  <c r="AG4" i="3"/>
  <c r="AC4" i="3"/>
  <c r="Y4" i="3"/>
  <c r="U4" i="3"/>
  <c r="Q4" i="3"/>
  <c r="M4" i="3"/>
  <c r="I4" i="3"/>
  <c r="AG3" i="3"/>
  <c r="AC3" i="3"/>
  <c r="Y3" i="3"/>
  <c r="U3" i="3"/>
  <c r="Q3" i="3"/>
  <c r="M3" i="3"/>
  <c r="I3" i="3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3" i="4"/>
  <c r="AG22" i="4"/>
  <c r="AC22" i="4"/>
  <c r="Y22" i="4"/>
  <c r="U22" i="4"/>
  <c r="Q22" i="4"/>
  <c r="M22" i="4"/>
  <c r="I22" i="4"/>
  <c r="AG21" i="4"/>
  <c r="AC21" i="4"/>
  <c r="Y21" i="4"/>
  <c r="U21" i="4"/>
  <c r="Q21" i="4"/>
  <c r="M21" i="4"/>
  <c r="I21" i="4"/>
  <c r="AG20" i="4"/>
  <c r="AC20" i="4"/>
  <c r="Y20" i="4"/>
  <c r="U20" i="4"/>
  <c r="Q20" i="4"/>
  <c r="M20" i="4"/>
  <c r="I20" i="4"/>
  <c r="AG19" i="4"/>
  <c r="AC19" i="4"/>
  <c r="Y19" i="4"/>
  <c r="U19" i="4"/>
  <c r="Q19" i="4"/>
  <c r="M19" i="4"/>
  <c r="I19" i="4"/>
  <c r="AG18" i="4"/>
  <c r="AC18" i="4"/>
  <c r="Y18" i="4"/>
  <c r="U18" i="4"/>
  <c r="Q18" i="4"/>
  <c r="M18" i="4"/>
  <c r="I18" i="4"/>
  <c r="AG17" i="4"/>
  <c r="AC17" i="4"/>
  <c r="Y17" i="4"/>
  <c r="U17" i="4"/>
  <c r="Q17" i="4"/>
  <c r="M17" i="4"/>
  <c r="I17" i="4"/>
  <c r="AG16" i="4"/>
  <c r="AC16" i="4"/>
  <c r="Y16" i="4"/>
  <c r="U16" i="4"/>
  <c r="Q16" i="4"/>
  <c r="M16" i="4"/>
  <c r="I16" i="4"/>
  <c r="AG15" i="4"/>
  <c r="AC15" i="4"/>
  <c r="Y15" i="4"/>
  <c r="U15" i="4"/>
  <c r="Q15" i="4"/>
  <c r="M15" i="4"/>
  <c r="I15" i="4"/>
  <c r="AG14" i="4"/>
  <c r="AC14" i="4"/>
  <c r="Y14" i="4"/>
  <c r="U14" i="4"/>
  <c r="Q14" i="4"/>
  <c r="M14" i="4"/>
  <c r="I14" i="4"/>
  <c r="AG13" i="4"/>
  <c r="AC13" i="4"/>
  <c r="Y13" i="4"/>
  <c r="U13" i="4"/>
  <c r="Q13" i="4"/>
  <c r="M13" i="4"/>
  <c r="I13" i="4"/>
  <c r="AG12" i="4"/>
  <c r="AC12" i="4"/>
  <c r="Y12" i="4"/>
  <c r="U12" i="4"/>
  <c r="Q12" i="4"/>
  <c r="M12" i="4"/>
  <c r="I12" i="4"/>
  <c r="AG11" i="4"/>
  <c r="AC11" i="4"/>
  <c r="Y11" i="4"/>
  <c r="U11" i="4"/>
  <c r="Q11" i="4"/>
  <c r="M11" i="4"/>
  <c r="I11" i="4"/>
  <c r="AG10" i="4"/>
  <c r="AC10" i="4"/>
  <c r="Y10" i="4"/>
  <c r="U10" i="4"/>
  <c r="Q10" i="4"/>
  <c r="M10" i="4"/>
  <c r="I10" i="4"/>
  <c r="AG9" i="4"/>
  <c r="AC9" i="4"/>
  <c r="Y9" i="4"/>
  <c r="U9" i="4"/>
  <c r="Q9" i="4"/>
  <c r="M9" i="4"/>
  <c r="I9" i="4"/>
  <c r="AG8" i="4"/>
  <c r="AC8" i="4"/>
  <c r="Y8" i="4"/>
  <c r="U8" i="4"/>
  <c r="Q8" i="4"/>
  <c r="M8" i="4"/>
  <c r="I8" i="4"/>
  <c r="AG7" i="4"/>
  <c r="AC7" i="4"/>
  <c r="Y7" i="4"/>
  <c r="U7" i="4"/>
  <c r="Q7" i="4"/>
  <c r="M7" i="4"/>
  <c r="I7" i="4"/>
  <c r="AG6" i="4"/>
  <c r="AC6" i="4"/>
  <c r="Y6" i="4"/>
  <c r="U6" i="4"/>
  <c r="Q6" i="4"/>
  <c r="M6" i="4"/>
  <c r="I6" i="4"/>
  <c r="AG5" i="4"/>
  <c r="AC5" i="4"/>
  <c r="Y5" i="4"/>
  <c r="U5" i="4"/>
  <c r="Q5" i="4"/>
  <c r="M5" i="4"/>
  <c r="I5" i="4"/>
  <c r="AG4" i="4"/>
  <c r="AC4" i="4"/>
  <c r="Y4" i="4"/>
  <c r="U4" i="4"/>
  <c r="Q4" i="4"/>
  <c r="M4" i="4"/>
  <c r="I4" i="4"/>
  <c r="AG3" i="4"/>
  <c r="AC3" i="4"/>
  <c r="Y3" i="4"/>
  <c r="U3" i="4"/>
  <c r="Q3" i="4"/>
  <c r="M3" i="4"/>
  <c r="I3" i="4"/>
  <c r="I31" i="5"/>
  <c r="M31" i="5"/>
  <c r="Q31" i="5"/>
  <c r="U31" i="5"/>
  <c r="Y31" i="5"/>
  <c r="AC31" i="5"/>
  <c r="AG31" i="5"/>
  <c r="AK31" i="5"/>
  <c r="AO31" i="5"/>
  <c r="AS31" i="5"/>
  <c r="AW31" i="5"/>
  <c r="BA31" i="5"/>
  <c r="BE31" i="5"/>
  <c r="BI31" i="5"/>
  <c r="BJ31" i="5"/>
  <c r="I32" i="5"/>
  <c r="M32" i="5"/>
  <c r="Q32" i="5"/>
  <c r="U32" i="5"/>
  <c r="Y32" i="5"/>
  <c r="AC32" i="5"/>
  <c r="AG32" i="5"/>
  <c r="AK32" i="5"/>
  <c r="AO32" i="5"/>
  <c r="AS32" i="5"/>
  <c r="AW32" i="5"/>
  <c r="BA32" i="5"/>
  <c r="BE32" i="5"/>
  <c r="BI32" i="5"/>
  <c r="I33" i="5"/>
  <c r="M33" i="5"/>
  <c r="Q33" i="5"/>
  <c r="U33" i="5"/>
  <c r="Y33" i="5"/>
  <c r="AC33" i="5"/>
  <c r="AG33" i="5"/>
  <c r="AK33" i="5"/>
  <c r="AO33" i="5"/>
  <c r="AS33" i="5"/>
  <c r="AW33" i="5"/>
  <c r="BA33" i="5"/>
  <c r="BE33" i="5"/>
  <c r="BI33" i="5"/>
  <c r="I34" i="5"/>
  <c r="BJ34" i="5" s="1"/>
  <c r="M34" i="5"/>
  <c r="Q34" i="5"/>
  <c r="U34" i="5"/>
  <c r="Y34" i="5"/>
  <c r="AC34" i="5"/>
  <c r="AG34" i="5"/>
  <c r="AK34" i="5"/>
  <c r="AO34" i="5"/>
  <c r="AS34" i="5"/>
  <c r="AW34" i="5"/>
  <c r="BA34" i="5"/>
  <c r="BE34" i="5"/>
  <c r="BI34" i="5"/>
  <c r="I35" i="5"/>
  <c r="M35" i="5"/>
  <c r="Q35" i="5"/>
  <c r="U35" i="5"/>
  <c r="Y35" i="5"/>
  <c r="AC35" i="5"/>
  <c r="AG35" i="5"/>
  <c r="AK35" i="5"/>
  <c r="AO35" i="5"/>
  <c r="AS35" i="5"/>
  <c r="AW35" i="5"/>
  <c r="BA35" i="5"/>
  <c r="BE35" i="5"/>
  <c r="BI35" i="5"/>
  <c r="I36" i="5"/>
  <c r="M36" i="5"/>
  <c r="Q36" i="5"/>
  <c r="U36" i="5"/>
  <c r="Y36" i="5"/>
  <c r="AC36" i="5"/>
  <c r="AG36" i="5"/>
  <c r="AK36" i="5"/>
  <c r="AO36" i="5"/>
  <c r="AS36" i="5"/>
  <c r="AW36" i="5"/>
  <c r="BA36" i="5"/>
  <c r="BE36" i="5"/>
  <c r="BI36" i="5"/>
  <c r="I37" i="5"/>
  <c r="BJ37" i="5" s="1"/>
  <c r="M37" i="5"/>
  <c r="Q37" i="5"/>
  <c r="U37" i="5"/>
  <c r="Y37" i="5"/>
  <c r="AC37" i="5"/>
  <c r="AG37" i="5"/>
  <c r="AK37" i="5"/>
  <c r="AO37" i="5"/>
  <c r="AS37" i="5"/>
  <c r="AW37" i="5"/>
  <c r="BA37" i="5"/>
  <c r="BE37" i="5"/>
  <c r="BI37" i="5"/>
  <c r="I38" i="5"/>
  <c r="M38" i="5"/>
  <c r="Q38" i="5"/>
  <c r="U38" i="5"/>
  <c r="Y38" i="5"/>
  <c r="AC38" i="5"/>
  <c r="AG38" i="5"/>
  <c r="AK38" i="5"/>
  <c r="AO38" i="5"/>
  <c r="AS38" i="5"/>
  <c r="AW38" i="5"/>
  <c r="BA38" i="5"/>
  <c r="BE38" i="5"/>
  <c r="BI38" i="5"/>
  <c r="I39" i="5"/>
  <c r="M39" i="5"/>
  <c r="Q39" i="5"/>
  <c r="U39" i="5"/>
  <c r="Y39" i="5"/>
  <c r="AC39" i="5"/>
  <c r="AG39" i="5"/>
  <c r="AK39" i="5"/>
  <c r="AO39" i="5"/>
  <c r="AS39" i="5"/>
  <c r="AW39" i="5"/>
  <c r="BA39" i="5"/>
  <c r="BE39" i="5"/>
  <c r="BI39" i="5"/>
  <c r="I40" i="5"/>
  <c r="BJ40" i="5" s="1"/>
  <c r="M40" i="5"/>
  <c r="Q40" i="5"/>
  <c r="U40" i="5"/>
  <c r="Y40" i="5"/>
  <c r="AC40" i="5"/>
  <c r="AG40" i="5"/>
  <c r="AK40" i="5"/>
  <c r="AO40" i="5"/>
  <c r="AS40" i="5"/>
  <c r="AW40" i="5"/>
  <c r="BA40" i="5"/>
  <c r="BE40" i="5"/>
  <c r="BI40" i="5"/>
  <c r="BI30" i="5"/>
  <c r="BE30" i="5"/>
  <c r="BA30" i="5"/>
  <c r="AW30" i="5"/>
  <c r="AS30" i="5"/>
  <c r="AO30" i="5"/>
  <c r="AK30" i="5"/>
  <c r="AG30" i="5"/>
  <c r="AC30" i="5"/>
  <c r="Y30" i="5"/>
  <c r="U30" i="5"/>
  <c r="Q30" i="5"/>
  <c r="M30" i="5"/>
  <c r="I30" i="5"/>
  <c r="BI29" i="5"/>
  <c r="BE29" i="5"/>
  <c r="BA29" i="5"/>
  <c r="AW29" i="5"/>
  <c r="AS29" i="5"/>
  <c r="AO29" i="5"/>
  <c r="AK29" i="5"/>
  <c r="AG29" i="5"/>
  <c r="AC29" i="5"/>
  <c r="Y29" i="5"/>
  <c r="U29" i="5"/>
  <c r="Q29" i="5"/>
  <c r="M29" i="5"/>
  <c r="I29" i="5"/>
  <c r="BI28" i="5"/>
  <c r="BE28" i="5"/>
  <c r="BA28" i="5"/>
  <c r="AW28" i="5"/>
  <c r="AS28" i="5"/>
  <c r="AO28" i="5"/>
  <c r="AK28" i="5"/>
  <c r="AG28" i="5"/>
  <c r="AC28" i="5"/>
  <c r="Y28" i="5"/>
  <c r="U28" i="5"/>
  <c r="Q28" i="5"/>
  <c r="M28" i="5"/>
  <c r="I28" i="5"/>
  <c r="BI27" i="5"/>
  <c r="BE27" i="5"/>
  <c r="BA27" i="5"/>
  <c r="AW27" i="5"/>
  <c r="AS27" i="5"/>
  <c r="AO27" i="5"/>
  <c r="AK27" i="5"/>
  <c r="AG27" i="5"/>
  <c r="AC27" i="5"/>
  <c r="Y27" i="5"/>
  <c r="U27" i="5"/>
  <c r="Q27" i="5"/>
  <c r="M27" i="5"/>
  <c r="I27" i="5"/>
  <c r="BI26" i="5"/>
  <c r="BE26" i="5"/>
  <c r="BA26" i="5"/>
  <c r="AW26" i="5"/>
  <c r="AS26" i="5"/>
  <c r="AO26" i="5"/>
  <c r="AK26" i="5"/>
  <c r="AG26" i="5"/>
  <c r="AC26" i="5"/>
  <c r="Y26" i="5"/>
  <c r="U26" i="5"/>
  <c r="Q26" i="5"/>
  <c r="M26" i="5"/>
  <c r="I26" i="5"/>
  <c r="BI25" i="5"/>
  <c r="BE25" i="5"/>
  <c r="BA25" i="5"/>
  <c r="AW25" i="5"/>
  <c r="AS25" i="5"/>
  <c r="AO25" i="5"/>
  <c r="AK25" i="5"/>
  <c r="AG25" i="5"/>
  <c r="AC25" i="5"/>
  <c r="Y25" i="5"/>
  <c r="U25" i="5"/>
  <c r="Q25" i="5"/>
  <c r="M25" i="5"/>
  <c r="I25" i="5"/>
  <c r="BI24" i="5"/>
  <c r="BE24" i="5"/>
  <c r="BA24" i="5"/>
  <c r="AW24" i="5"/>
  <c r="AS24" i="5"/>
  <c r="AO24" i="5"/>
  <c r="AK24" i="5"/>
  <c r="AG24" i="5"/>
  <c r="AC24" i="5"/>
  <c r="Y24" i="5"/>
  <c r="U24" i="5"/>
  <c r="Q24" i="5"/>
  <c r="M24" i="5"/>
  <c r="I24" i="5"/>
  <c r="BJ24" i="5" s="1"/>
  <c r="BI23" i="5"/>
  <c r="BE23" i="5"/>
  <c r="BA23" i="5"/>
  <c r="AW23" i="5"/>
  <c r="AS23" i="5"/>
  <c r="AO23" i="5"/>
  <c r="AK23" i="5"/>
  <c r="AG23" i="5"/>
  <c r="AC23" i="5"/>
  <c r="Y23" i="5"/>
  <c r="U23" i="5"/>
  <c r="Q23" i="5"/>
  <c r="M23" i="5"/>
  <c r="I23" i="5"/>
  <c r="BI22" i="5"/>
  <c r="BE22" i="5"/>
  <c r="BA22" i="5"/>
  <c r="AW22" i="5"/>
  <c r="AS22" i="5"/>
  <c r="AO22" i="5"/>
  <c r="AK22" i="5"/>
  <c r="AG22" i="5"/>
  <c r="AC22" i="5"/>
  <c r="Y22" i="5"/>
  <c r="U22" i="5"/>
  <c r="Q22" i="5"/>
  <c r="M22" i="5"/>
  <c r="I22" i="5"/>
  <c r="BI21" i="5"/>
  <c r="BE21" i="5"/>
  <c r="BA21" i="5"/>
  <c r="AW21" i="5"/>
  <c r="AS21" i="5"/>
  <c r="AO21" i="5"/>
  <c r="AK21" i="5"/>
  <c r="AG21" i="5"/>
  <c r="AC21" i="5"/>
  <c r="Y21" i="5"/>
  <c r="U21" i="5"/>
  <c r="Q21" i="5"/>
  <c r="M21" i="5"/>
  <c r="I21" i="5"/>
  <c r="BJ21" i="5" s="1"/>
  <c r="BI20" i="5"/>
  <c r="BE20" i="5"/>
  <c r="BA20" i="5"/>
  <c r="AW20" i="5"/>
  <c r="AS20" i="5"/>
  <c r="AO20" i="5"/>
  <c r="AK20" i="5"/>
  <c r="AG20" i="5"/>
  <c r="AC20" i="5"/>
  <c r="Y20" i="5"/>
  <c r="U20" i="5"/>
  <c r="Q20" i="5"/>
  <c r="M20" i="5"/>
  <c r="I20" i="5"/>
  <c r="BI19" i="5"/>
  <c r="BE19" i="5"/>
  <c r="BA19" i="5"/>
  <c r="AW19" i="5"/>
  <c r="AS19" i="5"/>
  <c r="AO19" i="5"/>
  <c r="AK19" i="5"/>
  <c r="AG19" i="5"/>
  <c r="AC19" i="5"/>
  <c r="Y19" i="5"/>
  <c r="BJ19" i="5" s="1"/>
  <c r="U19" i="5"/>
  <c r="Q19" i="5"/>
  <c r="M19" i="5"/>
  <c r="I19" i="5"/>
  <c r="BI18" i="5"/>
  <c r="BE18" i="5"/>
  <c r="BA18" i="5"/>
  <c r="AW18" i="5"/>
  <c r="AS18" i="5"/>
  <c r="AO18" i="5"/>
  <c r="AK18" i="5"/>
  <c r="AG18" i="5"/>
  <c r="AC18" i="5"/>
  <c r="Y18" i="5"/>
  <c r="U18" i="5"/>
  <c r="Q18" i="5"/>
  <c r="M18" i="5"/>
  <c r="I18" i="5"/>
  <c r="BJ18" i="5" s="1"/>
  <c r="BI17" i="5"/>
  <c r="BE17" i="5"/>
  <c r="BA17" i="5"/>
  <c r="AW17" i="5"/>
  <c r="AS17" i="5"/>
  <c r="AO17" i="5"/>
  <c r="AK17" i="5"/>
  <c r="AG17" i="5"/>
  <c r="AC17" i="5"/>
  <c r="Y17" i="5"/>
  <c r="U17" i="5"/>
  <c r="Q17" i="5"/>
  <c r="M17" i="5"/>
  <c r="I17" i="5"/>
  <c r="BI16" i="5"/>
  <c r="BE16" i="5"/>
  <c r="BA16" i="5"/>
  <c r="AW16" i="5"/>
  <c r="AS16" i="5"/>
  <c r="AO16" i="5"/>
  <c r="AK16" i="5"/>
  <c r="AG16" i="5"/>
  <c r="AC16" i="5"/>
  <c r="Y16" i="5"/>
  <c r="U16" i="5"/>
  <c r="Q16" i="5"/>
  <c r="M16" i="5"/>
  <c r="I16" i="5"/>
  <c r="BI15" i="5"/>
  <c r="BE15" i="5"/>
  <c r="BA15" i="5"/>
  <c r="AW15" i="5"/>
  <c r="AS15" i="5"/>
  <c r="AO15" i="5"/>
  <c r="AK15" i="5"/>
  <c r="AG15" i="5"/>
  <c r="AC15" i="5"/>
  <c r="Y15" i="5"/>
  <c r="U15" i="5"/>
  <c r="Q15" i="5"/>
  <c r="M15" i="5"/>
  <c r="I15" i="5"/>
  <c r="BJ15" i="5" s="1"/>
  <c r="BI14" i="5"/>
  <c r="BE14" i="5"/>
  <c r="BA14" i="5"/>
  <c r="AW14" i="5"/>
  <c r="AS14" i="5"/>
  <c r="AO14" i="5"/>
  <c r="AK14" i="5"/>
  <c r="AG14" i="5"/>
  <c r="AC14" i="5"/>
  <c r="Y14" i="5"/>
  <c r="U14" i="5"/>
  <c r="Q14" i="5"/>
  <c r="M14" i="5"/>
  <c r="I14" i="5"/>
  <c r="BI13" i="5"/>
  <c r="BE13" i="5"/>
  <c r="BA13" i="5"/>
  <c r="AW13" i="5"/>
  <c r="AS13" i="5"/>
  <c r="AO13" i="5"/>
  <c r="AK13" i="5"/>
  <c r="AG13" i="5"/>
  <c r="AC13" i="5"/>
  <c r="Y13" i="5"/>
  <c r="U13" i="5"/>
  <c r="Q13" i="5"/>
  <c r="M13" i="5"/>
  <c r="I13" i="5"/>
  <c r="BI12" i="5"/>
  <c r="BE12" i="5"/>
  <c r="BA12" i="5"/>
  <c r="AW12" i="5"/>
  <c r="AS12" i="5"/>
  <c r="AO12" i="5"/>
  <c r="AK12" i="5"/>
  <c r="AG12" i="5"/>
  <c r="AC12" i="5"/>
  <c r="Y12" i="5"/>
  <c r="U12" i="5"/>
  <c r="Q12" i="5"/>
  <c r="M12" i="5"/>
  <c r="I12" i="5"/>
  <c r="BJ12" i="5" s="1"/>
  <c r="BI11" i="5"/>
  <c r="BE11" i="5"/>
  <c r="BA11" i="5"/>
  <c r="AW11" i="5"/>
  <c r="AS11" i="5"/>
  <c r="AO11" i="5"/>
  <c r="AK11" i="5"/>
  <c r="BJ11" i="5" s="1"/>
  <c r="AG11" i="5"/>
  <c r="AC11" i="5"/>
  <c r="Y11" i="5"/>
  <c r="U11" i="5"/>
  <c r="Q11" i="5"/>
  <c r="M11" i="5"/>
  <c r="I11" i="5"/>
  <c r="BI10" i="5"/>
  <c r="BE10" i="5"/>
  <c r="BA10" i="5"/>
  <c r="AW10" i="5"/>
  <c r="AS10" i="5"/>
  <c r="AO10" i="5"/>
  <c r="AK10" i="5"/>
  <c r="AG10" i="5"/>
  <c r="AC10" i="5"/>
  <c r="Y10" i="5"/>
  <c r="U10" i="5"/>
  <c r="Q10" i="5"/>
  <c r="M10" i="5"/>
  <c r="I10" i="5"/>
  <c r="BI9" i="5"/>
  <c r="BE9" i="5"/>
  <c r="BA9" i="5"/>
  <c r="AW9" i="5"/>
  <c r="AS9" i="5"/>
  <c r="AO9" i="5"/>
  <c r="AK9" i="5"/>
  <c r="AG9" i="5"/>
  <c r="AC9" i="5"/>
  <c r="Y9" i="5"/>
  <c r="U9" i="5"/>
  <c r="Q9" i="5"/>
  <c r="M9" i="5"/>
  <c r="I9" i="5"/>
  <c r="BI8" i="5"/>
  <c r="BE8" i="5"/>
  <c r="BA8" i="5"/>
  <c r="AW8" i="5"/>
  <c r="AS8" i="5"/>
  <c r="AO8" i="5"/>
  <c r="AK8" i="5"/>
  <c r="AG8" i="5"/>
  <c r="AC8" i="5"/>
  <c r="Y8" i="5"/>
  <c r="U8" i="5"/>
  <c r="Q8" i="5"/>
  <c r="M8" i="5"/>
  <c r="I8" i="5"/>
  <c r="BI7" i="5"/>
  <c r="BE7" i="5"/>
  <c r="BA7" i="5"/>
  <c r="AW7" i="5"/>
  <c r="AS7" i="5"/>
  <c r="AO7" i="5"/>
  <c r="AK7" i="5"/>
  <c r="AG7" i="5"/>
  <c r="AC7" i="5"/>
  <c r="Y7" i="5"/>
  <c r="U7" i="5"/>
  <c r="Q7" i="5"/>
  <c r="M7" i="5"/>
  <c r="I7" i="5"/>
  <c r="BI6" i="5"/>
  <c r="BE6" i="5"/>
  <c r="BA6" i="5"/>
  <c r="AW6" i="5"/>
  <c r="AS6" i="5"/>
  <c r="AO6" i="5"/>
  <c r="AK6" i="5"/>
  <c r="AG6" i="5"/>
  <c r="AC6" i="5"/>
  <c r="Y6" i="5"/>
  <c r="U6" i="5"/>
  <c r="Q6" i="5"/>
  <c r="M6" i="5"/>
  <c r="I6" i="5"/>
  <c r="BI5" i="5"/>
  <c r="BE5" i="5"/>
  <c r="BA5" i="5"/>
  <c r="AW5" i="5"/>
  <c r="AS5" i="5"/>
  <c r="AO5" i="5"/>
  <c r="AK5" i="5"/>
  <c r="AG5" i="5"/>
  <c r="AC5" i="5"/>
  <c r="Y5" i="5"/>
  <c r="U5" i="5"/>
  <c r="Q5" i="5"/>
  <c r="M5" i="5"/>
  <c r="I5" i="5"/>
  <c r="BI4" i="5"/>
  <c r="BE4" i="5"/>
  <c r="BA4" i="5"/>
  <c r="AW4" i="5"/>
  <c r="AS4" i="5"/>
  <c r="AO4" i="5"/>
  <c r="AK4" i="5"/>
  <c r="AG4" i="5"/>
  <c r="AC4" i="5"/>
  <c r="Y4" i="5"/>
  <c r="U4" i="5"/>
  <c r="Q4" i="5"/>
  <c r="M4" i="5"/>
  <c r="I4" i="5"/>
  <c r="BI3" i="5"/>
  <c r="BE3" i="5"/>
  <c r="BA3" i="5"/>
  <c r="AW3" i="5"/>
  <c r="AS3" i="5"/>
  <c r="AO3" i="5"/>
  <c r="AK3" i="5"/>
  <c r="AG3" i="5"/>
  <c r="AC3" i="5"/>
  <c r="Y3" i="5"/>
  <c r="U3" i="5"/>
  <c r="Q3" i="5"/>
  <c r="M3" i="5"/>
  <c r="I3" i="5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" i="6"/>
  <c r="BI30" i="6"/>
  <c r="BI29" i="6"/>
  <c r="BI28" i="6"/>
  <c r="BI27" i="6"/>
  <c r="BI26" i="6"/>
  <c r="BI25" i="6"/>
  <c r="BI24" i="6"/>
  <c r="BI23" i="6"/>
  <c r="BI22" i="6"/>
  <c r="BI21" i="6"/>
  <c r="BI20" i="6"/>
  <c r="BI19" i="6"/>
  <c r="BI18" i="6"/>
  <c r="BI17" i="6"/>
  <c r="BI16" i="6"/>
  <c r="BI15" i="6"/>
  <c r="BI14" i="6"/>
  <c r="BI13" i="6"/>
  <c r="BI12" i="6"/>
  <c r="BI11" i="6"/>
  <c r="BI10" i="6"/>
  <c r="BI9" i="6"/>
  <c r="BI8" i="6"/>
  <c r="BI7" i="6"/>
  <c r="BI6" i="6"/>
  <c r="BI5" i="6"/>
  <c r="BI4" i="6"/>
  <c r="BI3" i="6"/>
  <c r="BE30" i="6"/>
  <c r="BE29" i="6"/>
  <c r="BE28" i="6"/>
  <c r="BE27" i="6"/>
  <c r="BE26" i="6"/>
  <c r="BE25" i="6"/>
  <c r="BE24" i="6"/>
  <c r="BE23" i="6"/>
  <c r="BE22" i="6"/>
  <c r="BE21" i="6"/>
  <c r="BE20" i="6"/>
  <c r="BE19" i="6"/>
  <c r="BE18" i="6"/>
  <c r="BE17" i="6"/>
  <c r="BE16" i="6"/>
  <c r="BE15" i="6"/>
  <c r="BE14" i="6"/>
  <c r="BE13" i="6"/>
  <c r="BE12" i="6"/>
  <c r="BE11" i="6"/>
  <c r="BE10" i="6"/>
  <c r="BE9" i="6"/>
  <c r="BE8" i="6"/>
  <c r="BE7" i="6"/>
  <c r="BE6" i="6"/>
  <c r="BE5" i="6"/>
  <c r="BE4" i="6"/>
  <c r="BE3" i="6"/>
  <c r="BA30" i="6"/>
  <c r="AW30" i="6"/>
  <c r="AS30" i="6"/>
  <c r="AO30" i="6"/>
  <c r="AK30" i="6"/>
  <c r="AG30" i="6"/>
  <c r="AC30" i="6"/>
  <c r="Y30" i="6"/>
  <c r="U30" i="6"/>
  <c r="Q30" i="6"/>
  <c r="M30" i="6"/>
  <c r="I30" i="6"/>
  <c r="BA29" i="6"/>
  <c r="AW29" i="6"/>
  <c r="AS29" i="6"/>
  <c r="AO29" i="6"/>
  <c r="AK29" i="6"/>
  <c r="AG29" i="6"/>
  <c r="AC29" i="6"/>
  <c r="Y29" i="6"/>
  <c r="U29" i="6"/>
  <c r="Q29" i="6"/>
  <c r="M29" i="6"/>
  <c r="I29" i="6"/>
  <c r="BA28" i="6"/>
  <c r="AW28" i="6"/>
  <c r="AS28" i="6"/>
  <c r="AO28" i="6"/>
  <c r="AK28" i="6"/>
  <c r="AG28" i="6"/>
  <c r="AC28" i="6"/>
  <c r="Y28" i="6"/>
  <c r="U28" i="6"/>
  <c r="Q28" i="6"/>
  <c r="M28" i="6"/>
  <c r="I28" i="6"/>
  <c r="BA27" i="6"/>
  <c r="AW27" i="6"/>
  <c r="AS27" i="6"/>
  <c r="AO27" i="6"/>
  <c r="AK27" i="6"/>
  <c r="AG27" i="6"/>
  <c r="AC27" i="6"/>
  <c r="Y27" i="6"/>
  <c r="U27" i="6"/>
  <c r="Q27" i="6"/>
  <c r="M27" i="6"/>
  <c r="I27" i="6"/>
  <c r="BA26" i="6"/>
  <c r="AW26" i="6"/>
  <c r="AS26" i="6"/>
  <c r="AO26" i="6"/>
  <c r="AK26" i="6"/>
  <c r="AG26" i="6"/>
  <c r="AC26" i="6"/>
  <c r="Y26" i="6"/>
  <c r="U26" i="6"/>
  <c r="Q26" i="6"/>
  <c r="M26" i="6"/>
  <c r="I26" i="6"/>
  <c r="BA25" i="6"/>
  <c r="AW25" i="6"/>
  <c r="AS25" i="6"/>
  <c r="AO25" i="6"/>
  <c r="AK25" i="6"/>
  <c r="AG25" i="6"/>
  <c r="AC25" i="6"/>
  <c r="Y25" i="6"/>
  <c r="U25" i="6"/>
  <c r="Q25" i="6"/>
  <c r="M25" i="6"/>
  <c r="I25" i="6"/>
  <c r="BA24" i="6"/>
  <c r="AW24" i="6"/>
  <c r="AS24" i="6"/>
  <c r="AO24" i="6"/>
  <c r="AK24" i="6"/>
  <c r="AG24" i="6"/>
  <c r="AC24" i="6"/>
  <c r="Y24" i="6"/>
  <c r="U24" i="6"/>
  <c r="Q24" i="6"/>
  <c r="M24" i="6"/>
  <c r="I24" i="6"/>
  <c r="BA23" i="6"/>
  <c r="AW23" i="6"/>
  <c r="AS23" i="6"/>
  <c r="AO23" i="6"/>
  <c r="AK23" i="6"/>
  <c r="AG23" i="6"/>
  <c r="AC23" i="6"/>
  <c r="Y23" i="6"/>
  <c r="U23" i="6"/>
  <c r="Q23" i="6"/>
  <c r="M23" i="6"/>
  <c r="I23" i="6"/>
  <c r="BA22" i="6"/>
  <c r="AW22" i="6"/>
  <c r="AS22" i="6"/>
  <c r="AO22" i="6"/>
  <c r="AK22" i="6"/>
  <c r="AG22" i="6"/>
  <c r="AC22" i="6"/>
  <c r="Y22" i="6"/>
  <c r="U22" i="6"/>
  <c r="Q22" i="6"/>
  <c r="M22" i="6"/>
  <c r="I22" i="6"/>
  <c r="BA21" i="6"/>
  <c r="AW21" i="6"/>
  <c r="AS21" i="6"/>
  <c r="AO21" i="6"/>
  <c r="AK21" i="6"/>
  <c r="AG21" i="6"/>
  <c r="AC21" i="6"/>
  <c r="Y21" i="6"/>
  <c r="U21" i="6"/>
  <c r="Q21" i="6"/>
  <c r="M21" i="6"/>
  <c r="I21" i="6"/>
  <c r="BA20" i="6"/>
  <c r="AW20" i="6"/>
  <c r="AS20" i="6"/>
  <c r="AO20" i="6"/>
  <c r="AK20" i="6"/>
  <c r="AG20" i="6"/>
  <c r="AC20" i="6"/>
  <c r="Y20" i="6"/>
  <c r="U20" i="6"/>
  <c r="Q20" i="6"/>
  <c r="M20" i="6"/>
  <c r="I20" i="6"/>
  <c r="BA19" i="6"/>
  <c r="AW19" i="6"/>
  <c r="AS19" i="6"/>
  <c r="AO19" i="6"/>
  <c r="AK19" i="6"/>
  <c r="AG19" i="6"/>
  <c r="AC19" i="6"/>
  <c r="Y19" i="6"/>
  <c r="U19" i="6"/>
  <c r="Q19" i="6"/>
  <c r="M19" i="6"/>
  <c r="I19" i="6"/>
  <c r="BA18" i="6"/>
  <c r="AW18" i="6"/>
  <c r="AS18" i="6"/>
  <c r="AO18" i="6"/>
  <c r="AK18" i="6"/>
  <c r="AG18" i="6"/>
  <c r="AC18" i="6"/>
  <c r="Y18" i="6"/>
  <c r="U18" i="6"/>
  <c r="Q18" i="6"/>
  <c r="M18" i="6"/>
  <c r="I18" i="6"/>
  <c r="BA17" i="6"/>
  <c r="AW17" i="6"/>
  <c r="AS17" i="6"/>
  <c r="AO17" i="6"/>
  <c r="AK17" i="6"/>
  <c r="AG17" i="6"/>
  <c r="AC17" i="6"/>
  <c r="Y17" i="6"/>
  <c r="U17" i="6"/>
  <c r="Q17" i="6"/>
  <c r="M17" i="6"/>
  <c r="I17" i="6"/>
  <c r="BA16" i="6"/>
  <c r="AW16" i="6"/>
  <c r="AS16" i="6"/>
  <c r="AO16" i="6"/>
  <c r="AK16" i="6"/>
  <c r="AG16" i="6"/>
  <c r="AC16" i="6"/>
  <c r="Y16" i="6"/>
  <c r="U16" i="6"/>
  <c r="Q16" i="6"/>
  <c r="M16" i="6"/>
  <c r="I16" i="6"/>
  <c r="BA15" i="6"/>
  <c r="AW15" i="6"/>
  <c r="AS15" i="6"/>
  <c r="AO15" i="6"/>
  <c r="AK15" i="6"/>
  <c r="AG15" i="6"/>
  <c r="AC15" i="6"/>
  <c r="Y15" i="6"/>
  <c r="U15" i="6"/>
  <c r="Q15" i="6"/>
  <c r="M15" i="6"/>
  <c r="I15" i="6"/>
  <c r="BA14" i="6"/>
  <c r="AW14" i="6"/>
  <c r="AS14" i="6"/>
  <c r="AO14" i="6"/>
  <c r="AK14" i="6"/>
  <c r="AG14" i="6"/>
  <c r="AC14" i="6"/>
  <c r="Y14" i="6"/>
  <c r="U14" i="6"/>
  <c r="Q14" i="6"/>
  <c r="M14" i="6"/>
  <c r="I14" i="6"/>
  <c r="BA13" i="6"/>
  <c r="AW13" i="6"/>
  <c r="AS13" i="6"/>
  <c r="AO13" i="6"/>
  <c r="AK13" i="6"/>
  <c r="AG13" i="6"/>
  <c r="AC13" i="6"/>
  <c r="Y13" i="6"/>
  <c r="U13" i="6"/>
  <c r="Q13" i="6"/>
  <c r="M13" i="6"/>
  <c r="I13" i="6"/>
  <c r="BA12" i="6"/>
  <c r="AW12" i="6"/>
  <c r="AS12" i="6"/>
  <c r="AO12" i="6"/>
  <c r="AK12" i="6"/>
  <c r="AG12" i="6"/>
  <c r="AC12" i="6"/>
  <c r="Y12" i="6"/>
  <c r="U12" i="6"/>
  <c r="Q12" i="6"/>
  <c r="M12" i="6"/>
  <c r="I12" i="6"/>
  <c r="BA11" i="6"/>
  <c r="AW11" i="6"/>
  <c r="AS11" i="6"/>
  <c r="AO11" i="6"/>
  <c r="AK11" i="6"/>
  <c r="AG11" i="6"/>
  <c r="AC11" i="6"/>
  <c r="Y11" i="6"/>
  <c r="U11" i="6"/>
  <c r="Q11" i="6"/>
  <c r="M11" i="6"/>
  <c r="I11" i="6"/>
  <c r="BA10" i="6"/>
  <c r="AW10" i="6"/>
  <c r="AS10" i="6"/>
  <c r="AO10" i="6"/>
  <c r="AK10" i="6"/>
  <c r="AG10" i="6"/>
  <c r="AC10" i="6"/>
  <c r="Y10" i="6"/>
  <c r="U10" i="6"/>
  <c r="Q10" i="6"/>
  <c r="M10" i="6"/>
  <c r="I10" i="6"/>
  <c r="BA9" i="6"/>
  <c r="AW9" i="6"/>
  <c r="AS9" i="6"/>
  <c r="AO9" i="6"/>
  <c r="AK9" i="6"/>
  <c r="AG9" i="6"/>
  <c r="AC9" i="6"/>
  <c r="Y9" i="6"/>
  <c r="U9" i="6"/>
  <c r="Q9" i="6"/>
  <c r="M9" i="6"/>
  <c r="I9" i="6"/>
  <c r="BA8" i="6"/>
  <c r="AW8" i="6"/>
  <c r="AS8" i="6"/>
  <c r="AO8" i="6"/>
  <c r="AK8" i="6"/>
  <c r="AG8" i="6"/>
  <c r="AC8" i="6"/>
  <c r="Y8" i="6"/>
  <c r="U8" i="6"/>
  <c r="Q8" i="6"/>
  <c r="M8" i="6"/>
  <c r="I8" i="6"/>
  <c r="BA7" i="6"/>
  <c r="AW7" i="6"/>
  <c r="AS7" i="6"/>
  <c r="AO7" i="6"/>
  <c r="AK7" i="6"/>
  <c r="AG7" i="6"/>
  <c r="AC7" i="6"/>
  <c r="Y7" i="6"/>
  <c r="U7" i="6"/>
  <c r="Q7" i="6"/>
  <c r="M7" i="6"/>
  <c r="I7" i="6"/>
  <c r="BA6" i="6"/>
  <c r="AW6" i="6"/>
  <c r="AS6" i="6"/>
  <c r="AO6" i="6"/>
  <c r="AK6" i="6"/>
  <c r="AG6" i="6"/>
  <c r="AC6" i="6"/>
  <c r="Y6" i="6"/>
  <c r="U6" i="6"/>
  <c r="Q6" i="6"/>
  <c r="M6" i="6"/>
  <c r="I6" i="6"/>
  <c r="BA5" i="6"/>
  <c r="AW5" i="6"/>
  <c r="AS5" i="6"/>
  <c r="AO5" i="6"/>
  <c r="AK5" i="6"/>
  <c r="AG5" i="6"/>
  <c r="AC5" i="6"/>
  <c r="Y5" i="6"/>
  <c r="U5" i="6"/>
  <c r="Q5" i="6"/>
  <c r="M5" i="6"/>
  <c r="I5" i="6"/>
  <c r="BA4" i="6"/>
  <c r="AW4" i="6"/>
  <c r="AS4" i="6"/>
  <c r="AO4" i="6"/>
  <c r="AK4" i="6"/>
  <c r="AG4" i="6"/>
  <c r="AC4" i="6"/>
  <c r="Y4" i="6"/>
  <c r="U4" i="6"/>
  <c r="Q4" i="6"/>
  <c r="M4" i="6"/>
  <c r="I4" i="6"/>
  <c r="BA3" i="6"/>
  <c r="AW3" i="6"/>
  <c r="AS3" i="6"/>
  <c r="AO3" i="6"/>
  <c r="AK3" i="6"/>
  <c r="AG3" i="6"/>
  <c r="AC3" i="6"/>
  <c r="Y3" i="6"/>
  <c r="U3" i="6"/>
  <c r="Q3" i="6"/>
  <c r="M3" i="6"/>
  <c r="I3" i="6"/>
  <c r="I32" i="7"/>
  <c r="M32" i="7"/>
  <c r="Q32" i="7"/>
  <c r="U32" i="7"/>
  <c r="Y32" i="7"/>
  <c r="AC32" i="7"/>
  <c r="AG32" i="7"/>
  <c r="AK32" i="7"/>
  <c r="AO32" i="7"/>
  <c r="AS32" i="7"/>
  <c r="AW32" i="7"/>
  <c r="BA32" i="7"/>
  <c r="BB32" i="7"/>
  <c r="I33" i="7"/>
  <c r="M33" i="7"/>
  <c r="Q33" i="7"/>
  <c r="U33" i="7"/>
  <c r="Y33" i="7"/>
  <c r="AC33" i="7"/>
  <c r="AG33" i="7"/>
  <c r="AK33" i="7"/>
  <c r="AO33" i="7"/>
  <c r="AS33" i="7"/>
  <c r="AW33" i="7"/>
  <c r="BA33" i="7"/>
  <c r="I34" i="7"/>
  <c r="M34" i="7"/>
  <c r="Q34" i="7"/>
  <c r="U34" i="7"/>
  <c r="Y34" i="7"/>
  <c r="AC34" i="7"/>
  <c r="AG34" i="7"/>
  <c r="AK34" i="7"/>
  <c r="AO34" i="7"/>
  <c r="AS34" i="7"/>
  <c r="AW34" i="7"/>
  <c r="BA34" i="7"/>
  <c r="BB34" i="7"/>
  <c r="I35" i="7"/>
  <c r="M35" i="7"/>
  <c r="Q35" i="7"/>
  <c r="U35" i="7"/>
  <c r="Y35" i="7"/>
  <c r="AC35" i="7"/>
  <c r="AG35" i="7"/>
  <c r="AK35" i="7"/>
  <c r="AO35" i="7"/>
  <c r="AS35" i="7"/>
  <c r="AW35" i="7"/>
  <c r="BA35" i="7"/>
  <c r="I36" i="7"/>
  <c r="M36" i="7"/>
  <c r="Q36" i="7"/>
  <c r="U36" i="7"/>
  <c r="Y36" i="7"/>
  <c r="AC36" i="7"/>
  <c r="AG36" i="7"/>
  <c r="AK36" i="7"/>
  <c r="AO36" i="7"/>
  <c r="AS36" i="7"/>
  <c r="AW36" i="7"/>
  <c r="BA36" i="7"/>
  <c r="BB36" i="7"/>
  <c r="I37" i="7"/>
  <c r="M37" i="7"/>
  <c r="Q37" i="7"/>
  <c r="U37" i="7"/>
  <c r="Y37" i="7"/>
  <c r="AC37" i="7"/>
  <c r="AG37" i="7"/>
  <c r="AK37" i="7"/>
  <c r="AO37" i="7"/>
  <c r="AS37" i="7"/>
  <c r="AW37" i="7"/>
  <c r="BA37" i="7"/>
  <c r="I38" i="7"/>
  <c r="M38" i="7"/>
  <c r="Q38" i="7"/>
  <c r="U38" i="7"/>
  <c r="Y38" i="7"/>
  <c r="AC38" i="7"/>
  <c r="AG38" i="7"/>
  <c r="AK38" i="7"/>
  <c r="AO38" i="7"/>
  <c r="AS38" i="7"/>
  <c r="AW38" i="7"/>
  <c r="BA38" i="7"/>
  <c r="I39" i="7"/>
  <c r="BB39" i="7" s="1"/>
  <c r="M39" i="7"/>
  <c r="Q39" i="7"/>
  <c r="U39" i="7"/>
  <c r="Y39" i="7"/>
  <c r="AC39" i="7"/>
  <c r="AG39" i="7"/>
  <c r="AK39" i="7"/>
  <c r="AO39" i="7"/>
  <c r="AS39" i="7"/>
  <c r="AW39" i="7"/>
  <c r="BA39" i="7"/>
  <c r="I40" i="7"/>
  <c r="M40" i="7"/>
  <c r="Q40" i="7"/>
  <c r="U40" i="7"/>
  <c r="Y40" i="7"/>
  <c r="AC40" i="7"/>
  <c r="AG40" i="7"/>
  <c r="AK40" i="7"/>
  <c r="AO40" i="7"/>
  <c r="AS40" i="7"/>
  <c r="AW40" i="7"/>
  <c r="BA40" i="7"/>
  <c r="I41" i="7"/>
  <c r="M41" i="7"/>
  <c r="Q41" i="7"/>
  <c r="U41" i="7"/>
  <c r="Y41" i="7"/>
  <c r="AC41" i="7"/>
  <c r="AG41" i="7"/>
  <c r="AK41" i="7"/>
  <c r="AO41" i="7"/>
  <c r="AS41" i="7"/>
  <c r="AW41" i="7"/>
  <c r="BA41" i="7"/>
  <c r="BB41" i="7"/>
  <c r="I42" i="7"/>
  <c r="M42" i="7"/>
  <c r="Q42" i="7"/>
  <c r="U42" i="7"/>
  <c r="Y42" i="7"/>
  <c r="AC42" i="7"/>
  <c r="AG42" i="7"/>
  <c r="AK42" i="7"/>
  <c r="AO42" i="7"/>
  <c r="AS42" i="7"/>
  <c r="AW42" i="7"/>
  <c r="BA42" i="7"/>
  <c r="I43" i="7"/>
  <c r="M43" i="7"/>
  <c r="Q43" i="7"/>
  <c r="U43" i="7"/>
  <c r="Y43" i="7"/>
  <c r="AC43" i="7"/>
  <c r="AG43" i="7"/>
  <c r="AK43" i="7"/>
  <c r="AO43" i="7"/>
  <c r="AS43" i="7"/>
  <c r="AW43" i="7"/>
  <c r="BA43" i="7"/>
  <c r="I44" i="7"/>
  <c r="BB44" i="7" s="1"/>
  <c r="M44" i="7"/>
  <c r="Q44" i="7"/>
  <c r="U44" i="7"/>
  <c r="Y44" i="7"/>
  <c r="AC44" i="7"/>
  <c r="AG44" i="7"/>
  <c r="AK44" i="7"/>
  <c r="AO44" i="7"/>
  <c r="AS44" i="7"/>
  <c r="AW44" i="7"/>
  <c r="BA44" i="7"/>
  <c r="I45" i="7"/>
  <c r="M45" i="7"/>
  <c r="Q45" i="7"/>
  <c r="U45" i="7"/>
  <c r="Y45" i="7"/>
  <c r="AC45" i="7"/>
  <c r="AG45" i="7"/>
  <c r="AK45" i="7"/>
  <c r="AO45" i="7"/>
  <c r="AS45" i="7"/>
  <c r="AW45" i="7"/>
  <c r="BA45" i="7"/>
  <c r="I46" i="7"/>
  <c r="BB46" i="7" s="1"/>
  <c r="M46" i="7"/>
  <c r="Q46" i="7"/>
  <c r="U46" i="7"/>
  <c r="Y46" i="7"/>
  <c r="AC46" i="7"/>
  <c r="AG46" i="7"/>
  <c r="AK46" i="7"/>
  <c r="AO46" i="7"/>
  <c r="AS46" i="7"/>
  <c r="AW46" i="7"/>
  <c r="BA46" i="7"/>
  <c r="BA31" i="7"/>
  <c r="AW31" i="7"/>
  <c r="AS31" i="7"/>
  <c r="AO31" i="7"/>
  <c r="AK31" i="7"/>
  <c r="AG31" i="7"/>
  <c r="AC31" i="7"/>
  <c r="Y31" i="7"/>
  <c r="U31" i="7"/>
  <c r="Q31" i="7"/>
  <c r="M31" i="7"/>
  <c r="I31" i="7"/>
  <c r="BA30" i="7"/>
  <c r="AW30" i="7"/>
  <c r="AS30" i="7"/>
  <c r="AO30" i="7"/>
  <c r="AK30" i="7"/>
  <c r="AG30" i="7"/>
  <c r="AC30" i="7"/>
  <c r="Y30" i="7"/>
  <c r="U30" i="7"/>
  <c r="Q30" i="7"/>
  <c r="M30" i="7"/>
  <c r="I30" i="7"/>
  <c r="BA29" i="7"/>
  <c r="AW29" i="7"/>
  <c r="AS29" i="7"/>
  <c r="AO29" i="7"/>
  <c r="AK29" i="7"/>
  <c r="AG29" i="7"/>
  <c r="AC29" i="7"/>
  <c r="Y29" i="7"/>
  <c r="U29" i="7"/>
  <c r="Q29" i="7"/>
  <c r="M29" i="7"/>
  <c r="I29" i="7"/>
  <c r="BA28" i="7"/>
  <c r="AW28" i="7"/>
  <c r="AS28" i="7"/>
  <c r="AO28" i="7"/>
  <c r="AK28" i="7"/>
  <c r="AG28" i="7"/>
  <c r="AC28" i="7"/>
  <c r="Y28" i="7"/>
  <c r="U28" i="7"/>
  <c r="Q28" i="7"/>
  <c r="M28" i="7"/>
  <c r="I28" i="7"/>
  <c r="BA27" i="7"/>
  <c r="AW27" i="7"/>
  <c r="AS27" i="7"/>
  <c r="AO27" i="7"/>
  <c r="AK27" i="7"/>
  <c r="AG27" i="7"/>
  <c r="AC27" i="7"/>
  <c r="Y27" i="7"/>
  <c r="U27" i="7"/>
  <c r="Q27" i="7"/>
  <c r="M27" i="7"/>
  <c r="I27" i="7"/>
  <c r="BA26" i="7"/>
  <c r="AW26" i="7"/>
  <c r="AS26" i="7"/>
  <c r="AO26" i="7"/>
  <c r="AK26" i="7"/>
  <c r="AG26" i="7"/>
  <c r="AC26" i="7"/>
  <c r="Y26" i="7"/>
  <c r="U26" i="7"/>
  <c r="Q26" i="7"/>
  <c r="M26" i="7"/>
  <c r="I26" i="7"/>
  <c r="BB26" i="7" s="1"/>
  <c r="BA25" i="7"/>
  <c r="AW25" i="7"/>
  <c r="AS25" i="7"/>
  <c r="AO25" i="7"/>
  <c r="AK25" i="7"/>
  <c r="AG25" i="7"/>
  <c r="AC25" i="7"/>
  <c r="Y25" i="7"/>
  <c r="U25" i="7"/>
  <c r="Q25" i="7"/>
  <c r="M25" i="7"/>
  <c r="I25" i="7"/>
  <c r="BA24" i="7"/>
  <c r="AW24" i="7"/>
  <c r="AS24" i="7"/>
  <c r="AO24" i="7"/>
  <c r="AK24" i="7"/>
  <c r="AG24" i="7"/>
  <c r="AC24" i="7"/>
  <c r="Y24" i="7"/>
  <c r="U24" i="7"/>
  <c r="Q24" i="7"/>
  <c r="M24" i="7"/>
  <c r="I24" i="7"/>
  <c r="BB24" i="7" s="1"/>
  <c r="BA23" i="7"/>
  <c r="AW23" i="7"/>
  <c r="AS23" i="7"/>
  <c r="AO23" i="7"/>
  <c r="AK23" i="7"/>
  <c r="AG23" i="7"/>
  <c r="AC23" i="7"/>
  <c r="Y23" i="7"/>
  <c r="U23" i="7"/>
  <c r="Q23" i="7"/>
  <c r="M23" i="7"/>
  <c r="I23" i="7"/>
  <c r="BA22" i="7"/>
  <c r="AW22" i="7"/>
  <c r="AS22" i="7"/>
  <c r="AO22" i="7"/>
  <c r="AK22" i="7"/>
  <c r="AG22" i="7"/>
  <c r="AC22" i="7"/>
  <c r="Y22" i="7"/>
  <c r="U22" i="7"/>
  <c r="Q22" i="7"/>
  <c r="M22" i="7"/>
  <c r="I22" i="7"/>
  <c r="BB22" i="7" s="1"/>
  <c r="BA21" i="7"/>
  <c r="AW21" i="7"/>
  <c r="AS21" i="7"/>
  <c r="AO21" i="7"/>
  <c r="AK21" i="7"/>
  <c r="AG21" i="7"/>
  <c r="AC21" i="7"/>
  <c r="Y21" i="7"/>
  <c r="U21" i="7"/>
  <c r="Q21" i="7"/>
  <c r="M21" i="7"/>
  <c r="I21" i="7"/>
  <c r="BA20" i="7"/>
  <c r="AW20" i="7"/>
  <c r="AS20" i="7"/>
  <c r="AO20" i="7"/>
  <c r="AK20" i="7"/>
  <c r="AG20" i="7"/>
  <c r="AC20" i="7"/>
  <c r="Y20" i="7"/>
  <c r="U20" i="7"/>
  <c r="Q20" i="7"/>
  <c r="BB20" i="7" s="1"/>
  <c r="M20" i="7"/>
  <c r="I20" i="7"/>
  <c r="BA19" i="7"/>
  <c r="AW19" i="7"/>
  <c r="AS19" i="7"/>
  <c r="AO19" i="7"/>
  <c r="AK19" i="7"/>
  <c r="AG19" i="7"/>
  <c r="AC19" i="7"/>
  <c r="Y19" i="7"/>
  <c r="U19" i="7"/>
  <c r="Q19" i="7"/>
  <c r="M19" i="7"/>
  <c r="I19" i="7"/>
  <c r="BB19" i="7" s="1"/>
  <c r="BA18" i="7"/>
  <c r="AW18" i="7"/>
  <c r="AS18" i="7"/>
  <c r="AO18" i="7"/>
  <c r="AK18" i="7"/>
  <c r="AG18" i="7"/>
  <c r="AC18" i="7"/>
  <c r="Y18" i="7"/>
  <c r="U18" i="7"/>
  <c r="Q18" i="7"/>
  <c r="M18" i="7"/>
  <c r="I18" i="7"/>
  <c r="BA17" i="7"/>
  <c r="AW17" i="7"/>
  <c r="AS17" i="7"/>
  <c r="AO17" i="7"/>
  <c r="AK17" i="7"/>
  <c r="AG17" i="7"/>
  <c r="AC17" i="7"/>
  <c r="Y17" i="7"/>
  <c r="U17" i="7"/>
  <c r="Q17" i="7"/>
  <c r="M17" i="7"/>
  <c r="I17" i="7"/>
  <c r="BB17" i="7" s="1"/>
  <c r="BA16" i="7"/>
  <c r="AW16" i="7"/>
  <c r="AS16" i="7"/>
  <c r="AO16" i="7"/>
  <c r="AK16" i="7"/>
  <c r="AG16" i="7"/>
  <c r="AC16" i="7"/>
  <c r="Y16" i="7"/>
  <c r="U16" i="7"/>
  <c r="Q16" i="7"/>
  <c r="M16" i="7"/>
  <c r="I16" i="7"/>
  <c r="BA15" i="7"/>
  <c r="AW15" i="7"/>
  <c r="AS15" i="7"/>
  <c r="AO15" i="7"/>
  <c r="AK15" i="7"/>
  <c r="AG15" i="7"/>
  <c r="AC15" i="7"/>
  <c r="Y15" i="7"/>
  <c r="U15" i="7"/>
  <c r="Q15" i="7"/>
  <c r="M15" i="7"/>
  <c r="I15" i="7"/>
  <c r="BA14" i="7"/>
  <c r="AW14" i="7"/>
  <c r="AS14" i="7"/>
  <c r="AO14" i="7"/>
  <c r="AK14" i="7"/>
  <c r="AG14" i="7"/>
  <c r="AC14" i="7"/>
  <c r="Y14" i="7"/>
  <c r="U14" i="7"/>
  <c r="Q14" i="7"/>
  <c r="M14" i="7"/>
  <c r="I14" i="7"/>
  <c r="BA13" i="7"/>
  <c r="AW13" i="7"/>
  <c r="AS13" i="7"/>
  <c r="AO13" i="7"/>
  <c r="AK13" i="7"/>
  <c r="AG13" i="7"/>
  <c r="AC13" i="7"/>
  <c r="Y13" i="7"/>
  <c r="U13" i="7"/>
  <c r="Q13" i="7"/>
  <c r="M13" i="7"/>
  <c r="I13" i="7"/>
  <c r="BA12" i="7"/>
  <c r="AW12" i="7"/>
  <c r="AS12" i="7"/>
  <c r="AO12" i="7"/>
  <c r="AK12" i="7"/>
  <c r="AG12" i="7"/>
  <c r="AC12" i="7"/>
  <c r="Y12" i="7"/>
  <c r="U12" i="7"/>
  <c r="Q12" i="7"/>
  <c r="M12" i="7"/>
  <c r="I12" i="7"/>
  <c r="BA11" i="7"/>
  <c r="AW11" i="7"/>
  <c r="AS11" i="7"/>
  <c r="AO11" i="7"/>
  <c r="AK11" i="7"/>
  <c r="AG11" i="7"/>
  <c r="AC11" i="7"/>
  <c r="Y11" i="7"/>
  <c r="U11" i="7"/>
  <c r="Q11" i="7"/>
  <c r="M11" i="7"/>
  <c r="I11" i="7"/>
  <c r="BA10" i="7"/>
  <c r="AW10" i="7"/>
  <c r="AS10" i="7"/>
  <c r="AO10" i="7"/>
  <c r="AK10" i="7"/>
  <c r="AG10" i="7"/>
  <c r="AC10" i="7"/>
  <c r="Y10" i="7"/>
  <c r="U10" i="7"/>
  <c r="Q10" i="7"/>
  <c r="M10" i="7"/>
  <c r="I10" i="7"/>
  <c r="BB10" i="7" s="1"/>
  <c r="BA9" i="7"/>
  <c r="AW9" i="7"/>
  <c r="AS9" i="7"/>
  <c r="AO9" i="7"/>
  <c r="AK9" i="7"/>
  <c r="AG9" i="7"/>
  <c r="AC9" i="7"/>
  <c r="Y9" i="7"/>
  <c r="U9" i="7"/>
  <c r="Q9" i="7"/>
  <c r="M9" i="7"/>
  <c r="I9" i="7"/>
  <c r="BA8" i="7"/>
  <c r="AW8" i="7"/>
  <c r="AS8" i="7"/>
  <c r="AO8" i="7"/>
  <c r="AK8" i="7"/>
  <c r="AG8" i="7"/>
  <c r="AC8" i="7"/>
  <c r="Y8" i="7"/>
  <c r="U8" i="7"/>
  <c r="Q8" i="7"/>
  <c r="M8" i="7"/>
  <c r="I8" i="7"/>
  <c r="BA7" i="7"/>
  <c r="AW7" i="7"/>
  <c r="AS7" i="7"/>
  <c r="AO7" i="7"/>
  <c r="AK7" i="7"/>
  <c r="AG7" i="7"/>
  <c r="AC7" i="7"/>
  <c r="Y7" i="7"/>
  <c r="U7" i="7"/>
  <c r="Q7" i="7"/>
  <c r="M7" i="7"/>
  <c r="I7" i="7"/>
  <c r="BA6" i="7"/>
  <c r="AW6" i="7"/>
  <c r="AS6" i="7"/>
  <c r="AO6" i="7"/>
  <c r="AK6" i="7"/>
  <c r="AG6" i="7"/>
  <c r="AC6" i="7"/>
  <c r="Y6" i="7"/>
  <c r="U6" i="7"/>
  <c r="Q6" i="7"/>
  <c r="M6" i="7"/>
  <c r="I6" i="7"/>
  <c r="BA5" i="7"/>
  <c r="AW5" i="7"/>
  <c r="AS5" i="7"/>
  <c r="AO5" i="7"/>
  <c r="AK5" i="7"/>
  <c r="AG5" i="7"/>
  <c r="AC5" i="7"/>
  <c r="Y5" i="7"/>
  <c r="U5" i="7"/>
  <c r="Q5" i="7"/>
  <c r="M5" i="7"/>
  <c r="I5" i="7"/>
  <c r="BA4" i="7"/>
  <c r="AW4" i="7"/>
  <c r="AS4" i="7"/>
  <c r="AO4" i="7"/>
  <c r="AK4" i="7"/>
  <c r="AG4" i="7"/>
  <c r="AC4" i="7"/>
  <c r="Y4" i="7"/>
  <c r="U4" i="7"/>
  <c r="Q4" i="7"/>
  <c r="M4" i="7"/>
  <c r="I4" i="7"/>
  <c r="BB4" i="7" s="1"/>
  <c r="BA3" i="7"/>
  <c r="AW3" i="7"/>
  <c r="AS3" i="7"/>
  <c r="AO3" i="7"/>
  <c r="AK3" i="7"/>
  <c r="AG3" i="7"/>
  <c r="AC3" i="7"/>
  <c r="Y3" i="7"/>
  <c r="U3" i="7"/>
  <c r="Q3" i="7"/>
  <c r="M3" i="7"/>
  <c r="I3" i="7"/>
  <c r="I31" i="8"/>
  <c r="M31" i="8"/>
  <c r="Q31" i="8"/>
  <c r="U31" i="8"/>
  <c r="Y31" i="8"/>
  <c r="AC31" i="8"/>
  <c r="AG31" i="8"/>
  <c r="AK31" i="8"/>
  <c r="AO31" i="8"/>
  <c r="AS31" i="8"/>
  <c r="AW31" i="8"/>
  <c r="BA31" i="8"/>
  <c r="BB31" i="8"/>
  <c r="BA30" i="8"/>
  <c r="AW30" i="8"/>
  <c r="AS30" i="8"/>
  <c r="AO30" i="8"/>
  <c r="AK30" i="8"/>
  <c r="AG30" i="8"/>
  <c r="AC30" i="8"/>
  <c r="Y30" i="8"/>
  <c r="U30" i="8"/>
  <c r="Q30" i="8"/>
  <c r="M30" i="8"/>
  <c r="I30" i="8"/>
  <c r="BA29" i="8"/>
  <c r="AW29" i="8"/>
  <c r="AS29" i="8"/>
  <c r="AO29" i="8"/>
  <c r="AK29" i="8"/>
  <c r="AG29" i="8"/>
  <c r="AC29" i="8"/>
  <c r="Y29" i="8"/>
  <c r="U29" i="8"/>
  <c r="Q29" i="8"/>
  <c r="M29" i="8"/>
  <c r="I29" i="8"/>
  <c r="BA28" i="8"/>
  <c r="AW28" i="8"/>
  <c r="AS28" i="8"/>
  <c r="AO28" i="8"/>
  <c r="AK28" i="8"/>
  <c r="AG28" i="8"/>
  <c r="AC28" i="8"/>
  <c r="Y28" i="8"/>
  <c r="U28" i="8"/>
  <c r="Q28" i="8"/>
  <c r="M28" i="8"/>
  <c r="I28" i="8"/>
  <c r="BA27" i="8"/>
  <c r="AW27" i="8"/>
  <c r="AS27" i="8"/>
  <c r="AO27" i="8"/>
  <c r="AK27" i="8"/>
  <c r="AG27" i="8"/>
  <c r="AC27" i="8"/>
  <c r="Y27" i="8"/>
  <c r="U27" i="8"/>
  <c r="Q27" i="8"/>
  <c r="M27" i="8"/>
  <c r="I27" i="8"/>
  <c r="BA26" i="8"/>
  <c r="AW26" i="8"/>
  <c r="AS26" i="8"/>
  <c r="AO26" i="8"/>
  <c r="AK26" i="8"/>
  <c r="AG26" i="8"/>
  <c r="AC26" i="8"/>
  <c r="Y26" i="8"/>
  <c r="U26" i="8"/>
  <c r="Q26" i="8"/>
  <c r="M26" i="8"/>
  <c r="I26" i="8"/>
  <c r="BA25" i="8"/>
  <c r="AW25" i="8"/>
  <c r="AS25" i="8"/>
  <c r="AO25" i="8"/>
  <c r="AK25" i="8"/>
  <c r="AG25" i="8"/>
  <c r="AC25" i="8"/>
  <c r="Y25" i="8"/>
  <c r="U25" i="8"/>
  <c r="Q25" i="8"/>
  <c r="M25" i="8"/>
  <c r="I25" i="8"/>
  <c r="BB25" i="8" s="1"/>
  <c r="BA24" i="8"/>
  <c r="AW24" i="8"/>
  <c r="AS24" i="8"/>
  <c r="AO24" i="8"/>
  <c r="AK24" i="8"/>
  <c r="AG24" i="8"/>
  <c r="AC24" i="8"/>
  <c r="Y24" i="8"/>
  <c r="U24" i="8"/>
  <c r="Q24" i="8"/>
  <c r="M24" i="8"/>
  <c r="I24" i="8"/>
  <c r="BA23" i="8"/>
  <c r="AW23" i="8"/>
  <c r="AS23" i="8"/>
  <c r="AO23" i="8"/>
  <c r="AK23" i="8"/>
  <c r="AG23" i="8"/>
  <c r="AC23" i="8"/>
  <c r="Y23" i="8"/>
  <c r="U23" i="8"/>
  <c r="Q23" i="8"/>
  <c r="M23" i="8"/>
  <c r="I23" i="8"/>
  <c r="BB23" i="8" s="1"/>
  <c r="BA22" i="8"/>
  <c r="AW22" i="8"/>
  <c r="AS22" i="8"/>
  <c r="AO22" i="8"/>
  <c r="AK22" i="8"/>
  <c r="AG22" i="8"/>
  <c r="AC22" i="8"/>
  <c r="Y22" i="8"/>
  <c r="U22" i="8"/>
  <c r="Q22" i="8"/>
  <c r="M22" i="8"/>
  <c r="I22" i="8"/>
  <c r="BA21" i="8"/>
  <c r="AW21" i="8"/>
  <c r="AS21" i="8"/>
  <c r="AO21" i="8"/>
  <c r="AK21" i="8"/>
  <c r="AG21" i="8"/>
  <c r="AC21" i="8"/>
  <c r="Y21" i="8"/>
  <c r="U21" i="8"/>
  <c r="Q21" i="8"/>
  <c r="M21" i="8"/>
  <c r="I21" i="8"/>
  <c r="BA20" i="8"/>
  <c r="AW20" i="8"/>
  <c r="AS20" i="8"/>
  <c r="AO20" i="8"/>
  <c r="AK20" i="8"/>
  <c r="AG20" i="8"/>
  <c r="AC20" i="8"/>
  <c r="Y20" i="8"/>
  <c r="U20" i="8"/>
  <c r="Q20" i="8"/>
  <c r="M20" i="8"/>
  <c r="I20" i="8"/>
  <c r="BA19" i="8"/>
  <c r="AW19" i="8"/>
  <c r="AS19" i="8"/>
  <c r="AO19" i="8"/>
  <c r="AK19" i="8"/>
  <c r="AG19" i="8"/>
  <c r="AC19" i="8"/>
  <c r="Y19" i="8"/>
  <c r="U19" i="8"/>
  <c r="Q19" i="8"/>
  <c r="M19" i="8"/>
  <c r="I19" i="8"/>
  <c r="BA18" i="8"/>
  <c r="AW18" i="8"/>
  <c r="AS18" i="8"/>
  <c r="AO18" i="8"/>
  <c r="AK18" i="8"/>
  <c r="AG18" i="8"/>
  <c r="AC18" i="8"/>
  <c r="Y18" i="8"/>
  <c r="U18" i="8"/>
  <c r="Q18" i="8"/>
  <c r="M18" i="8"/>
  <c r="I18" i="8"/>
  <c r="BB18" i="8" s="1"/>
  <c r="BA17" i="8"/>
  <c r="AW17" i="8"/>
  <c r="AS17" i="8"/>
  <c r="AO17" i="8"/>
  <c r="AK17" i="8"/>
  <c r="AG17" i="8"/>
  <c r="BB17" i="8" s="1"/>
  <c r="AC17" i="8"/>
  <c r="Y17" i="8"/>
  <c r="U17" i="8"/>
  <c r="Q17" i="8"/>
  <c r="M17" i="8"/>
  <c r="I17" i="8"/>
  <c r="BA16" i="8"/>
  <c r="AW16" i="8"/>
  <c r="AS16" i="8"/>
  <c r="AO16" i="8"/>
  <c r="AK16" i="8"/>
  <c r="AG16" i="8"/>
  <c r="AC16" i="8"/>
  <c r="Y16" i="8"/>
  <c r="U16" i="8"/>
  <c r="Q16" i="8"/>
  <c r="M16" i="8"/>
  <c r="I16" i="8"/>
  <c r="BB16" i="8" s="1"/>
  <c r="BA15" i="8"/>
  <c r="AW15" i="8"/>
  <c r="AS15" i="8"/>
  <c r="AO15" i="8"/>
  <c r="AK15" i="8"/>
  <c r="AG15" i="8"/>
  <c r="AC15" i="8"/>
  <c r="Y15" i="8"/>
  <c r="U15" i="8"/>
  <c r="Q15" i="8"/>
  <c r="M15" i="8"/>
  <c r="I15" i="8"/>
  <c r="BA14" i="8"/>
  <c r="AW14" i="8"/>
  <c r="AS14" i="8"/>
  <c r="AO14" i="8"/>
  <c r="AK14" i="8"/>
  <c r="AG14" i="8"/>
  <c r="AC14" i="8"/>
  <c r="Y14" i="8"/>
  <c r="U14" i="8"/>
  <c r="Q14" i="8"/>
  <c r="M14" i="8"/>
  <c r="I14" i="8"/>
  <c r="BA13" i="8"/>
  <c r="AW13" i="8"/>
  <c r="AS13" i="8"/>
  <c r="AO13" i="8"/>
  <c r="AK13" i="8"/>
  <c r="AG13" i="8"/>
  <c r="AC13" i="8"/>
  <c r="Y13" i="8"/>
  <c r="U13" i="8"/>
  <c r="Q13" i="8"/>
  <c r="M13" i="8"/>
  <c r="I13" i="8"/>
  <c r="BA12" i="8"/>
  <c r="AW12" i="8"/>
  <c r="AS12" i="8"/>
  <c r="AO12" i="8"/>
  <c r="AK12" i="8"/>
  <c r="AG12" i="8"/>
  <c r="AC12" i="8"/>
  <c r="Y12" i="8"/>
  <c r="U12" i="8"/>
  <c r="Q12" i="8"/>
  <c r="M12" i="8"/>
  <c r="I12" i="8"/>
  <c r="BA11" i="8"/>
  <c r="AW11" i="8"/>
  <c r="AS11" i="8"/>
  <c r="AO11" i="8"/>
  <c r="AK11" i="8"/>
  <c r="AG11" i="8"/>
  <c r="AC11" i="8"/>
  <c r="Y11" i="8"/>
  <c r="U11" i="8"/>
  <c r="Q11" i="8"/>
  <c r="M11" i="8"/>
  <c r="I11" i="8"/>
  <c r="BA10" i="8"/>
  <c r="AW10" i="8"/>
  <c r="AS10" i="8"/>
  <c r="AO10" i="8"/>
  <c r="AK10" i="8"/>
  <c r="AG10" i="8"/>
  <c r="AC10" i="8"/>
  <c r="Y10" i="8"/>
  <c r="U10" i="8"/>
  <c r="Q10" i="8"/>
  <c r="M10" i="8"/>
  <c r="I10" i="8"/>
  <c r="BA9" i="8"/>
  <c r="AW9" i="8"/>
  <c r="AS9" i="8"/>
  <c r="AO9" i="8"/>
  <c r="AK9" i="8"/>
  <c r="AG9" i="8"/>
  <c r="AC9" i="8"/>
  <c r="Y9" i="8"/>
  <c r="U9" i="8"/>
  <c r="Q9" i="8"/>
  <c r="M9" i="8"/>
  <c r="I9" i="8"/>
  <c r="BB9" i="8" s="1"/>
  <c r="BA8" i="8"/>
  <c r="AW8" i="8"/>
  <c r="AS8" i="8"/>
  <c r="AO8" i="8"/>
  <c r="AK8" i="8"/>
  <c r="AG8" i="8"/>
  <c r="AC8" i="8"/>
  <c r="Y8" i="8"/>
  <c r="U8" i="8"/>
  <c r="Q8" i="8"/>
  <c r="M8" i="8"/>
  <c r="I8" i="8"/>
  <c r="BA7" i="8"/>
  <c r="AW7" i="8"/>
  <c r="AS7" i="8"/>
  <c r="AO7" i="8"/>
  <c r="AK7" i="8"/>
  <c r="AG7" i="8"/>
  <c r="AC7" i="8"/>
  <c r="Y7" i="8"/>
  <c r="U7" i="8"/>
  <c r="Q7" i="8"/>
  <c r="M7" i="8"/>
  <c r="I7" i="8"/>
  <c r="BA6" i="8"/>
  <c r="AW6" i="8"/>
  <c r="AS6" i="8"/>
  <c r="AO6" i="8"/>
  <c r="AK6" i="8"/>
  <c r="AG6" i="8"/>
  <c r="AC6" i="8"/>
  <c r="Y6" i="8"/>
  <c r="U6" i="8"/>
  <c r="Q6" i="8"/>
  <c r="M6" i="8"/>
  <c r="I6" i="8"/>
  <c r="BA5" i="8"/>
  <c r="AW5" i="8"/>
  <c r="AS5" i="8"/>
  <c r="AO5" i="8"/>
  <c r="AK5" i="8"/>
  <c r="AG5" i="8"/>
  <c r="AC5" i="8"/>
  <c r="Y5" i="8"/>
  <c r="U5" i="8"/>
  <c r="Q5" i="8"/>
  <c r="M5" i="8"/>
  <c r="I5" i="8"/>
  <c r="BA4" i="8"/>
  <c r="AW4" i="8"/>
  <c r="AS4" i="8"/>
  <c r="AO4" i="8"/>
  <c r="AK4" i="8"/>
  <c r="AG4" i="8"/>
  <c r="AC4" i="8"/>
  <c r="Y4" i="8"/>
  <c r="U4" i="8"/>
  <c r="Q4" i="8"/>
  <c r="M4" i="8"/>
  <c r="I4" i="8"/>
  <c r="BA3" i="8"/>
  <c r="AW3" i="8"/>
  <c r="AS3" i="8"/>
  <c r="AO3" i="8"/>
  <c r="AK3" i="8"/>
  <c r="AG3" i="8"/>
  <c r="AC3" i="8"/>
  <c r="Y3" i="8"/>
  <c r="U3" i="8"/>
  <c r="Q3" i="8"/>
  <c r="M3" i="8"/>
  <c r="I3" i="8"/>
  <c r="BB3" i="8" s="1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F30" i="9"/>
  <c r="BF31" i="9"/>
  <c r="BF32" i="9"/>
  <c r="BF33" i="9"/>
  <c r="BF34" i="9"/>
  <c r="BF35" i="9"/>
  <c r="BF36" i="9"/>
  <c r="BF37" i="9"/>
  <c r="BF3" i="9"/>
  <c r="BE37" i="9"/>
  <c r="BE36" i="9"/>
  <c r="BE35" i="9"/>
  <c r="BE34" i="9"/>
  <c r="BE33" i="9"/>
  <c r="BE32" i="9"/>
  <c r="BE31" i="9"/>
  <c r="BE30" i="9"/>
  <c r="BE29" i="9"/>
  <c r="BE28" i="9"/>
  <c r="BE27" i="9"/>
  <c r="BE26" i="9"/>
  <c r="BE25" i="9"/>
  <c r="BE24" i="9"/>
  <c r="BE23" i="9"/>
  <c r="BE22" i="9"/>
  <c r="BE21" i="9"/>
  <c r="BE20" i="9"/>
  <c r="BE19" i="9"/>
  <c r="BE18" i="9"/>
  <c r="BE17" i="9"/>
  <c r="BE16" i="9"/>
  <c r="BE15" i="9"/>
  <c r="BE14" i="9"/>
  <c r="BE13" i="9"/>
  <c r="BE12" i="9"/>
  <c r="BE11" i="9"/>
  <c r="BE10" i="9"/>
  <c r="BE9" i="9"/>
  <c r="BE8" i="9"/>
  <c r="BE7" i="9"/>
  <c r="BE6" i="9"/>
  <c r="BE5" i="9"/>
  <c r="BE4" i="9"/>
  <c r="BE3" i="9"/>
  <c r="I31" i="9"/>
  <c r="M31" i="9"/>
  <c r="Q31" i="9"/>
  <c r="U31" i="9"/>
  <c r="Y31" i="9"/>
  <c r="AC31" i="9"/>
  <c r="AG31" i="9"/>
  <c r="AK31" i="9"/>
  <c r="AO31" i="9"/>
  <c r="AS31" i="9"/>
  <c r="AW31" i="9"/>
  <c r="BA31" i="9"/>
  <c r="I32" i="9"/>
  <c r="M32" i="9"/>
  <c r="Q32" i="9"/>
  <c r="U32" i="9"/>
  <c r="Y32" i="9"/>
  <c r="AC32" i="9"/>
  <c r="AG32" i="9"/>
  <c r="AK32" i="9"/>
  <c r="AO32" i="9"/>
  <c r="AS32" i="9"/>
  <c r="AW32" i="9"/>
  <c r="BA32" i="9"/>
  <c r="I33" i="9"/>
  <c r="M33" i="9"/>
  <c r="Q33" i="9"/>
  <c r="U33" i="9"/>
  <c r="Y33" i="9"/>
  <c r="AC33" i="9"/>
  <c r="AG33" i="9"/>
  <c r="AK33" i="9"/>
  <c r="AO33" i="9"/>
  <c r="AS33" i="9"/>
  <c r="AW33" i="9"/>
  <c r="BA33" i="9"/>
  <c r="I34" i="9"/>
  <c r="M34" i="9"/>
  <c r="Q34" i="9"/>
  <c r="U34" i="9"/>
  <c r="Y34" i="9"/>
  <c r="AC34" i="9"/>
  <c r="AG34" i="9"/>
  <c r="AK34" i="9"/>
  <c r="AO34" i="9"/>
  <c r="AS34" i="9"/>
  <c r="AW34" i="9"/>
  <c r="BA34" i="9"/>
  <c r="I35" i="9"/>
  <c r="M35" i="9"/>
  <c r="Q35" i="9"/>
  <c r="U35" i="9"/>
  <c r="Y35" i="9"/>
  <c r="AC35" i="9"/>
  <c r="AG35" i="9"/>
  <c r="AK35" i="9"/>
  <c r="AO35" i="9"/>
  <c r="AS35" i="9"/>
  <c r="AW35" i="9"/>
  <c r="BA35" i="9"/>
  <c r="I36" i="9"/>
  <c r="M36" i="9"/>
  <c r="Q36" i="9"/>
  <c r="U36" i="9"/>
  <c r="Y36" i="9"/>
  <c r="AC36" i="9"/>
  <c r="AG36" i="9"/>
  <c r="AK36" i="9"/>
  <c r="AO36" i="9"/>
  <c r="AS36" i="9"/>
  <c r="AW36" i="9"/>
  <c r="BA36" i="9"/>
  <c r="I37" i="9"/>
  <c r="M37" i="9"/>
  <c r="Q37" i="9"/>
  <c r="U37" i="9"/>
  <c r="Y37" i="9"/>
  <c r="AC37" i="9"/>
  <c r="AG37" i="9"/>
  <c r="AK37" i="9"/>
  <c r="AO37" i="9"/>
  <c r="AS37" i="9"/>
  <c r="AW37" i="9"/>
  <c r="BA37" i="9"/>
  <c r="BA30" i="9"/>
  <c r="AW30" i="9"/>
  <c r="AS30" i="9"/>
  <c r="AO30" i="9"/>
  <c r="AK30" i="9"/>
  <c r="AG30" i="9"/>
  <c r="AC30" i="9"/>
  <c r="Y30" i="9"/>
  <c r="U30" i="9"/>
  <c r="Q30" i="9"/>
  <c r="M30" i="9"/>
  <c r="I30" i="9"/>
  <c r="BA29" i="9"/>
  <c r="AW29" i="9"/>
  <c r="AS29" i="9"/>
  <c r="AO29" i="9"/>
  <c r="AK29" i="9"/>
  <c r="AG29" i="9"/>
  <c r="AC29" i="9"/>
  <c r="Y29" i="9"/>
  <c r="U29" i="9"/>
  <c r="Q29" i="9"/>
  <c r="M29" i="9"/>
  <c r="I29" i="9"/>
  <c r="BA28" i="9"/>
  <c r="AW28" i="9"/>
  <c r="AS28" i="9"/>
  <c r="AO28" i="9"/>
  <c r="AK28" i="9"/>
  <c r="AG28" i="9"/>
  <c r="AC28" i="9"/>
  <c r="Y28" i="9"/>
  <c r="U28" i="9"/>
  <c r="Q28" i="9"/>
  <c r="M28" i="9"/>
  <c r="I28" i="9"/>
  <c r="BA27" i="9"/>
  <c r="AW27" i="9"/>
  <c r="AS27" i="9"/>
  <c r="AO27" i="9"/>
  <c r="AK27" i="9"/>
  <c r="AG27" i="9"/>
  <c r="AC27" i="9"/>
  <c r="Y27" i="9"/>
  <c r="U27" i="9"/>
  <c r="Q27" i="9"/>
  <c r="M27" i="9"/>
  <c r="I27" i="9"/>
  <c r="BA26" i="9"/>
  <c r="AW26" i="9"/>
  <c r="AS26" i="9"/>
  <c r="AO26" i="9"/>
  <c r="AK26" i="9"/>
  <c r="AG26" i="9"/>
  <c r="AC26" i="9"/>
  <c r="Y26" i="9"/>
  <c r="U26" i="9"/>
  <c r="Q26" i="9"/>
  <c r="M26" i="9"/>
  <c r="I26" i="9"/>
  <c r="BA25" i="9"/>
  <c r="AW25" i="9"/>
  <c r="AS25" i="9"/>
  <c r="AO25" i="9"/>
  <c r="AK25" i="9"/>
  <c r="AG25" i="9"/>
  <c r="AC25" i="9"/>
  <c r="Y25" i="9"/>
  <c r="U25" i="9"/>
  <c r="Q25" i="9"/>
  <c r="M25" i="9"/>
  <c r="I25" i="9"/>
  <c r="BA24" i="9"/>
  <c r="AW24" i="9"/>
  <c r="AS24" i="9"/>
  <c r="AO24" i="9"/>
  <c r="AK24" i="9"/>
  <c r="AG24" i="9"/>
  <c r="AC24" i="9"/>
  <c r="Y24" i="9"/>
  <c r="U24" i="9"/>
  <c r="Q24" i="9"/>
  <c r="M24" i="9"/>
  <c r="I24" i="9"/>
  <c r="BA23" i="9"/>
  <c r="AW23" i="9"/>
  <c r="AS23" i="9"/>
  <c r="AO23" i="9"/>
  <c r="AK23" i="9"/>
  <c r="AG23" i="9"/>
  <c r="AC23" i="9"/>
  <c r="Y23" i="9"/>
  <c r="U23" i="9"/>
  <c r="Q23" i="9"/>
  <c r="M23" i="9"/>
  <c r="I23" i="9"/>
  <c r="BA22" i="9"/>
  <c r="AW22" i="9"/>
  <c r="AS22" i="9"/>
  <c r="AO22" i="9"/>
  <c r="AK22" i="9"/>
  <c r="AG22" i="9"/>
  <c r="AC22" i="9"/>
  <c r="Y22" i="9"/>
  <c r="U22" i="9"/>
  <c r="Q22" i="9"/>
  <c r="M22" i="9"/>
  <c r="I22" i="9"/>
  <c r="BA21" i="9"/>
  <c r="AW21" i="9"/>
  <c r="AS21" i="9"/>
  <c r="AO21" i="9"/>
  <c r="AK21" i="9"/>
  <c r="AG21" i="9"/>
  <c r="AC21" i="9"/>
  <c r="Y21" i="9"/>
  <c r="U21" i="9"/>
  <c r="Q21" i="9"/>
  <c r="M21" i="9"/>
  <c r="I21" i="9"/>
  <c r="BA20" i="9"/>
  <c r="AW20" i="9"/>
  <c r="AS20" i="9"/>
  <c r="AO20" i="9"/>
  <c r="AK20" i="9"/>
  <c r="AG20" i="9"/>
  <c r="AC20" i="9"/>
  <c r="Y20" i="9"/>
  <c r="U20" i="9"/>
  <c r="Q20" i="9"/>
  <c r="M20" i="9"/>
  <c r="I20" i="9"/>
  <c r="BA19" i="9"/>
  <c r="AW19" i="9"/>
  <c r="AS19" i="9"/>
  <c r="AO19" i="9"/>
  <c r="AK19" i="9"/>
  <c r="AG19" i="9"/>
  <c r="AC19" i="9"/>
  <c r="Y19" i="9"/>
  <c r="U19" i="9"/>
  <c r="Q19" i="9"/>
  <c r="M19" i="9"/>
  <c r="I19" i="9"/>
  <c r="BA18" i="9"/>
  <c r="AW18" i="9"/>
  <c r="AS18" i="9"/>
  <c r="AO18" i="9"/>
  <c r="AK18" i="9"/>
  <c r="AG18" i="9"/>
  <c r="AC18" i="9"/>
  <c r="Y18" i="9"/>
  <c r="U18" i="9"/>
  <c r="Q18" i="9"/>
  <c r="M18" i="9"/>
  <c r="I18" i="9"/>
  <c r="BA17" i="9"/>
  <c r="AW17" i="9"/>
  <c r="AS17" i="9"/>
  <c r="AO17" i="9"/>
  <c r="AK17" i="9"/>
  <c r="AG17" i="9"/>
  <c r="AC17" i="9"/>
  <c r="Y17" i="9"/>
  <c r="U17" i="9"/>
  <c r="Q17" i="9"/>
  <c r="M17" i="9"/>
  <c r="I17" i="9"/>
  <c r="BA16" i="9"/>
  <c r="AW16" i="9"/>
  <c r="AS16" i="9"/>
  <c r="AO16" i="9"/>
  <c r="AK16" i="9"/>
  <c r="AG16" i="9"/>
  <c r="AC16" i="9"/>
  <c r="Y16" i="9"/>
  <c r="U16" i="9"/>
  <c r="Q16" i="9"/>
  <c r="M16" i="9"/>
  <c r="I16" i="9"/>
  <c r="BA15" i="9"/>
  <c r="AW15" i="9"/>
  <c r="AS15" i="9"/>
  <c r="AO15" i="9"/>
  <c r="AK15" i="9"/>
  <c r="AG15" i="9"/>
  <c r="AC15" i="9"/>
  <c r="Y15" i="9"/>
  <c r="U15" i="9"/>
  <c r="Q15" i="9"/>
  <c r="M15" i="9"/>
  <c r="I15" i="9"/>
  <c r="BA14" i="9"/>
  <c r="AW14" i="9"/>
  <c r="AS14" i="9"/>
  <c r="AO14" i="9"/>
  <c r="AK14" i="9"/>
  <c r="AG14" i="9"/>
  <c r="AC14" i="9"/>
  <c r="Y14" i="9"/>
  <c r="U14" i="9"/>
  <c r="Q14" i="9"/>
  <c r="M14" i="9"/>
  <c r="I14" i="9"/>
  <c r="BA13" i="9"/>
  <c r="AW13" i="9"/>
  <c r="AS13" i="9"/>
  <c r="AO13" i="9"/>
  <c r="AK13" i="9"/>
  <c r="AG13" i="9"/>
  <c r="AC13" i="9"/>
  <c r="Y13" i="9"/>
  <c r="U13" i="9"/>
  <c r="Q13" i="9"/>
  <c r="M13" i="9"/>
  <c r="I13" i="9"/>
  <c r="BA12" i="9"/>
  <c r="AW12" i="9"/>
  <c r="AS12" i="9"/>
  <c r="AO12" i="9"/>
  <c r="AK12" i="9"/>
  <c r="AG12" i="9"/>
  <c r="AC12" i="9"/>
  <c r="Y12" i="9"/>
  <c r="U12" i="9"/>
  <c r="Q12" i="9"/>
  <c r="M12" i="9"/>
  <c r="I12" i="9"/>
  <c r="BA11" i="9"/>
  <c r="AW11" i="9"/>
  <c r="AS11" i="9"/>
  <c r="AO11" i="9"/>
  <c r="AK11" i="9"/>
  <c r="AG11" i="9"/>
  <c r="AC11" i="9"/>
  <c r="Y11" i="9"/>
  <c r="U11" i="9"/>
  <c r="Q11" i="9"/>
  <c r="M11" i="9"/>
  <c r="I11" i="9"/>
  <c r="BA10" i="9"/>
  <c r="AW10" i="9"/>
  <c r="AS10" i="9"/>
  <c r="AO10" i="9"/>
  <c r="AK10" i="9"/>
  <c r="AG10" i="9"/>
  <c r="AC10" i="9"/>
  <c r="Y10" i="9"/>
  <c r="U10" i="9"/>
  <c r="Q10" i="9"/>
  <c r="M10" i="9"/>
  <c r="I10" i="9"/>
  <c r="BA9" i="9"/>
  <c r="AW9" i="9"/>
  <c r="AS9" i="9"/>
  <c r="AO9" i="9"/>
  <c r="AK9" i="9"/>
  <c r="AG9" i="9"/>
  <c r="AC9" i="9"/>
  <c r="Y9" i="9"/>
  <c r="U9" i="9"/>
  <c r="Q9" i="9"/>
  <c r="M9" i="9"/>
  <c r="I9" i="9"/>
  <c r="BA8" i="9"/>
  <c r="AW8" i="9"/>
  <c r="AS8" i="9"/>
  <c r="AO8" i="9"/>
  <c r="AK8" i="9"/>
  <c r="AG8" i="9"/>
  <c r="AC8" i="9"/>
  <c r="Y8" i="9"/>
  <c r="U8" i="9"/>
  <c r="Q8" i="9"/>
  <c r="M8" i="9"/>
  <c r="I8" i="9"/>
  <c r="BA7" i="9"/>
  <c r="AW7" i="9"/>
  <c r="AS7" i="9"/>
  <c r="AO7" i="9"/>
  <c r="AK7" i="9"/>
  <c r="AG7" i="9"/>
  <c r="AC7" i="9"/>
  <c r="Y7" i="9"/>
  <c r="U7" i="9"/>
  <c r="Q7" i="9"/>
  <c r="M7" i="9"/>
  <c r="I7" i="9"/>
  <c r="BA6" i="9"/>
  <c r="AW6" i="9"/>
  <c r="AS6" i="9"/>
  <c r="AO6" i="9"/>
  <c r="AK6" i="9"/>
  <c r="AG6" i="9"/>
  <c r="AC6" i="9"/>
  <c r="Y6" i="9"/>
  <c r="U6" i="9"/>
  <c r="Q6" i="9"/>
  <c r="M6" i="9"/>
  <c r="I6" i="9"/>
  <c r="BA5" i="9"/>
  <c r="AW5" i="9"/>
  <c r="AS5" i="9"/>
  <c r="AO5" i="9"/>
  <c r="AK5" i="9"/>
  <c r="AG5" i="9"/>
  <c r="AC5" i="9"/>
  <c r="Y5" i="9"/>
  <c r="U5" i="9"/>
  <c r="Q5" i="9"/>
  <c r="M5" i="9"/>
  <c r="I5" i="9"/>
  <c r="BA4" i="9"/>
  <c r="AW4" i="9"/>
  <c r="AS4" i="9"/>
  <c r="AO4" i="9"/>
  <c r="AK4" i="9"/>
  <c r="AG4" i="9"/>
  <c r="AC4" i="9"/>
  <c r="Y4" i="9"/>
  <c r="U4" i="9"/>
  <c r="Q4" i="9"/>
  <c r="M4" i="9"/>
  <c r="I4" i="9"/>
  <c r="BA3" i="9"/>
  <c r="AW3" i="9"/>
  <c r="AS3" i="9"/>
  <c r="AO3" i="9"/>
  <c r="AK3" i="9"/>
  <c r="AG3" i="9"/>
  <c r="AC3" i="9"/>
  <c r="Y3" i="9"/>
  <c r="U3" i="9"/>
  <c r="Q3" i="9"/>
  <c r="M3" i="9"/>
  <c r="I3" i="9"/>
  <c r="AH7" i="1" l="1"/>
  <c r="AH4" i="1"/>
  <c r="AH8" i="1"/>
  <c r="AH5" i="1"/>
  <c r="AH9" i="1"/>
  <c r="AH6" i="1"/>
  <c r="AH3" i="1"/>
  <c r="AH6" i="2"/>
  <c r="AH3" i="2"/>
  <c r="AH7" i="2"/>
  <c r="AH9" i="3"/>
  <c r="AH25" i="3"/>
  <c r="AH4" i="3"/>
  <c r="AH24" i="3"/>
  <c r="AH3" i="3"/>
  <c r="AH20" i="3"/>
  <c r="AH14" i="3"/>
  <c r="AH6" i="3"/>
  <c r="AH13" i="3"/>
  <c r="AH23" i="3"/>
  <c r="AH11" i="3"/>
  <c r="AH8" i="3"/>
  <c r="AH5" i="3"/>
  <c r="AH17" i="3"/>
  <c r="BJ10" i="5"/>
  <c r="BJ17" i="5"/>
  <c r="BJ16" i="5"/>
  <c r="BJ14" i="5"/>
  <c r="BJ13" i="5"/>
  <c r="BJ32" i="5"/>
  <c r="BJ35" i="5"/>
  <c r="BJ38" i="5"/>
  <c r="BJ9" i="5"/>
  <c r="BJ7" i="5"/>
  <c r="BJ6" i="5"/>
  <c r="BJ29" i="5"/>
  <c r="BJ28" i="5"/>
  <c r="BJ4" i="5"/>
  <c r="BJ33" i="5"/>
  <c r="BJ3" i="5"/>
  <c r="BJ26" i="5"/>
  <c r="BJ36" i="5"/>
  <c r="BJ25" i="5"/>
  <c r="BJ39" i="5"/>
  <c r="BJ8" i="5"/>
  <c r="BJ23" i="5"/>
  <c r="BJ30" i="5"/>
  <c r="BJ5" i="5"/>
  <c r="BJ22" i="5"/>
  <c r="BJ27" i="5"/>
  <c r="BJ20" i="5"/>
  <c r="BB16" i="7"/>
  <c r="BB11" i="7"/>
  <c r="BB40" i="7"/>
  <c r="BB8" i="7"/>
  <c r="BB38" i="7"/>
  <c r="BB30" i="7"/>
  <c r="BB45" i="7"/>
  <c r="BB6" i="7"/>
  <c r="BB28" i="7"/>
  <c r="BB5" i="7"/>
  <c r="BB27" i="7"/>
  <c r="BB7" i="7"/>
  <c r="BB23" i="7"/>
  <c r="BB29" i="7"/>
  <c r="BB18" i="7"/>
  <c r="BB15" i="7"/>
  <c r="BB35" i="7"/>
  <c r="BB42" i="7"/>
  <c r="BB13" i="7"/>
  <c r="BB33" i="7"/>
  <c r="BB12" i="7"/>
  <c r="BB14" i="7"/>
  <c r="BB3" i="7"/>
  <c r="BB43" i="7"/>
  <c r="BB25" i="7"/>
  <c r="BB9" i="7"/>
  <c r="BB37" i="7"/>
  <c r="BB21" i="7"/>
  <c r="BB31" i="7"/>
  <c r="BB15" i="8"/>
  <c r="BB14" i="8"/>
  <c r="BB12" i="8"/>
  <c r="BB10" i="8"/>
  <c r="BB11" i="8"/>
  <c r="BB13" i="8"/>
  <c r="BB26" i="8"/>
  <c r="BB8" i="8"/>
  <c r="BB20" i="8"/>
  <c r="BB30" i="8"/>
  <c r="BB7" i="8"/>
  <c r="BB29" i="8"/>
  <c r="BB5" i="8"/>
  <c r="BB4" i="8"/>
  <c r="BB24" i="8"/>
  <c r="BB6" i="8"/>
  <c r="BB22" i="8"/>
  <c r="BB28" i="8"/>
  <c r="BB19" i="8"/>
  <c r="BB21" i="8"/>
  <c r="BB27" i="8"/>
  <c r="BA30" i="10"/>
  <c r="AW30" i="10"/>
  <c r="AS30" i="10"/>
  <c r="AO30" i="10"/>
  <c r="AK30" i="10"/>
  <c r="AG30" i="10"/>
  <c r="AC30" i="10"/>
  <c r="Y30" i="10"/>
  <c r="U30" i="10"/>
  <c r="Q30" i="10"/>
  <c r="M30" i="10"/>
  <c r="I30" i="10"/>
  <c r="BB30" i="10" s="1"/>
  <c r="BA29" i="10"/>
  <c r="AW29" i="10"/>
  <c r="AS29" i="10"/>
  <c r="AO29" i="10"/>
  <c r="AK29" i="10"/>
  <c r="AG29" i="10"/>
  <c r="AC29" i="10"/>
  <c r="Y29" i="10"/>
  <c r="U29" i="10"/>
  <c r="Q29" i="10"/>
  <c r="M29" i="10"/>
  <c r="I29" i="10"/>
  <c r="BA28" i="10"/>
  <c r="AW28" i="10"/>
  <c r="AS28" i="10"/>
  <c r="AO28" i="10"/>
  <c r="AK28" i="10"/>
  <c r="AG28" i="10"/>
  <c r="AC28" i="10"/>
  <c r="Y28" i="10"/>
  <c r="U28" i="10"/>
  <c r="Q28" i="10"/>
  <c r="M28" i="10"/>
  <c r="I28" i="10"/>
  <c r="BB28" i="10" s="1"/>
  <c r="BA27" i="10"/>
  <c r="AW27" i="10"/>
  <c r="AS27" i="10"/>
  <c r="AO27" i="10"/>
  <c r="AK27" i="10"/>
  <c r="AG27" i="10"/>
  <c r="AC27" i="10"/>
  <c r="Y27" i="10"/>
  <c r="U27" i="10"/>
  <c r="Q27" i="10"/>
  <c r="M27" i="10"/>
  <c r="I27" i="10"/>
  <c r="BA26" i="10"/>
  <c r="AW26" i="10"/>
  <c r="AS26" i="10"/>
  <c r="AO26" i="10"/>
  <c r="AK26" i="10"/>
  <c r="AG26" i="10"/>
  <c r="AC26" i="10"/>
  <c r="Y26" i="10"/>
  <c r="U26" i="10"/>
  <c r="Q26" i="10"/>
  <c r="M26" i="10"/>
  <c r="I26" i="10"/>
  <c r="BB26" i="10" s="1"/>
  <c r="BA25" i="10"/>
  <c r="AW25" i="10"/>
  <c r="AS25" i="10"/>
  <c r="AO25" i="10"/>
  <c r="AK25" i="10"/>
  <c r="AG25" i="10"/>
  <c r="AC25" i="10"/>
  <c r="Y25" i="10"/>
  <c r="U25" i="10"/>
  <c r="Q25" i="10"/>
  <c r="M25" i="10"/>
  <c r="I25" i="10"/>
  <c r="BA24" i="10"/>
  <c r="AW24" i="10"/>
  <c r="AS24" i="10"/>
  <c r="AO24" i="10"/>
  <c r="AK24" i="10"/>
  <c r="AG24" i="10"/>
  <c r="AC24" i="10"/>
  <c r="Y24" i="10"/>
  <c r="U24" i="10"/>
  <c r="Q24" i="10"/>
  <c r="M24" i="10"/>
  <c r="I24" i="10"/>
  <c r="BA23" i="10"/>
  <c r="AW23" i="10"/>
  <c r="AS23" i="10"/>
  <c r="AO23" i="10"/>
  <c r="AK23" i="10"/>
  <c r="AG23" i="10"/>
  <c r="AC23" i="10"/>
  <c r="Y23" i="10"/>
  <c r="U23" i="10"/>
  <c r="Q23" i="10"/>
  <c r="M23" i="10"/>
  <c r="I23" i="10"/>
  <c r="BA22" i="10"/>
  <c r="AW22" i="10"/>
  <c r="AS22" i="10"/>
  <c r="AO22" i="10"/>
  <c r="AK22" i="10"/>
  <c r="AG22" i="10"/>
  <c r="AC22" i="10"/>
  <c r="Y22" i="10"/>
  <c r="U22" i="10"/>
  <c r="Q22" i="10"/>
  <c r="M22" i="10"/>
  <c r="I22" i="10"/>
  <c r="BA21" i="10"/>
  <c r="AW21" i="10"/>
  <c r="AS21" i="10"/>
  <c r="AO21" i="10"/>
  <c r="AK21" i="10"/>
  <c r="AG21" i="10"/>
  <c r="AC21" i="10"/>
  <c r="Y21" i="10"/>
  <c r="U21" i="10"/>
  <c r="Q21" i="10"/>
  <c r="M21" i="10"/>
  <c r="I21" i="10"/>
  <c r="BA20" i="10"/>
  <c r="AW20" i="10"/>
  <c r="AS20" i="10"/>
  <c r="AO20" i="10"/>
  <c r="AK20" i="10"/>
  <c r="AG20" i="10"/>
  <c r="AC20" i="10"/>
  <c r="Y20" i="10"/>
  <c r="U20" i="10"/>
  <c r="Q20" i="10"/>
  <c r="M20" i="10"/>
  <c r="I20" i="10"/>
  <c r="BA19" i="10"/>
  <c r="AW19" i="10"/>
  <c r="AS19" i="10"/>
  <c r="AO19" i="10"/>
  <c r="AK19" i="10"/>
  <c r="AG19" i="10"/>
  <c r="AC19" i="10"/>
  <c r="Y19" i="10"/>
  <c r="U19" i="10"/>
  <c r="Q19" i="10"/>
  <c r="M19" i="10"/>
  <c r="I19" i="10"/>
  <c r="BB19" i="10" s="1"/>
  <c r="BA18" i="10"/>
  <c r="AW18" i="10"/>
  <c r="AS18" i="10"/>
  <c r="AO18" i="10"/>
  <c r="AK18" i="10"/>
  <c r="AG18" i="10"/>
  <c r="AC18" i="10"/>
  <c r="Y18" i="10"/>
  <c r="U18" i="10"/>
  <c r="Q18" i="10"/>
  <c r="M18" i="10"/>
  <c r="I18" i="10"/>
  <c r="BA17" i="10"/>
  <c r="AW17" i="10"/>
  <c r="AS17" i="10"/>
  <c r="AO17" i="10"/>
  <c r="AK17" i="10"/>
  <c r="AG17" i="10"/>
  <c r="AC17" i="10"/>
  <c r="Y17" i="10"/>
  <c r="U17" i="10"/>
  <c r="Q17" i="10"/>
  <c r="M17" i="10"/>
  <c r="I17" i="10"/>
  <c r="BB17" i="10" s="1"/>
  <c r="BA16" i="10"/>
  <c r="AW16" i="10"/>
  <c r="AS16" i="10"/>
  <c r="AO16" i="10"/>
  <c r="AK16" i="10"/>
  <c r="AG16" i="10"/>
  <c r="AC16" i="10"/>
  <c r="Y16" i="10"/>
  <c r="U16" i="10"/>
  <c r="Q16" i="10"/>
  <c r="M16" i="10"/>
  <c r="I16" i="10"/>
  <c r="BA15" i="10"/>
  <c r="AW15" i="10"/>
  <c r="AS15" i="10"/>
  <c r="AO15" i="10"/>
  <c r="AK15" i="10"/>
  <c r="AG15" i="10"/>
  <c r="AC15" i="10"/>
  <c r="Y15" i="10"/>
  <c r="U15" i="10"/>
  <c r="Q15" i="10"/>
  <c r="M15" i="10"/>
  <c r="I15" i="10"/>
  <c r="BB15" i="10" s="1"/>
  <c r="BA14" i="10"/>
  <c r="AW14" i="10"/>
  <c r="AS14" i="10"/>
  <c r="AO14" i="10"/>
  <c r="AK14" i="10"/>
  <c r="AG14" i="10"/>
  <c r="AC14" i="10"/>
  <c r="Y14" i="10"/>
  <c r="U14" i="10"/>
  <c r="Q14" i="10"/>
  <c r="M14" i="10"/>
  <c r="I14" i="10"/>
  <c r="BA13" i="10"/>
  <c r="AW13" i="10"/>
  <c r="AS13" i="10"/>
  <c r="AO13" i="10"/>
  <c r="AK13" i="10"/>
  <c r="AG13" i="10"/>
  <c r="AC13" i="10"/>
  <c r="Y13" i="10"/>
  <c r="U13" i="10"/>
  <c r="Q13" i="10"/>
  <c r="M13" i="10"/>
  <c r="I13" i="10"/>
  <c r="BA12" i="10"/>
  <c r="AW12" i="10"/>
  <c r="AS12" i="10"/>
  <c r="AO12" i="10"/>
  <c r="AK12" i="10"/>
  <c r="AG12" i="10"/>
  <c r="AC12" i="10"/>
  <c r="Y12" i="10"/>
  <c r="U12" i="10"/>
  <c r="Q12" i="10"/>
  <c r="M12" i="10"/>
  <c r="I12" i="10"/>
  <c r="BA11" i="10"/>
  <c r="AW11" i="10"/>
  <c r="AS11" i="10"/>
  <c r="AO11" i="10"/>
  <c r="AK11" i="10"/>
  <c r="AG11" i="10"/>
  <c r="AC11" i="10"/>
  <c r="Y11" i="10"/>
  <c r="U11" i="10"/>
  <c r="Q11" i="10"/>
  <c r="M11" i="10"/>
  <c r="I11" i="10"/>
  <c r="BA10" i="10"/>
  <c r="AW10" i="10"/>
  <c r="AS10" i="10"/>
  <c r="AO10" i="10"/>
  <c r="AK10" i="10"/>
  <c r="AG10" i="10"/>
  <c r="AC10" i="10"/>
  <c r="Y10" i="10"/>
  <c r="U10" i="10"/>
  <c r="Q10" i="10"/>
  <c r="M10" i="10"/>
  <c r="I10" i="10"/>
  <c r="BA9" i="10"/>
  <c r="AW9" i="10"/>
  <c r="AS9" i="10"/>
  <c r="AO9" i="10"/>
  <c r="AK9" i="10"/>
  <c r="AG9" i="10"/>
  <c r="AC9" i="10"/>
  <c r="Y9" i="10"/>
  <c r="U9" i="10"/>
  <c r="Q9" i="10"/>
  <c r="M9" i="10"/>
  <c r="I9" i="10"/>
  <c r="BA8" i="10"/>
  <c r="AW8" i="10"/>
  <c r="AS8" i="10"/>
  <c r="AO8" i="10"/>
  <c r="AK8" i="10"/>
  <c r="AG8" i="10"/>
  <c r="AC8" i="10"/>
  <c r="Y8" i="10"/>
  <c r="U8" i="10"/>
  <c r="Q8" i="10"/>
  <c r="M8" i="10"/>
  <c r="I8" i="10"/>
  <c r="BB8" i="10" s="1"/>
  <c r="BA7" i="10"/>
  <c r="AW7" i="10"/>
  <c r="AS7" i="10"/>
  <c r="AO7" i="10"/>
  <c r="AK7" i="10"/>
  <c r="AG7" i="10"/>
  <c r="AC7" i="10"/>
  <c r="Y7" i="10"/>
  <c r="U7" i="10"/>
  <c r="Q7" i="10"/>
  <c r="M7" i="10"/>
  <c r="I7" i="10"/>
  <c r="BA6" i="10"/>
  <c r="AW6" i="10"/>
  <c r="AS6" i="10"/>
  <c r="AO6" i="10"/>
  <c r="AK6" i="10"/>
  <c r="AG6" i="10"/>
  <c r="AC6" i="10"/>
  <c r="Y6" i="10"/>
  <c r="U6" i="10"/>
  <c r="Q6" i="10"/>
  <c r="M6" i="10"/>
  <c r="I6" i="10"/>
  <c r="BB6" i="10" s="1"/>
  <c r="BA5" i="10"/>
  <c r="AW5" i="10"/>
  <c r="AS5" i="10"/>
  <c r="AO5" i="10"/>
  <c r="AK5" i="10"/>
  <c r="AG5" i="10"/>
  <c r="AC5" i="10"/>
  <c r="Y5" i="10"/>
  <c r="U5" i="10"/>
  <c r="Q5" i="10"/>
  <c r="M5" i="10"/>
  <c r="I5" i="10"/>
  <c r="BA4" i="10"/>
  <c r="AW4" i="10"/>
  <c r="AS4" i="10"/>
  <c r="AO4" i="10"/>
  <c r="AK4" i="10"/>
  <c r="AG4" i="10"/>
  <c r="AC4" i="10"/>
  <c r="Y4" i="10"/>
  <c r="U4" i="10"/>
  <c r="Q4" i="10"/>
  <c r="M4" i="10"/>
  <c r="I4" i="10"/>
  <c r="BB4" i="10" s="1"/>
  <c r="BA3" i="10"/>
  <c r="AW3" i="10"/>
  <c r="AS3" i="10"/>
  <c r="AO3" i="10"/>
  <c r="AK3" i="10"/>
  <c r="AG3" i="10"/>
  <c r="AC3" i="10"/>
  <c r="Y3" i="10"/>
  <c r="U3" i="10"/>
  <c r="Q3" i="10"/>
  <c r="M3" i="10"/>
  <c r="I3" i="10"/>
  <c r="BB3" i="10" l="1"/>
  <c r="BB14" i="10"/>
  <c r="BB25" i="10"/>
  <c r="BB5" i="10"/>
  <c r="BB16" i="10"/>
  <c r="BB27" i="10"/>
  <c r="BB10" i="10"/>
  <c r="BB21" i="10"/>
  <c r="BB12" i="10"/>
  <c r="BB23" i="10"/>
  <c r="BB9" i="10"/>
  <c r="BB20" i="10"/>
  <c r="BB22" i="10"/>
  <c r="BB11" i="10"/>
  <c r="BB7" i="10"/>
  <c r="BB18" i="10"/>
  <c r="BB29" i="10"/>
  <c r="BB13" i="10"/>
  <c r="BB24" i="10"/>
  <c r="BI33" i="11"/>
  <c r="BE33" i="11"/>
  <c r="BA33" i="11"/>
  <c r="AW33" i="11"/>
  <c r="AS33" i="11"/>
  <c r="AO33" i="11"/>
  <c r="AK33" i="11"/>
  <c r="AG33" i="11"/>
  <c r="AC33" i="11"/>
  <c r="Y33" i="11"/>
  <c r="U33" i="11"/>
  <c r="Q33" i="11"/>
  <c r="M33" i="11"/>
  <c r="I33" i="11"/>
  <c r="BJ33" i="11" s="1"/>
  <c r="BI32" i="11"/>
  <c r="BE32" i="11"/>
  <c r="BA32" i="11"/>
  <c r="AW32" i="11"/>
  <c r="AS32" i="11"/>
  <c r="AO32" i="11"/>
  <c r="AK32" i="11"/>
  <c r="AG32" i="11"/>
  <c r="AC32" i="11"/>
  <c r="Y32" i="11"/>
  <c r="U32" i="11"/>
  <c r="Q32" i="11"/>
  <c r="M32" i="11"/>
  <c r="I32" i="11"/>
  <c r="BI31" i="11"/>
  <c r="BE31" i="11"/>
  <c r="BA31" i="11"/>
  <c r="AW31" i="11"/>
  <c r="AS31" i="11"/>
  <c r="AO31" i="11"/>
  <c r="AK31" i="11"/>
  <c r="AG31" i="11"/>
  <c r="AC31" i="11"/>
  <c r="Y31" i="11"/>
  <c r="U31" i="11"/>
  <c r="Q31" i="11"/>
  <c r="M31" i="11"/>
  <c r="I31" i="11"/>
  <c r="BI30" i="11"/>
  <c r="BE30" i="11"/>
  <c r="BA30" i="11"/>
  <c r="AW30" i="11"/>
  <c r="AS30" i="11"/>
  <c r="AO30" i="11"/>
  <c r="AK30" i="11"/>
  <c r="AG30" i="11"/>
  <c r="AC30" i="11"/>
  <c r="Y30" i="11"/>
  <c r="U30" i="11"/>
  <c r="Q30" i="11"/>
  <c r="M30" i="11"/>
  <c r="I30" i="11"/>
  <c r="BI29" i="11"/>
  <c r="BE29" i="11"/>
  <c r="BA29" i="11"/>
  <c r="AW29" i="11"/>
  <c r="AS29" i="11"/>
  <c r="AO29" i="11"/>
  <c r="AK29" i="11"/>
  <c r="AG29" i="11"/>
  <c r="AC29" i="11"/>
  <c r="Y29" i="11"/>
  <c r="U29" i="11"/>
  <c r="Q29" i="11"/>
  <c r="M29" i="11"/>
  <c r="I29" i="11"/>
  <c r="BI28" i="11"/>
  <c r="BE28" i="11"/>
  <c r="BA28" i="11"/>
  <c r="AW28" i="11"/>
  <c r="AS28" i="11"/>
  <c r="AO28" i="11"/>
  <c r="AK28" i="11"/>
  <c r="AG28" i="11"/>
  <c r="AC28" i="11"/>
  <c r="Y28" i="11"/>
  <c r="U28" i="11"/>
  <c r="Q28" i="11"/>
  <c r="M28" i="11"/>
  <c r="I28" i="11"/>
  <c r="BI27" i="11"/>
  <c r="BE27" i="11"/>
  <c r="BA27" i="11"/>
  <c r="AW27" i="11"/>
  <c r="AS27" i="11"/>
  <c r="AO27" i="11"/>
  <c r="AK27" i="11"/>
  <c r="AG27" i="11"/>
  <c r="AC27" i="11"/>
  <c r="Y27" i="11"/>
  <c r="U27" i="11"/>
  <c r="Q27" i="11"/>
  <c r="M27" i="11"/>
  <c r="I27" i="11"/>
  <c r="BI26" i="11"/>
  <c r="BE26" i="11"/>
  <c r="BA26" i="11"/>
  <c r="AW26" i="11"/>
  <c r="AS26" i="11"/>
  <c r="AO26" i="11"/>
  <c r="AK26" i="11"/>
  <c r="AG26" i="11"/>
  <c r="AC26" i="11"/>
  <c r="Y26" i="11"/>
  <c r="U26" i="11"/>
  <c r="Q26" i="11"/>
  <c r="M26" i="11"/>
  <c r="I26" i="11"/>
  <c r="BI25" i="11"/>
  <c r="BE25" i="11"/>
  <c r="BA25" i="11"/>
  <c r="AW25" i="11"/>
  <c r="AS25" i="11"/>
  <c r="AO25" i="11"/>
  <c r="AK25" i="11"/>
  <c r="AG25" i="11"/>
  <c r="AC25" i="11"/>
  <c r="Y25" i="11"/>
  <c r="U25" i="11"/>
  <c r="Q25" i="11"/>
  <c r="M25" i="11"/>
  <c r="I25" i="11"/>
  <c r="BJ25" i="11" s="1"/>
  <c r="BI24" i="11"/>
  <c r="BE24" i="11"/>
  <c r="BA24" i="11"/>
  <c r="AW24" i="11"/>
  <c r="AS24" i="11"/>
  <c r="AO24" i="11"/>
  <c r="AK24" i="11"/>
  <c r="AG24" i="11"/>
  <c r="AC24" i="11"/>
  <c r="Y24" i="11"/>
  <c r="U24" i="11"/>
  <c r="Q24" i="11"/>
  <c r="M24" i="11"/>
  <c r="I24" i="11"/>
  <c r="BI23" i="11"/>
  <c r="BE23" i="11"/>
  <c r="BA23" i="11"/>
  <c r="AW23" i="11"/>
  <c r="AS23" i="11"/>
  <c r="AO23" i="11"/>
  <c r="AK23" i="11"/>
  <c r="AG23" i="11"/>
  <c r="AC23" i="11"/>
  <c r="Y23" i="11"/>
  <c r="U23" i="11"/>
  <c r="Q23" i="11"/>
  <c r="M23" i="11"/>
  <c r="I23" i="11"/>
  <c r="BI22" i="11"/>
  <c r="BE22" i="11"/>
  <c r="BA22" i="11"/>
  <c r="AW22" i="11"/>
  <c r="AS22" i="11"/>
  <c r="AO22" i="11"/>
  <c r="AK22" i="11"/>
  <c r="AG22" i="11"/>
  <c r="AC22" i="11"/>
  <c r="Y22" i="11"/>
  <c r="U22" i="11"/>
  <c r="Q22" i="11"/>
  <c r="M22" i="11"/>
  <c r="I22" i="11"/>
  <c r="BJ22" i="11" s="1"/>
  <c r="BI21" i="11"/>
  <c r="BE21" i="11"/>
  <c r="BA21" i="11"/>
  <c r="AW21" i="11"/>
  <c r="AS21" i="11"/>
  <c r="AO21" i="11"/>
  <c r="AK21" i="11"/>
  <c r="AG21" i="11"/>
  <c r="AC21" i="11"/>
  <c r="Y21" i="11"/>
  <c r="U21" i="11"/>
  <c r="Q21" i="11"/>
  <c r="M21" i="11"/>
  <c r="I21" i="11"/>
  <c r="BI20" i="11"/>
  <c r="BE20" i="11"/>
  <c r="BA20" i="11"/>
  <c r="AW20" i="11"/>
  <c r="AS20" i="11"/>
  <c r="AO20" i="11"/>
  <c r="AK20" i="11"/>
  <c r="AG20" i="11"/>
  <c r="AC20" i="11"/>
  <c r="Y20" i="11"/>
  <c r="U20" i="11"/>
  <c r="Q20" i="11"/>
  <c r="M20" i="11"/>
  <c r="I20" i="11"/>
  <c r="BI19" i="11"/>
  <c r="BE19" i="11"/>
  <c r="BA19" i="11"/>
  <c r="AW19" i="11"/>
  <c r="AS19" i="11"/>
  <c r="AO19" i="11"/>
  <c r="AK19" i="11"/>
  <c r="AG19" i="11"/>
  <c r="AC19" i="11"/>
  <c r="Y19" i="11"/>
  <c r="U19" i="11"/>
  <c r="Q19" i="11"/>
  <c r="M19" i="11"/>
  <c r="I19" i="11"/>
  <c r="BI18" i="11"/>
  <c r="BE18" i="11"/>
  <c r="BA18" i="11"/>
  <c r="AW18" i="11"/>
  <c r="AS18" i="11"/>
  <c r="AO18" i="11"/>
  <c r="AK18" i="11"/>
  <c r="AG18" i="11"/>
  <c r="AC18" i="11"/>
  <c r="Y18" i="11"/>
  <c r="U18" i="11"/>
  <c r="Q18" i="11"/>
  <c r="M18" i="11"/>
  <c r="I18" i="11"/>
  <c r="BI17" i="11"/>
  <c r="BE17" i="11"/>
  <c r="BA17" i="11"/>
  <c r="AW17" i="11"/>
  <c r="AS17" i="11"/>
  <c r="AO17" i="11"/>
  <c r="AK17" i="11"/>
  <c r="AG17" i="11"/>
  <c r="AC17" i="11"/>
  <c r="Y17" i="11"/>
  <c r="U17" i="11"/>
  <c r="Q17" i="11"/>
  <c r="M17" i="11"/>
  <c r="I17" i="11"/>
  <c r="BI16" i="11"/>
  <c r="BE16" i="11"/>
  <c r="BA16" i="11"/>
  <c r="AW16" i="11"/>
  <c r="AS16" i="11"/>
  <c r="AO16" i="11"/>
  <c r="AK16" i="11"/>
  <c r="AG16" i="11"/>
  <c r="AC16" i="11"/>
  <c r="Y16" i="11"/>
  <c r="U16" i="11"/>
  <c r="Q16" i="11"/>
  <c r="M16" i="11"/>
  <c r="I16" i="11"/>
  <c r="BI15" i="11"/>
  <c r="BE15" i="11"/>
  <c r="BA15" i="11"/>
  <c r="AW15" i="11"/>
  <c r="AS15" i="11"/>
  <c r="AO15" i="11"/>
  <c r="AK15" i="11"/>
  <c r="AG15" i="11"/>
  <c r="AC15" i="11"/>
  <c r="Y15" i="11"/>
  <c r="U15" i="11"/>
  <c r="Q15" i="11"/>
  <c r="M15" i="11"/>
  <c r="I15" i="11"/>
  <c r="BI14" i="11"/>
  <c r="BE14" i="11"/>
  <c r="BA14" i="11"/>
  <c r="AW14" i="11"/>
  <c r="AS14" i="11"/>
  <c r="AO14" i="11"/>
  <c r="AK14" i="11"/>
  <c r="AG14" i="11"/>
  <c r="AC14" i="11"/>
  <c r="Y14" i="11"/>
  <c r="U14" i="11"/>
  <c r="Q14" i="11"/>
  <c r="M14" i="11"/>
  <c r="I14" i="11"/>
  <c r="BJ14" i="11" s="1"/>
  <c r="BI13" i="11"/>
  <c r="BE13" i="11"/>
  <c r="BA13" i="11"/>
  <c r="AW13" i="11"/>
  <c r="AS13" i="11"/>
  <c r="AO13" i="11"/>
  <c r="AK13" i="11"/>
  <c r="AG13" i="11"/>
  <c r="AC13" i="11"/>
  <c r="Y13" i="11"/>
  <c r="U13" i="11"/>
  <c r="Q13" i="11"/>
  <c r="M13" i="11"/>
  <c r="I13" i="11"/>
  <c r="BI12" i="11"/>
  <c r="BE12" i="11"/>
  <c r="BA12" i="11"/>
  <c r="AW12" i="11"/>
  <c r="AS12" i="11"/>
  <c r="AO12" i="11"/>
  <c r="AK12" i="11"/>
  <c r="AG12" i="11"/>
  <c r="AC12" i="11"/>
  <c r="Y12" i="11"/>
  <c r="U12" i="11"/>
  <c r="Q12" i="11"/>
  <c r="M12" i="11"/>
  <c r="I12" i="11"/>
  <c r="BI11" i="11"/>
  <c r="BE11" i="11"/>
  <c r="BA11" i="11"/>
  <c r="AW11" i="11"/>
  <c r="AS11" i="11"/>
  <c r="AO11" i="11"/>
  <c r="AK11" i="11"/>
  <c r="AG11" i="11"/>
  <c r="AC11" i="11"/>
  <c r="Y11" i="11"/>
  <c r="U11" i="11"/>
  <c r="Q11" i="11"/>
  <c r="M11" i="11"/>
  <c r="I11" i="11"/>
  <c r="BJ11" i="11" s="1"/>
  <c r="BI10" i="11"/>
  <c r="BE10" i="11"/>
  <c r="BA10" i="11"/>
  <c r="AW10" i="11"/>
  <c r="AS10" i="11"/>
  <c r="AO10" i="11"/>
  <c r="AK10" i="11"/>
  <c r="AG10" i="11"/>
  <c r="AC10" i="11"/>
  <c r="Y10" i="11"/>
  <c r="U10" i="11"/>
  <c r="Q10" i="11"/>
  <c r="M10" i="11"/>
  <c r="I10" i="11"/>
  <c r="BI9" i="11"/>
  <c r="BE9" i="11"/>
  <c r="BA9" i="11"/>
  <c r="AW9" i="11"/>
  <c r="AS9" i="11"/>
  <c r="AO9" i="11"/>
  <c r="AK9" i="11"/>
  <c r="AG9" i="11"/>
  <c r="AC9" i="11"/>
  <c r="Y9" i="11"/>
  <c r="U9" i="11"/>
  <c r="Q9" i="11"/>
  <c r="M9" i="11"/>
  <c r="I9" i="11"/>
  <c r="BI8" i="11"/>
  <c r="BE8" i="11"/>
  <c r="BA8" i="11"/>
  <c r="AW8" i="11"/>
  <c r="AS8" i="11"/>
  <c r="AO8" i="11"/>
  <c r="AK8" i="11"/>
  <c r="AG8" i="11"/>
  <c r="AC8" i="11"/>
  <c r="Y8" i="11"/>
  <c r="U8" i="11"/>
  <c r="Q8" i="11"/>
  <c r="M8" i="11"/>
  <c r="I8" i="11"/>
  <c r="BI7" i="11"/>
  <c r="BE7" i="11"/>
  <c r="BA7" i="11"/>
  <c r="AW7" i="11"/>
  <c r="AS7" i="11"/>
  <c r="AO7" i="11"/>
  <c r="AK7" i="11"/>
  <c r="AG7" i="11"/>
  <c r="AC7" i="11"/>
  <c r="Y7" i="11"/>
  <c r="U7" i="11"/>
  <c r="Q7" i="11"/>
  <c r="M7" i="11"/>
  <c r="I7" i="11"/>
  <c r="BI6" i="11"/>
  <c r="BE6" i="11"/>
  <c r="BA6" i="11"/>
  <c r="AW6" i="11"/>
  <c r="AS6" i="11"/>
  <c r="AO6" i="11"/>
  <c r="AK6" i="11"/>
  <c r="AG6" i="11"/>
  <c r="AC6" i="11"/>
  <c r="Y6" i="11"/>
  <c r="U6" i="11"/>
  <c r="Q6" i="11"/>
  <c r="M6" i="11"/>
  <c r="I6" i="11"/>
  <c r="BI5" i="11"/>
  <c r="BE5" i="11"/>
  <c r="BA5" i="11"/>
  <c r="AW5" i="11"/>
  <c r="AS5" i="11"/>
  <c r="AO5" i="11"/>
  <c r="AK5" i="11"/>
  <c r="AG5" i="11"/>
  <c r="AC5" i="11"/>
  <c r="Y5" i="11"/>
  <c r="U5" i="11"/>
  <c r="Q5" i="11"/>
  <c r="M5" i="11"/>
  <c r="I5" i="11"/>
  <c r="BI4" i="11"/>
  <c r="BE4" i="11"/>
  <c r="BA4" i="11"/>
  <c r="AW4" i="11"/>
  <c r="AS4" i="11"/>
  <c r="AO4" i="11"/>
  <c r="AK4" i="11"/>
  <c r="AG4" i="11"/>
  <c r="AC4" i="11"/>
  <c r="Y4" i="11"/>
  <c r="U4" i="11"/>
  <c r="Q4" i="11"/>
  <c r="M4" i="11"/>
  <c r="I4" i="11"/>
  <c r="BI3" i="11"/>
  <c r="BE3" i="11"/>
  <c r="BA3" i="11"/>
  <c r="AW3" i="11"/>
  <c r="AS3" i="11"/>
  <c r="AO3" i="11"/>
  <c r="AK3" i="11"/>
  <c r="AG3" i="11"/>
  <c r="AC3" i="11"/>
  <c r="Y3" i="11"/>
  <c r="U3" i="11"/>
  <c r="Q3" i="11"/>
  <c r="M3" i="11"/>
  <c r="I3" i="11"/>
  <c r="BJ3" i="11" s="1"/>
  <c r="BJ22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3" i="18"/>
  <c r="BJ23" i="11" l="1"/>
  <c r="BJ20" i="11"/>
  <c r="BJ28" i="11"/>
  <c r="BJ12" i="11"/>
  <c r="BJ9" i="11"/>
  <c r="BJ17" i="11"/>
  <c r="BJ6" i="11"/>
  <c r="BJ5" i="11"/>
  <c r="BJ31" i="11"/>
  <c r="BJ8" i="11"/>
  <c r="BJ19" i="11"/>
  <c r="BJ30" i="11"/>
  <c r="BJ16" i="11"/>
  <c r="BJ27" i="11"/>
  <c r="BJ13" i="11"/>
  <c r="BJ24" i="11"/>
  <c r="BJ10" i="11"/>
  <c r="BJ21" i="11"/>
  <c r="BJ32" i="11"/>
  <c r="BJ7" i="11"/>
  <c r="BJ18" i="11"/>
  <c r="BJ29" i="11"/>
  <c r="BJ4" i="11"/>
  <c r="BJ15" i="11"/>
  <c r="BJ26" i="11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Y46" i="13"/>
  <c r="Y45" i="13"/>
  <c r="Y44" i="13"/>
  <c r="Y43" i="13"/>
  <c r="Y42" i="13"/>
  <c r="Y41" i="13"/>
  <c r="Y40" i="13"/>
  <c r="Y39" i="13"/>
  <c r="Y38" i="13"/>
  <c r="Y37" i="13"/>
  <c r="Y36" i="13"/>
  <c r="Y35" i="13"/>
  <c r="Y34" i="13"/>
  <c r="Y33" i="13"/>
  <c r="Y32" i="13"/>
  <c r="Y31" i="13"/>
  <c r="Y30" i="13"/>
  <c r="Y29" i="13"/>
  <c r="Y28" i="13"/>
  <c r="Y27" i="13"/>
  <c r="Y26" i="13"/>
  <c r="Y25" i="13"/>
  <c r="Y24" i="13"/>
  <c r="Y23" i="13"/>
  <c r="Y22" i="13"/>
  <c r="Y21" i="13"/>
  <c r="Y20" i="13"/>
  <c r="Y19" i="13"/>
  <c r="Y18" i="13"/>
  <c r="Y17" i="13"/>
  <c r="Y16" i="13"/>
  <c r="Y15" i="13"/>
  <c r="Y14" i="13"/>
  <c r="Y13" i="13"/>
  <c r="Y12" i="13"/>
  <c r="Y11" i="13"/>
  <c r="Y10" i="13"/>
  <c r="Y9" i="13"/>
  <c r="Y8" i="13"/>
  <c r="Y7" i="13"/>
  <c r="Y6" i="13"/>
  <c r="Y5" i="13"/>
  <c r="Y4" i="13"/>
  <c r="Y3" i="13"/>
  <c r="AC46" i="13"/>
  <c r="AC45" i="13"/>
  <c r="AC44" i="13"/>
  <c r="AC43" i="13"/>
  <c r="AC42" i="13"/>
  <c r="AC41" i="13"/>
  <c r="AC40" i="13"/>
  <c r="AC39" i="13"/>
  <c r="AC38" i="13"/>
  <c r="AC37" i="13"/>
  <c r="AC36" i="13"/>
  <c r="AC35" i="13"/>
  <c r="AC34" i="13"/>
  <c r="AC33" i="13"/>
  <c r="AC32" i="13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9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6" i="13"/>
  <c r="AC5" i="13"/>
  <c r="AC4" i="13"/>
  <c r="AC3" i="13"/>
  <c r="AG46" i="13"/>
  <c r="AG45" i="13"/>
  <c r="AG44" i="13"/>
  <c r="AG43" i="13"/>
  <c r="AG42" i="13"/>
  <c r="AG41" i="13"/>
  <c r="AG40" i="13"/>
  <c r="AG39" i="13"/>
  <c r="AG38" i="13"/>
  <c r="AG37" i="13"/>
  <c r="AG36" i="13"/>
  <c r="AG35" i="13"/>
  <c r="AG34" i="13"/>
  <c r="AG33" i="13"/>
  <c r="AG32" i="13"/>
  <c r="AG31" i="13"/>
  <c r="AG30" i="13"/>
  <c r="AG29" i="13"/>
  <c r="AG28" i="13"/>
  <c r="AG27" i="13"/>
  <c r="AG26" i="13"/>
  <c r="AG25" i="13"/>
  <c r="AG24" i="13"/>
  <c r="AG23" i="13"/>
  <c r="AG22" i="13"/>
  <c r="AG21" i="13"/>
  <c r="AG20" i="13"/>
  <c r="AG19" i="13"/>
  <c r="AG18" i="13"/>
  <c r="AG17" i="13"/>
  <c r="AG16" i="13"/>
  <c r="AG15" i="13"/>
  <c r="AG14" i="13"/>
  <c r="AG13" i="13"/>
  <c r="AG12" i="13"/>
  <c r="AG11" i="13"/>
  <c r="AG10" i="13"/>
  <c r="AG9" i="13"/>
  <c r="AG8" i="13"/>
  <c r="AG7" i="13"/>
  <c r="AG6" i="13"/>
  <c r="AG5" i="13"/>
  <c r="AG4" i="13"/>
  <c r="AG3" i="13"/>
  <c r="AK46" i="13"/>
  <c r="AK45" i="13"/>
  <c r="AK44" i="13"/>
  <c r="AK43" i="13"/>
  <c r="AK42" i="13"/>
  <c r="AK41" i="13"/>
  <c r="AK40" i="13"/>
  <c r="AK39" i="13"/>
  <c r="AK38" i="13"/>
  <c r="AK37" i="13"/>
  <c r="AK36" i="13"/>
  <c r="AK35" i="13"/>
  <c r="AK34" i="13"/>
  <c r="AK33" i="13"/>
  <c r="AK32" i="13"/>
  <c r="AK31" i="13"/>
  <c r="AK30" i="13"/>
  <c r="AK29" i="13"/>
  <c r="AK28" i="13"/>
  <c r="AK27" i="13"/>
  <c r="AK26" i="13"/>
  <c r="AK25" i="13"/>
  <c r="AK24" i="13"/>
  <c r="AK23" i="13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K10" i="13"/>
  <c r="AK9" i="13"/>
  <c r="AK8" i="13"/>
  <c r="AK7" i="13"/>
  <c r="AK6" i="13"/>
  <c r="AK5" i="13"/>
  <c r="AK4" i="13"/>
  <c r="AK3" i="13"/>
  <c r="AO46" i="13"/>
  <c r="AO45" i="13"/>
  <c r="AO44" i="13"/>
  <c r="AO43" i="13"/>
  <c r="AO42" i="13"/>
  <c r="AO41" i="13"/>
  <c r="AO40" i="13"/>
  <c r="AO39" i="13"/>
  <c r="AO38" i="13"/>
  <c r="AO37" i="13"/>
  <c r="AO36" i="13"/>
  <c r="AO35" i="13"/>
  <c r="AO34" i="13"/>
  <c r="AO33" i="13"/>
  <c r="AO32" i="13"/>
  <c r="AO31" i="13"/>
  <c r="AO30" i="13"/>
  <c r="AO29" i="13"/>
  <c r="AO28" i="13"/>
  <c r="AO27" i="13"/>
  <c r="AO26" i="13"/>
  <c r="AO25" i="13"/>
  <c r="AO24" i="13"/>
  <c r="AO23" i="13"/>
  <c r="AO22" i="13"/>
  <c r="AO21" i="13"/>
  <c r="AO20" i="13"/>
  <c r="AO19" i="13"/>
  <c r="AO18" i="13"/>
  <c r="AO17" i="13"/>
  <c r="AO16" i="13"/>
  <c r="AO15" i="13"/>
  <c r="AO14" i="13"/>
  <c r="AO13" i="13"/>
  <c r="AO12" i="13"/>
  <c r="AO11" i="13"/>
  <c r="AO10" i="13"/>
  <c r="AO9" i="13"/>
  <c r="AO8" i="13"/>
  <c r="AO7" i="13"/>
  <c r="AO6" i="13"/>
  <c r="AO5" i="13"/>
  <c r="AO4" i="13"/>
  <c r="AO3" i="13"/>
  <c r="AS46" i="13"/>
  <c r="AS45" i="13"/>
  <c r="AS44" i="13"/>
  <c r="AS43" i="13"/>
  <c r="AS42" i="13"/>
  <c r="AS41" i="13"/>
  <c r="AS40" i="13"/>
  <c r="AS39" i="13"/>
  <c r="AS38" i="13"/>
  <c r="AS37" i="13"/>
  <c r="AS36" i="13"/>
  <c r="AS35" i="13"/>
  <c r="AS34" i="13"/>
  <c r="AS33" i="13"/>
  <c r="AS32" i="13"/>
  <c r="AS31" i="13"/>
  <c r="AS30" i="13"/>
  <c r="AS29" i="13"/>
  <c r="AS28" i="13"/>
  <c r="AS27" i="13"/>
  <c r="AS26" i="13"/>
  <c r="AS25" i="13"/>
  <c r="AS24" i="13"/>
  <c r="AS23" i="13"/>
  <c r="AS22" i="13"/>
  <c r="AS21" i="13"/>
  <c r="AS20" i="13"/>
  <c r="AS19" i="13"/>
  <c r="AS18" i="13"/>
  <c r="AS17" i="13"/>
  <c r="AS16" i="13"/>
  <c r="AS15" i="13"/>
  <c r="AS14" i="13"/>
  <c r="AS13" i="13"/>
  <c r="AS12" i="13"/>
  <c r="AS11" i="13"/>
  <c r="AS10" i="13"/>
  <c r="AS9" i="13"/>
  <c r="AS8" i="13"/>
  <c r="AS7" i="13"/>
  <c r="AS6" i="13"/>
  <c r="AS5" i="13"/>
  <c r="AS4" i="13"/>
  <c r="AS3" i="13"/>
  <c r="AW46" i="13"/>
  <c r="AW45" i="13"/>
  <c r="AW44" i="13"/>
  <c r="AW43" i="13"/>
  <c r="AW42" i="13"/>
  <c r="AW4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26" i="13"/>
  <c r="AW25" i="13"/>
  <c r="AW24" i="13"/>
  <c r="AW23" i="13"/>
  <c r="AW22" i="13"/>
  <c r="AW21" i="13"/>
  <c r="AW20" i="13"/>
  <c r="AW19" i="13"/>
  <c r="AW18" i="13"/>
  <c r="AW17" i="13"/>
  <c r="AW16" i="13"/>
  <c r="AW15" i="13"/>
  <c r="AW14" i="13"/>
  <c r="AW13" i="13"/>
  <c r="AW12" i="13"/>
  <c r="AW11" i="13"/>
  <c r="AW10" i="13"/>
  <c r="AW9" i="13"/>
  <c r="AW8" i="13"/>
  <c r="AW7" i="13"/>
  <c r="AW6" i="13"/>
  <c r="AW5" i="13"/>
  <c r="AW4" i="13"/>
  <c r="AW3" i="13"/>
  <c r="BA46" i="13"/>
  <c r="BA45" i="13"/>
  <c r="BA44" i="13"/>
  <c r="BA43" i="13"/>
  <c r="BA42" i="13"/>
  <c r="BA41" i="13"/>
  <c r="BA40" i="13"/>
  <c r="BA39" i="13"/>
  <c r="BA38" i="13"/>
  <c r="BA37" i="13"/>
  <c r="BA36" i="13"/>
  <c r="BA35" i="13"/>
  <c r="BA34" i="13"/>
  <c r="BA33" i="13"/>
  <c r="BA32" i="13"/>
  <c r="BA31" i="13"/>
  <c r="BA30" i="13"/>
  <c r="BA29" i="13"/>
  <c r="BA28" i="13"/>
  <c r="BA27" i="13"/>
  <c r="BA26" i="13"/>
  <c r="BA25" i="13"/>
  <c r="BA24" i="13"/>
  <c r="BA23" i="13"/>
  <c r="BA22" i="13"/>
  <c r="BA21" i="13"/>
  <c r="BA20" i="13"/>
  <c r="BA19" i="13"/>
  <c r="BA18" i="13"/>
  <c r="BA17" i="13"/>
  <c r="BA16" i="13"/>
  <c r="BA15" i="13"/>
  <c r="BA14" i="13"/>
  <c r="BA13" i="13"/>
  <c r="BA12" i="13"/>
  <c r="BA11" i="13"/>
  <c r="BA10" i="13"/>
  <c r="BA9" i="13"/>
  <c r="BA8" i="13"/>
  <c r="BA7" i="13"/>
  <c r="BA6" i="13"/>
  <c r="BA5" i="13"/>
  <c r="BA4" i="13"/>
  <c r="BA3" i="13"/>
  <c r="BE46" i="13"/>
  <c r="BE45" i="13"/>
  <c r="BE44" i="13"/>
  <c r="BE43" i="13"/>
  <c r="BE42" i="13"/>
  <c r="BE41" i="13"/>
  <c r="BE40" i="13"/>
  <c r="BE39" i="13"/>
  <c r="BE38" i="13"/>
  <c r="BE37" i="13"/>
  <c r="BE36" i="13"/>
  <c r="BE35" i="13"/>
  <c r="BE34" i="13"/>
  <c r="BE33" i="13"/>
  <c r="BE32" i="13"/>
  <c r="BE31" i="13"/>
  <c r="BE30" i="13"/>
  <c r="BE29" i="13"/>
  <c r="BE28" i="13"/>
  <c r="BE27" i="13"/>
  <c r="BE26" i="13"/>
  <c r="BE25" i="13"/>
  <c r="BE24" i="13"/>
  <c r="BE23" i="13"/>
  <c r="BE22" i="13"/>
  <c r="BE21" i="13"/>
  <c r="BE20" i="13"/>
  <c r="BE19" i="13"/>
  <c r="BE18" i="13"/>
  <c r="BE17" i="13"/>
  <c r="BE16" i="13"/>
  <c r="BE15" i="13"/>
  <c r="BE14" i="13"/>
  <c r="BE13" i="13"/>
  <c r="BE12" i="13"/>
  <c r="BE11" i="13"/>
  <c r="BE10" i="13"/>
  <c r="BE9" i="13"/>
  <c r="BE8" i="13"/>
  <c r="BE7" i="13"/>
  <c r="BE6" i="13"/>
  <c r="BE5" i="13"/>
  <c r="BE4" i="13"/>
  <c r="BE3" i="13"/>
  <c r="BI46" i="13"/>
  <c r="BI45" i="13"/>
  <c r="BI44" i="13"/>
  <c r="BI43" i="13"/>
  <c r="BI42" i="13"/>
  <c r="BI41" i="13"/>
  <c r="BI40" i="13"/>
  <c r="BI39" i="13"/>
  <c r="BI38" i="13"/>
  <c r="BI37" i="13"/>
  <c r="BI36" i="13"/>
  <c r="BI35" i="13"/>
  <c r="BI34" i="13"/>
  <c r="BI33" i="13"/>
  <c r="BI32" i="13"/>
  <c r="BI31" i="13"/>
  <c r="BI30" i="13"/>
  <c r="BI29" i="13"/>
  <c r="BI28" i="13"/>
  <c r="BI27" i="13"/>
  <c r="BI26" i="13"/>
  <c r="BI25" i="13"/>
  <c r="BI24" i="13"/>
  <c r="BI23" i="13"/>
  <c r="BI22" i="13"/>
  <c r="BI21" i="13"/>
  <c r="BI20" i="13"/>
  <c r="BI19" i="13"/>
  <c r="BI18" i="13"/>
  <c r="BI17" i="13"/>
  <c r="BI16" i="13"/>
  <c r="BI15" i="13"/>
  <c r="BI14" i="13"/>
  <c r="BI13" i="13"/>
  <c r="BI12" i="13"/>
  <c r="BI11" i="13"/>
  <c r="BI10" i="13"/>
  <c r="BI9" i="13"/>
  <c r="BI8" i="13"/>
  <c r="BI7" i="13"/>
  <c r="BI6" i="13"/>
  <c r="BI5" i="13"/>
  <c r="BI4" i="13"/>
  <c r="BI3" i="13"/>
  <c r="Q3" i="18" l="1"/>
  <c r="U3" i="18"/>
  <c r="Y3" i="18"/>
  <c r="AC3" i="18"/>
  <c r="AG3" i="18"/>
  <c r="AK3" i="18"/>
  <c r="AO3" i="18"/>
  <c r="AS3" i="18"/>
  <c r="AW3" i="18"/>
  <c r="BA3" i="18"/>
  <c r="BE3" i="18"/>
  <c r="BI3" i="18"/>
  <c r="Q4" i="18"/>
  <c r="U4" i="18"/>
  <c r="Y4" i="18"/>
  <c r="AC4" i="18"/>
  <c r="AG4" i="18"/>
  <c r="AK4" i="18"/>
  <c r="AO4" i="18"/>
  <c r="AS4" i="18"/>
  <c r="AW4" i="18"/>
  <c r="BA4" i="18"/>
  <c r="BE4" i="18"/>
  <c r="BI4" i="18"/>
  <c r="Q5" i="18"/>
  <c r="U5" i="18"/>
  <c r="Y5" i="18"/>
  <c r="AC5" i="18"/>
  <c r="AG5" i="18"/>
  <c r="AK5" i="18"/>
  <c r="AO5" i="18"/>
  <c r="AS5" i="18"/>
  <c r="AW5" i="18"/>
  <c r="BA5" i="18"/>
  <c r="BE5" i="18"/>
  <c r="BI5" i="18"/>
  <c r="Q6" i="18"/>
  <c r="U6" i="18"/>
  <c r="Y6" i="18"/>
  <c r="AC6" i="18"/>
  <c r="AG6" i="18"/>
  <c r="AK6" i="18"/>
  <c r="AO6" i="18"/>
  <c r="AS6" i="18"/>
  <c r="AW6" i="18"/>
  <c r="BA6" i="18"/>
  <c r="BE6" i="18"/>
  <c r="BI6" i="18"/>
  <c r="Q7" i="18"/>
  <c r="U7" i="18"/>
  <c r="Y7" i="18"/>
  <c r="AC7" i="18"/>
  <c r="AG7" i="18"/>
  <c r="AK7" i="18"/>
  <c r="AO7" i="18"/>
  <c r="AS7" i="18"/>
  <c r="AW7" i="18"/>
  <c r="BA7" i="18"/>
  <c r="BE7" i="18"/>
  <c r="BI7" i="18"/>
  <c r="Q8" i="18"/>
  <c r="U8" i="18"/>
  <c r="Y8" i="18"/>
  <c r="AC8" i="18"/>
  <c r="AG8" i="18"/>
  <c r="AK8" i="18"/>
  <c r="AO8" i="18"/>
  <c r="AS8" i="18"/>
  <c r="AW8" i="18"/>
  <c r="BA8" i="18"/>
  <c r="BE8" i="18"/>
  <c r="BI8" i="18"/>
  <c r="Q9" i="18"/>
  <c r="U9" i="18"/>
  <c r="Y9" i="18"/>
  <c r="AC9" i="18"/>
  <c r="AG9" i="18"/>
  <c r="AK9" i="18"/>
  <c r="AO9" i="18"/>
  <c r="AS9" i="18"/>
  <c r="AW9" i="18"/>
  <c r="BA9" i="18"/>
  <c r="BE9" i="18"/>
  <c r="BI9" i="18"/>
  <c r="Q10" i="18"/>
  <c r="U10" i="18"/>
  <c r="Y10" i="18"/>
  <c r="AC10" i="18"/>
  <c r="AG10" i="18"/>
  <c r="AK10" i="18"/>
  <c r="AO10" i="18"/>
  <c r="AS10" i="18"/>
  <c r="AW10" i="18"/>
  <c r="BA10" i="18"/>
  <c r="BE10" i="18"/>
  <c r="BI10" i="18"/>
  <c r="Q11" i="18"/>
  <c r="U11" i="18"/>
  <c r="Y11" i="18"/>
  <c r="AC11" i="18"/>
  <c r="AG11" i="18"/>
  <c r="AK11" i="18"/>
  <c r="AO11" i="18"/>
  <c r="AS11" i="18"/>
  <c r="AW11" i="18"/>
  <c r="BA11" i="18"/>
  <c r="BE11" i="18"/>
  <c r="BI11" i="18"/>
  <c r="Q12" i="18"/>
  <c r="U12" i="18"/>
  <c r="Y12" i="18"/>
  <c r="AC12" i="18"/>
  <c r="AG12" i="18"/>
  <c r="AK12" i="18"/>
  <c r="AO12" i="18"/>
  <c r="AS12" i="18"/>
  <c r="AW12" i="18"/>
  <c r="BA12" i="18"/>
  <c r="BE12" i="18"/>
  <c r="BI12" i="18"/>
  <c r="Q13" i="18"/>
  <c r="U13" i="18"/>
  <c r="Y13" i="18"/>
  <c r="AC13" i="18"/>
  <c r="AG13" i="18"/>
  <c r="AK13" i="18"/>
  <c r="AO13" i="18"/>
  <c r="AS13" i="18"/>
  <c r="AW13" i="18"/>
  <c r="BA13" i="18"/>
  <c r="BE13" i="18"/>
  <c r="BI13" i="18"/>
  <c r="Q14" i="18"/>
  <c r="U14" i="18"/>
  <c r="Y14" i="18"/>
  <c r="AC14" i="18"/>
  <c r="AG14" i="18"/>
  <c r="AK14" i="18"/>
  <c r="AO14" i="18"/>
  <c r="AS14" i="18"/>
  <c r="AW14" i="18"/>
  <c r="BA14" i="18"/>
  <c r="BE14" i="18"/>
  <c r="BI14" i="18"/>
  <c r="Q15" i="18"/>
  <c r="U15" i="18"/>
  <c r="Y15" i="18"/>
  <c r="AC15" i="18"/>
  <c r="AG15" i="18"/>
  <c r="AK15" i="18"/>
  <c r="AO15" i="18"/>
  <c r="AS15" i="18"/>
  <c r="AW15" i="18"/>
  <c r="BA15" i="18"/>
  <c r="BE15" i="18"/>
  <c r="BI15" i="18"/>
  <c r="Q16" i="18"/>
  <c r="U16" i="18"/>
  <c r="Y16" i="18"/>
  <c r="AC16" i="18"/>
  <c r="AG16" i="18"/>
  <c r="AK16" i="18"/>
  <c r="AO16" i="18"/>
  <c r="AS16" i="18"/>
  <c r="AW16" i="18"/>
  <c r="BA16" i="18"/>
  <c r="BE16" i="18"/>
  <c r="BI16" i="18"/>
  <c r="Q17" i="18"/>
  <c r="U17" i="18"/>
  <c r="Y17" i="18"/>
  <c r="AC17" i="18"/>
  <c r="AG17" i="18"/>
  <c r="AK17" i="18"/>
  <c r="AO17" i="18"/>
  <c r="AS17" i="18"/>
  <c r="AW17" i="18"/>
  <c r="BA17" i="18"/>
  <c r="BE17" i="18"/>
  <c r="BI17" i="18"/>
  <c r="Q18" i="18"/>
  <c r="U18" i="18"/>
  <c r="Y18" i="18"/>
  <c r="AC18" i="18"/>
  <c r="AG18" i="18"/>
  <c r="AK18" i="18"/>
  <c r="AO18" i="18"/>
  <c r="AS18" i="18"/>
  <c r="AW18" i="18"/>
  <c r="BA18" i="18"/>
  <c r="BE18" i="18"/>
  <c r="BI18" i="18"/>
  <c r="Q19" i="18"/>
  <c r="U19" i="18"/>
  <c r="Y19" i="18"/>
  <c r="AC19" i="18"/>
  <c r="AG19" i="18"/>
  <c r="AK19" i="18"/>
  <c r="AO19" i="18"/>
  <c r="AS19" i="18"/>
  <c r="AW19" i="18"/>
  <c r="BA19" i="18"/>
  <c r="BE19" i="18"/>
  <c r="BI19" i="18"/>
  <c r="Q20" i="18"/>
  <c r="U20" i="18"/>
  <c r="Y20" i="18"/>
  <c r="AC20" i="18"/>
  <c r="AG20" i="18"/>
  <c r="AK20" i="18"/>
  <c r="AO20" i="18"/>
  <c r="AS20" i="18"/>
  <c r="AW20" i="18"/>
  <c r="BA20" i="18"/>
  <c r="BE20" i="18"/>
  <c r="BI20" i="18"/>
  <c r="Q21" i="18"/>
  <c r="U21" i="18"/>
  <c r="Y21" i="18"/>
  <c r="AC21" i="18"/>
  <c r="AG21" i="18"/>
  <c r="AK21" i="18"/>
  <c r="AO21" i="18"/>
  <c r="AS21" i="18"/>
  <c r="AW21" i="18"/>
  <c r="BA21" i="18"/>
  <c r="BE21" i="18"/>
  <c r="BI21" i="18"/>
  <c r="Q22" i="18"/>
  <c r="U22" i="18"/>
  <c r="Y22" i="18"/>
  <c r="AC22" i="18"/>
  <c r="AG22" i="18"/>
  <c r="AK22" i="18"/>
  <c r="AO22" i="18"/>
  <c r="AS22" i="18"/>
  <c r="AW22" i="18"/>
  <c r="BA22" i="18"/>
  <c r="BE22" i="18"/>
  <c r="BI22" i="18"/>
  <c r="Q23" i="18"/>
  <c r="U23" i="18"/>
  <c r="Y23" i="18"/>
  <c r="AC23" i="18"/>
  <c r="AG23" i="18"/>
  <c r="AK23" i="18"/>
  <c r="AO23" i="18"/>
  <c r="AS23" i="18"/>
  <c r="AW23" i="18"/>
  <c r="BA23" i="18"/>
  <c r="BE23" i="18"/>
  <c r="BI23" i="18"/>
  <c r="Q24" i="18"/>
  <c r="U24" i="18"/>
  <c r="Y24" i="18"/>
  <c r="AC24" i="18"/>
  <c r="AG24" i="18"/>
  <c r="AK24" i="18"/>
  <c r="AO24" i="18"/>
  <c r="AS24" i="18"/>
  <c r="AW24" i="18"/>
  <c r="BA24" i="18"/>
  <c r="BE24" i="18"/>
  <c r="BI24" i="18"/>
  <c r="Q25" i="18"/>
  <c r="U25" i="18"/>
  <c r="Y25" i="18"/>
  <c r="AC25" i="18"/>
  <c r="AG25" i="18"/>
  <c r="AK25" i="18"/>
  <c r="AO25" i="18"/>
  <c r="AS25" i="18"/>
  <c r="AW25" i="18"/>
  <c r="BA25" i="18"/>
  <c r="BE25" i="18"/>
  <c r="BI25" i="18"/>
  <c r="Q26" i="18"/>
  <c r="U26" i="18"/>
  <c r="Y26" i="18"/>
  <c r="AC26" i="18"/>
  <c r="AG26" i="18"/>
  <c r="AK26" i="18"/>
  <c r="AO26" i="18"/>
  <c r="AS26" i="18"/>
  <c r="AW26" i="18"/>
  <c r="BA26" i="18"/>
  <c r="BE26" i="18"/>
  <c r="BI26" i="18"/>
  <c r="Q27" i="18"/>
  <c r="U27" i="18"/>
  <c r="Y27" i="18"/>
  <c r="AC27" i="18"/>
  <c r="AG27" i="18"/>
  <c r="AK27" i="18"/>
  <c r="AO27" i="18"/>
  <c r="AS27" i="18"/>
  <c r="AW27" i="18"/>
  <c r="BA27" i="18"/>
  <c r="BE27" i="18"/>
  <c r="BI27" i="18"/>
  <c r="Q28" i="18"/>
  <c r="U28" i="18"/>
  <c r="Y28" i="18"/>
  <c r="AC28" i="18"/>
  <c r="AG28" i="18"/>
  <c r="AK28" i="18"/>
  <c r="AO28" i="18"/>
  <c r="AS28" i="18"/>
  <c r="AW28" i="18"/>
  <c r="BA28" i="18"/>
  <c r="BE28" i="18"/>
  <c r="BI28" i="18"/>
  <c r="Q29" i="18"/>
  <c r="U29" i="18"/>
  <c r="Y29" i="18"/>
  <c r="AC29" i="18"/>
  <c r="AG29" i="18"/>
  <c r="AK29" i="18"/>
  <c r="AO29" i="18"/>
  <c r="AS29" i="18"/>
  <c r="AW29" i="18"/>
  <c r="BA29" i="18"/>
  <c r="BE29" i="18"/>
  <c r="BI29" i="18"/>
  <c r="Q30" i="18"/>
  <c r="U30" i="18"/>
  <c r="Y30" i="18"/>
  <c r="AC30" i="18"/>
  <c r="AG30" i="18"/>
  <c r="AK30" i="18"/>
  <c r="AO30" i="18"/>
  <c r="AS30" i="18"/>
  <c r="AW30" i="18"/>
  <c r="BA30" i="18"/>
  <c r="BE30" i="18"/>
  <c r="BI30" i="18"/>
  <c r="Q31" i="18"/>
  <c r="U31" i="18"/>
  <c r="Y31" i="18"/>
  <c r="AC31" i="18"/>
  <c r="AG31" i="18"/>
  <c r="AK31" i="18"/>
  <c r="AO31" i="18"/>
  <c r="AS31" i="18"/>
  <c r="AW31" i="18"/>
  <c r="BA31" i="18"/>
  <c r="BE31" i="18"/>
  <c r="BI31" i="18"/>
  <c r="Q32" i="18"/>
  <c r="U32" i="18"/>
  <c r="Y32" i="18"/>
  <c r="AC32" i="18"/>
  <c r="AG32" i="18"/>
  <c r="AK32" i="18"/>
  <c r="AO32" i="18"/>
  <c r="AS32" i="18"/>
  <c r="AW32" i="18"/>
  <c r="BA32" i="18"/>
  <c r="BE32" i="18"/>
  <c r="BI32" i="18"/>
  <c r="Q33" i="18"/>
  <c r="U33" i="18"/>
  <c r="Y33" i="18"/>
  <c r="AC33" i="18"/>
  <c r="AG33" i="18"/>
  <c r="AK33" i="18"/>
  <c r="AO33" i="18"/>
  <c r="AS33" i="18"/>
  <c r="AW33" i="18"/>
  <c r="BA33" i="18"/>
  <c r="BE33" i="18"/>
  <c r="BI33" i="18"/>
  <c r="Q34" i="18"/>
  <c r="U34" i="18"/>
  <c r="Y34" i="18"/>
  <c r="AC34" i="18"/>
  <c r="AG34" i="18"/>
  <c r="AK34" i="18"/>
  <c r="AO34" i="18"/>
  <c r="AS34" i="18"/>
  <c r="AW34" i="18"/>
  <c r="BA34" i="18"/>
  <c r="BE34" i="18"/>
  <c r="BI34" i="18"/>
  <c r="Q35" i="18"/>
  <c r="U35" i="18"/>
  <c r="Y35" i="18"/>
  <c r="AC35" i="18"/>
  <c r="AG35" i="18"/>
  <c r="AK35" i="18"/>
  <c r="AO35" i="18"/>
  <c r="AS35" i="18"/>
  <c r="AW35" i="18"/>
  <c r="BA35" i="18"/>
  <c r="BE35" i="18"/>
  <c r="BI35" i="18"/>
  <c r="Q36" i="18"/>
  <c r="U36" i="18"/>
  <c r="Y36" i="18"/>
  <c r="AC36" i="18"/>
  <c r="AG36" i="18"/>
  <c r="AK36" i="18"/>
  <c r="AO36" i="18"/>
  <c r="AS36" i="18"/>
  <c r="AW36" i="18"/>
  <c r="BA36" i="18"/>
  <c r="BE36" i="18"/>
  <c r="BI36" i="18"/>
  <c r="Q37" i="18"/>
  <c r="U37" i="18"/>
  <c r="Y37" i="18"/>
  <c r="AC37" i="18"/>
  <c r="AG37" i="18"/>
  <c r="AK37" i="18"/>
  <c r="AO37" i="18"/>
  <c r="AS37" i="18"/>
  <c r="AW37" i="18"/>
  <c r="BA37" i="18"/>
  <c r="BE37" i="18"/>
  <c r="BI37" i="18"/>
  <c r="Q38" i="18"/>
  <c r="U38" i="18"/>
  <c r="Y38" i="18"/>
  <c r="AC38" i="18"/>
  <c r="AG38" i="18"/>
  <c r="AK38" i="18"/>
  <c r="AO38" i="18"/>
  <c r="AS38" i="18"/>
  <c r="AW38" i="18"/>
  <c r="BA38" i="18"/>
  <c r="BE38" i="18"/>
  <c r="BI38" i="18"/>
  <c r="Q39" i="18"/>
  <c r="U39" i="18"/>
  <c r="Y39" i="18"/>
  <c r="AC39" i="18"/>
  <c r="AG39" i="18"/>
  <c r="AK39" i="18"/>
  <c r="AO39" i="18"/>
  <c r="AS39" i="18"/>
  <c r="AW39" i="18"/>
  <c r="BA39" i="18"/>
  <c r="BE39" i="18"/>
  <c r="BI39" i="18"/>
  <c r="Q40" i="18"/>
  <c r="U40" i="18"/>
  <c r="Y40" i="18"/>
  <c r="AC40" i="18"/>
  <c r="AG40" i="18"/>
  <c r="AK40" i="18"/>
  <c r="AO40" i="18"/>
  <c r="AS40" i="18"/>
  <c r="AW40" i="18"/>
  <c r="BA40" i="18"/>
  <c r="BE40" i="18"/>
  <c r="BI40" i="18"/>
  <c r="Q41" i="18"/>
  <c r="U41" i="18"/>
  <c r="Y41" i="18"/>
  <c r="AC41" i="18"/>
  <c r="AG41" i="18"/>
  <c r="AK41" i="18"/>
  <c r="AO41" i="18"/>
  <c r="AS41" i="18"/>
  <c r="AW41" i="18"/>
  <c r="BA41" i="18"/>
  <c r="BE41" i="18"/>
  <c r="BI41" i="18"/>
  <c r="Q42" i="18"/>
  <c r="U42" i="18"/>
  <c r="Y42" i="18"/>
  <c r="AC42" i="18"/>
  <c r="AG42" i="18"/>
  <c r="AK42" i="18"/>
  <c r="AO42" i="18"/>
  <c r="AS42" i="18"/>
  <c r="AW42" i="18"/>
  <c r="BA42" i="18"/>
  <c r="BE42" i="18"/>
  <c r="BI42" i="18"/>
  <c r="Q43" i="18"/>
  <c r="U43" i="18"/>
  <c r="Y43" i="18"/>
  <c r="AC43" i="18"/>
  <c r="AG43" i="18"/>
  <c r="AK43" i="18"/>
  <c r="AO43" i="18"/>
  <c r="AS43" i="18"/>
  <c r="AW43" i="18"/>
  <c r="BA43" i="18"/>
  <c r="BE43" i="18"/>
  <c r="BI43" i="18"/>
  <c r="Q44" i="18"/>
  <c r="U44" i="18"/>
  <c r="Y44" i="18"/>
  <c r="AC44" i="18"/>
  <c r="AG44" i="18"/>
  <c r="AK44" i="18"/>
  <c r="AO44" i="18"/>
  <c r="AS44" i="18"/>
  <c r="AW44" i="18"/>
  <c r="BA44" i="18"/>
  <c r="BE44" i="18"/>
  <c r="BI44" i="18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I4" i="13"/>
  <c r="BJ4" i="13" s="1"/>
  <c r="I5" i="13"/>
  <c r="I6" i="13"/>
  <c r="I7" i="13"/>
  <c r="I8" i="13"/>
  <c r="I9" i="13"/>
  <c r="I10" i="13"/>
  <c r="I11" i="13"/>
  <c r="I12" i="13"/>
  <c r="I13" i="13"/>
  <c r="I14" i="13"/>
  <c r="BJ14" i="13" s="1"/>
  <c r="I15" i="13"/>
  <c r="BJ15" i="13" s="1"/>
  <c r="I16" i="13"/>
  <c r="BJ16" i="13" s="1"/>
  <c r="I17" i="13"/>
  <c r="BJ17" i="13" s="1"/>
  <c r="I18" i="13"/>
  <c r="BJ18" i="13" s="1"/>
  <c r="I19" i="13"/>
  <c r="I20" i="13"/>
  <c r="I21" i="13"/>
  <c r="I22" i="13"/>
  <c r="BJ22" i="13" s="1"/>
  <c r="I23" i="13"/>
  <c r="I24" i="13"/>
  <c r="I25" i="13"/>
  <c r="BJ25" i="13" s="1"/>
  <c r="I26" i="13"/>
  <c r="BJ26" i="13" s="1"/>
  <c r="I27" i="13"/>
  <c r="BJ27" i="13" s="1"/>
  <c r="I28" i="13"/>
  <c r="I29" i="13"/>
  <c r="I30" i="13"/>
  <c r="I31" i="13"/>
  <c r="I32" i="13"/>
  <c r="I33" i="13"/>
  <c r="I34" i="13"/>
  <c r="I35" i="13"/>
  <c r="I36" i="13"/>
  <c r="BJ36" i="13" s="1"/>
  <c r="I37" i="13"/>
  <c r="BJ37" i="13" s="1"/>
  <c r="I38" i="13"/>
  <c r="BJ38" i="13" s="1"/>
  <c r="I39" i="13"/>
  <c r="BJ39" i="13" s="1"/>
  <c r="I40" i="13"/>
  <c r="BJ40" i="13" s="1"/>
  <c r="I41" i="13"/>
  <c r="BJ41" i="13" s="1"/>
  <c r="I42" i="13"/>
  <c r="BJ42" i="13" s="1"/>
  <c r="I43" i="13"/>
  <c r="BJ43" i="13" s="1"/>
  <c r="I44" i="13"/>
  <c r="BJ44" i="13" s="1"/>
  <c r="I45" i="13"/>
  <c r="I46" i="13"/>
  <c r="I3" i="13"/>
  <c r="BJ3" i="13" s="1"/>
  <c r="BJ45" i="13" l="1"/>
  <c r="BJ5" i="13"/>
  <c r="BJ9" i="13"/>
  <c r="BJ8" i="13"/>
  <c r="BJ7" i="13"/>
  <c r="BJ43" i="18"/>
  <c r="BJ44" i="18"/>
  <c r="BJ20" i="18"/>
  <c r="BJ21" i="18"/>
  <c r="BJ35" i="13"/>
  <c r="BJ34" i="13"/>
  <c r="BJ46" i="13"/>
  <c r="BJ33" i="13"/>
  <c r="BJ32" i="13"/>
  <c r="BJ31" i="13"/>
  <c r="BJ30" i="13"/>
  <c r="BJ29" i="13"/>
  <c r="BJ28" i="13"/>
  <c r="BJ24" i="13"/>
  <c r="BJ23" i="13"/>
  <c r="BJ21" i="13"/>
  <c r="BJ20" i="13"/>
  <c r="BJ19" i="13"/>
  <c r="BJ13" i="13"/>
  <c r="BJ12" i="13"/>
  <c r="BJ11" i="13"/>
  <c r="BJ10" i="13"/>
  <c r="BJ6" i="13"/>
  <c r="BJ36" i="18"/>
  <c r="BJ33" i="18"/>
  <c r="BJ25" i="18"/>
  <c r="BJ23" i="18"/>
  <c r="BJ41" i="18"/>
  <c r="BJ26" i="18"/>
  <c r="BJ24" i="18"/>
  <c r="BJ34" i="18"/>
  <c r="BJ30" i="18"/>
  <c r="BJ39" i="18"/>
  <c r="BJ28" i="18"/>
  <c r="BJ37" i="18"/>
  <c r="BJ35" i="18"/>
  <c r="BJ32" i="18"/>
  <c r="BJ42" i="18"/>
  <c r="BJ31" i="18"/>
  <c r="BJ40" i="18"/>
  <c r="BJ29" i="18"/>
  <c r="BJ38" i="18"/>
  <c r="BJ27" i="18"/>
  <c r="BJ6" i="18"/>
  <c r="BJ11" i="18"/>
  <c r="BJ8" i="18"/>
  <c r="BJ12" i="18"/>
  <c r="BJ10" i="18"/>
  <c r="BJ19" i="18"/>
  <c r="BJ17" i="18"/>
  <c r="BJ15" i="18"/>
  <c r="BJ4" i="18"/>
  <c r="BJ13" i="18"/>
  <c r="BJ9" i="18"/>
  <c r="BJ18" i="18"/>
  <c r="BJ7" i="18"/>
  <c r="BJ16" i="18"/>
  <c r="BJ5" i="18"/>
  <c r="BJ14" i="18"/>
  <c r="BJ3" i="18"/>
  <c r="AJ19" i="14"/>
  <c r="AJ18" i="14"/>
  <c r="AJ17" i="14"/>
  <c r="AJ16" i="14"/>
  <c r="AJ15" i="14"/>
  <c r="AJ14" i="14"/>
  <c r="AJ13" i="14"/>
  <c r="AJ12" i="14"/>
  <c r="AJ11" i="14"/>
  <c r="AJ10" i="14"/>
  <c r="AJ9" i="14"/>
  <c r="AJ8" i="14"/>
  <c r="AJ7" i="14"/>
  <c r="AJ6" i="14"/>
  <c r="AJ5" i="14"/>
  <c r="AJ4" i="14"/>
  <c r="AJ3" i="14"/>
  <c r="AI19" i="14"/>
  <c r="AI18" i="14"/>
  <c r="AI17" i="14"/>
  <c r="AI16" i="14"/>
  <c r="AI15" i="14"/>
  <c r="AI14" i="14"/>
  <c r="AI13" i="14"/>
  <c r="AI12" i="14"/>
  <c r="AI11" i="14"/>
  <c r="AI10" i="14"/>
  <c r="AI9" i="14"/>
  <c r="AI8" i="14"/>
  <c r="AI7" i="14"/>
  <c r="AI6" i="14"/>
  <c r="AI5" i="14"/>
  <c r="AI4" i="14"/>
  <c r="AI3" i="14"/>
  <c r="AF19" i="14" l="1"/>
  <c r="AC19" i="14"/>
  <c r="Z19" i="14"/>
  <c r="W19" i="14"/>
  <c r="T19" i="14"/>
  <c r="Q19" i="14"/>
  <c r="N19" i="14"/>
  <c r="K19" i="14"/>
  <c r="H19" i="14"/>
  <c r="AF18" i="14"/>
  <c r="AC18" i="14"/>
  <c r="Z18" i="14"/>
  <c r="W18" i="14"/>
  <c r="T18" i="14"/>
  <c r="Q18" i="14"/>
  <c r="N18" i="14"/>
  <c r="K18" i="14"/>
  <c r="H18" i="14"/>
  <c r="AF17" i="14"/>
  <c r="AC17" i="14"/>
  <c r="Z17" i="14"/>
  <c r="W17" i="14"/>
  <c r="T17" i="14"/>
  <c r="Q17" i="14"/>
  <c r="N17" i="14"/>
  <c r="K17" i="14"/>
  <c r="H17" i="14"/>
  <c r="AF16" i="14"/>
  <c r="AC16" i="14"/>
  <c r="Z16" i="14"/>
  <c r="W16" i="14"/>
  <c r="T16" i="14"/>
  <c r="Q16" i="14"/>
  <c r="N16" i="14"/>
  <c r="K16" i="14"/>
  <c r="H16" i="14"/>
  <c r="AF15" i="14"/>
  <c r="AC15" i="14"/>
  <c r="Z15" i="14"/>
  <c r="W15" i="14"/>
  <c r="T15" i="14"/>
  <c r="Q15" i="14"/>
  <c r="N15" i="14"/>
  <c r="K15" i="14"/>
  <c r="H15" i="14"/>
  <c r="AF14" i="14"/>
  <c r="AC14" i="14"/>
  <c r="Z14" i="14"/>
  <c r="W14" i="14"/>
  <c r="T14" i="14"/>
  <c r="Q14" i="14"/>
  <c r="N14" i="14"/>
  <c r="K14" i="14"/>
  <c r="H14" i="14"/>
  <c r="AF13" i="14"/>
  <c r="AC13" i="14"/>
  <c r="Z13" i="14"/>
  <c r="W13" i="14"/>
  <c r="T13" i="14"/>
  <c r="Q13" i="14"/>
  <c r="N13" i="14"/>
  <c r="K13" i="14"/>
  <c r="H13" i="14"/>
  <c r="AF12" i="14"/>
  <c r="AC12" i="14"/>
  <c r="Z12" i="14"/>
  <c r="W12" i="14"/>
  <c r="T12" i="14"/>
  <c r="Q12" i="14"/>
  <c r="N12" i="14"/>
  <c r="K12" i="14"/>
  <c r="H12" i="14"/>
  <c r="AF11" i="14"/>
  <c r="AC11" i="14"/>
  <c r="Z11" i="14"/>
  <c r="W11" i="14"/>
  <c r="T11" i="14"/>
  <c r="Q11" i="14"/>
  <c r="N11" i="14"/>
  <c r="K11" i="14"/>
  <c r="H11" i="14"/>
  <c r="AF10" i="14"/>
  <c r="AC10" i="14"/>
  <c r="Z10" i="14"/>
  <c r="W10" i="14"/>
  <c r="T10" i="14"/>
  <c r="Q10" i="14"/>
  <c r="N10" i="14"/>
  <c r="K10" i="14"/>
  <c r="H10" i="14"/>
  <c r="AF9" i="14"/>
  <c r="W9" i="14"/>
  <c r="T9" i="14"/>
  <c r="Q9" i="14"/>
  <c r="N9" i="14"/>
  <c r="K9" i="14"/>
  <c r="AF8" i="14"/>
  <c r="AC8" i="14"/>
  <c r="Z8" i="14"/>
  <c r="W8" i="14"/>
  <c r="T8" i="14"/>
  <c r="Q8" i="14"/>
  <c r="N8" i="14"/>
  <c r="K8" i="14"/>
  <c r="H8" i="14"/>
  <c r="AF7" i="14"/>
  <c r="AC7" i="14"/>
  <c r="Z7" i="14"/>
  <c r="W7" i="14"/>
  <c r="T7" i="14"/>
  <c r="Q7" i="14"/>
  <c r="N7" i="14"/>
  <c r="K7" i="14"/>
  <c r="H7" i="14"/>
  <c r="AF6" i="14"/>
  <c r="AC6" i="14"/>
  <c r="Z6" i="14"/>
  <c r="W6" i="14"/>
  <c r="T6" i="14"/>
  <c r="Q6" i="14"/>
  <c r="N6" i="14"/>
  <c r="K6" i="14"/>
  <c r="H6" i="14"/>
  <c r="AF5" i="14"/>
  <c r="AC5" i="14"/>
  <c r="Z5" i="14"/>
  <c r="W5" i="14"/>
  <c r="T5" i="14"/>
  <c r="Q5" i="14"/>
  <c r="N5" i="14"/>
  <c r="K5" i="14"/>
  <c r="H5" i="14"/>
  <c r="AF4" i="14"/>
  <c r="AC4" i="14"/>
  <c r="Z4" i="14"/>
  <c r="W4" i="14"/>
  <c r="T4" i="14"/>
  <c r="Q4" i="14"/>
  <c r="N4" i="14"/>
  <c r="K4" i="14"/>
  <c r="H4" i="14"/>
  <c r="AF3" i="14"/>
  <c r="AC3" i="14"/>
  <c r="Z3" i="14"/>
  <c r="W3" i="14"/>
  <c r="T3" i="14"/>
  <c r="Q3" i="14"/>
  <c r="N3" i="14"/>
  <c r="K3" i="14"/>
  <c r="H3" i="14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3" i="15"/>
  <c r="AF18" i="16"/>
  <c r="AC18" i="16"/>
  <c r="Z18" i="16"/>
  <c r="W18" i="16"/>
  <c r="T18" i="16"/>
  <c r="Q18" i="16"/>
  <c r="N18" i="16"/>
  <c r="K18" i="16"/>
  <c r="H18" i="16"/>
  <c r="AI17" i="16"/>
  <c r="AF17" i="16"/>
  <c r="AC17" i="16"/>
  <c r="Z17" i="16"/>
  <c r="W17" i="16"/>
  <c r="T17" i="16"/>
  <c r="Q17" i="16"/>
  <c r="N17" i="16"/>
  <c r="K17" i="16"/>
  <c r="H17" i="16"/>
  <c r="AI16" i="16"/>
  <c r="AF16" i="16"/>
  <c r="AC16" i="16"/>
  <c r="Z16" i="16"/>
  <c r="W16" i="16"/>
  <c r="T16" i="16"/>
  <c r="Q16" i="16"/>
  <c r="N16" i="16"/>
  <c r="K16" i="16"/>
  <c r="H16" i="16"/>
  <c r="AJ16" i="16" s="1"/>
  <c r="AI15" i="16"/>
  <c r="AF15" i="16"/>
  <c r="AC15" i="16"/>
  <c r="Z15" i="16"/>
  <c r="W15" i="16"/>
  <c r="T15" i="16"/>
  <c r="Q15" i="16"/>
  <c r="N15" i="16"/>
  <c r="K15" i="16"/>
  <c r="H15" i="16"/>
  <c r="AI14" i="16"/>
  <c r="AF14" i="16"/>
  <c r="AC14" i="16"/>
  <c r="Z14" i="16"/>
  <c r="W14" i="16"/>
  <c r="T14" i="16"/>
  <c r="Q14" i="16"/>
  <c r="N14" i="16"/>
  <c r="K14" i="16"/>
  <c r="H14" i="16"/>
  <c r="AI13" i="16"/>
  <c r="AF13" i="16"/>
  <c r="AC13" i="16"/>
  <c r="Z13" i="16"/>
  <c r="W13" i="16"/>
  <c r="T13" i="16"/>
  <c r="Q13" i="16"/>
  <c r="N13" i="16"/>
  <c r="K13" i="16"/>
  <c r="H13" i="16"/>
  <c r="AI12" i="16"/>
  <c r="AF12" i="16"/>
  <c r="AC12" i="16"/>
  <c r="Z12" i="16"/>
  <c r="W12" i="16"/>
  <c r="T12" i="16"/>
  <c r="Q12" i="16"/>
  <c r="N12" i="16"/>
  <c r="K12" i="16"/>
  <c r="H12" i="16"/>
  <c r="AI11" i="16"/>
  <c r="AF11" i="16"/>
  <c r="AC11" i="16"/>
  <c r="Z11" i="16"/>
  <c r="W11" i="16"/>
  <c r="T11" i="16"/>
  <c r="Q11" i="16"/>
  <c r="N11" i="16"/>
  <c r="K11" i="16"/>
  <c r="H11" i="16"/>
  <c r="AI10" i="16"/>
  <c r="AF10" i="16"/>
  <c r="AC10" i="16"/>
  <c r="Z10" i="16"/>
  <c r="W10" i="16"/>
  <c r="T10" i="16"/>
  <c r="Q10" i="16"/>
  <c r="N10" i="16"/>
  <c r="K10" i="16"/>
  <c r="H10" i="16"/>
  <c r="AJ10" i="16" s="1"/>
  <c r="AI9" i="16"/>
  <c r="AF9" i="16"/>
  <c r="AC9" i="16"/>
  <c r="Z9" i="16"/>
  <c r="W9" i="16"/>
  <c r="T9" i="16"/>
  <c r="Q9" i="16"/>
  <c r="N9" i="16"/>
  <c r="K9" i="16"/>
  <c r="H9" i="16"/>
  <c r="AI8" i="16"/>
  <c r="AF8" i="16"/>
  <c r="AC8" i="16"/>
  <c r="Z8" i="16"/>
  <c r="W8" i="16"/>
  <c r="T8" i="16"/>
  <c r="Q8" i="16"/>
  <c r="N8" i="16"/>
  <c r="K8" i="16"/>
  <c r="H8" i="16"/>
  <c r="AI7" i="16"/>
  <c r="AF7" i="16"/>
  <c r="AC7" i="16"/>
  <c r="Z7" i="16"/>
  <c r="W7" i="16"/>
  <c r="T7" i="16"/>
  <c r="Q7" i="16"/>
  <c r="N7" i="16"/>
  <c r="K7" i="16"/>
  <c r="H7" i="16"/>
  <c r="AI6" i="16"/>
  <c r="AF6" i="16"/>
  <c r="AC6" i="16"/>
  <c r="Z6" i="16"/>
  <c r="W6" i="16"/>
  <c r="T6" i="16"/>
  <c r="Q6" i="16"/>
  <c r="N6" i="16"/>
  <c r="K6" i="16"/>
  <c r="H6" i="16"/>
  <c r="AI5" i="16"/>
  <c r="AF5" i="16"/>
  <c r="AC5" i="16"/>
  <c r="Z5" i="16"/>
  <c r="W5" i="16"/>
  <c r="T5" i="16"/>
  <c r="Q5" i="16"/>
  <c r="N5" i="16"/>
  <c r="K5" i="16"/>
  <c r="H5" i="16"/>
  <c r="AI4" i="16"/>
  <c r="AF4" i="16"/>
  <c r="AC4" i="16"/>
  <c r="Z4" i="16"/>
  <c r="W4" i="16"/>
  <c r="T4" i="16"/>
  <c r="Q4" i="16"/>
  <c r="N4" i="16"/>
  <c r="K4" i="16"/>
  <c r="H4" i="16"/>
  <c r="AJ4" i="16" s="1"/>
  <c r="AI3" i="16"/>
  <c r="AF3" i="16"/>
  <c r="AC3" i="16"/>
  <c r="Z3" i="16"/>
  <c r="W3" i="16"/>
  <c r="T3" i="16"/>
  <c r="Q3" i="16"/>
  <c r="N3" i="16"/>
  <c r="K3" i="16"/>
  <c r="H3" i="16"/>
  <c r="AI19" i="15"/>
  <c r="AF19" i="15"/>
  <c r="AC19" i="15"/>
  <c r="Z19" i="15"/>
  <c r="W19" i="15"/>
  <c r="T19" i="15"/>
  <c r="Q19" i="15"/>
  <c r="N19" i="15"/>
  <c r="K19" i="15"/>
  <c r="H19" i="15"/>
  <c r="AI18" i="15"/>
  <c r="AF18" i="15"/>
  <c r="AC18" i="15"/>
  <c r="Z18" i="15"/>
  <c r="W18" i="15"/>
  <c r="T18" i="15"/>
  <c r="Q18" i="15"/>
  <c r="N18" i="15"/>
  <c r="K18" i="15"/>
  <c r="H18" i="15"/>
  <c r="AI17" i="15"/>
  <c r="AF17" i="15"/>
  <c r="AC17" i="15"/>
  <c r="Z17" i="15"/>
  <c r="W17" i="15"/>
  <c r="T17" i="15"/>
  <c r="Q17" i="15"/>
  <c r="N17" i="15"/>
  <c r="K17" i="15"/>
  <c r="H17" i="15"/>
  <c r="AI16" i="15"/>
  <c r="AF16" i="15"/>
  <c r="AC16" i="15"/>
  <c r="Z16" i="15"/>
  <c r="W16" i="15"/>
  <c r="T16" i="15"/>
  <c r="Q16" i="15"/>
  <c r="N16" i="15"/>
  <c r="K16" i="15"/>
  <c r="H16" i="15"/>
  <c r="AI15" i="15"/>
  <c r="AF15" i="15"/>
  <c r="AC15" i="15"/>
  <c r="Z15" i="15"/>
  <c r="W15" i="15"/>
  <c r="T15" i="15"/>
  <c r="Q15" i="15"/>
  <c r="N15" i="15"/>
  <c r="K15" i="15"/>
  <c r="H15" i="15"/>
  <c r="AI14" i="15"/>
  <c r="AF14" i="15"/>
  <c r="AC14" i="15"/>
  <c r="Z14" i="15"/>
  <c r="W14" i="15"/>
  <c r="T14" i="15"/>
  <c r="Q14" i="15"/>
  <c r="N14" i="15"/>
  <c r="K14" i="15"/>
  <c r="H14" i="15"/>
  <c r="AI13" i="15"/>
  <c r="AF13" i="15"/>
  <c r="AC13" i="15"/>
  <c r="Z13" i="15"/>
  <c r="W13" i="15"/>
  <c r="T13" i="15"/>
  <c r="Q13" i="15"/>
  <c r="N13" i="15"/>
  <c r="K13" i="15"/>
  <c r="H13" i="15"/>
  <c r="AI12" i="15"/>
  <c r="AF12" i="15"/>
  <c r="AC12" i="15"/>
  <c r="Z12" i="15"/>
  <c r="W12" i="15"/>
  <c r="T12" i="15"/>
  <c r="Q12" i="15"/>
  <c r="N12" i="15"/>
  <c r="K12" i="15"/>
  <c r="H12" i="15"/>
  <c r="AI11" i="15"/>
  <c r="AF11" i="15"/>
  <c r="AC11" i="15"/>
  <c r="Z11" i="15"/>
  <c r="W11" i="15"/>
  <c r="T11" i="15"/>
  <c r="Q11" i="15"/>
  <c r="N11" i="15"/>
  <c r="K11" i="15"/>
  <c r="H11" i="15"/>
  <c r="AI10" i="15"/>
  <c r="AF10" i="15"/>
  <c r="AC10" i="15"/>
  <c r="Z10" i="15"/>
  <c r="W10" i="15"/>
  <c r="T10" i="15"/>
  <c r="Q10" i="15"/>
  <c r="N10" i="15"/>
  <c r="K10" i="15"/>
  <c r="H10" i="15"/>
  <c r="AI9" i="15"/>
  <c r="AF9" i="15"/>
  <c r="AC9" i="15"/>
  <c r="Z9" i="15"/>
  <c r="W9" i="15"/>
  <c r="T9" i="15"/>
  <c r="Q9" i="15"/>
  <c r="N9" i="15"/>
  <c r="K9" i="15"/>
  <c r="H9" i="15"/>
  <c r="AI8" i="15"/>
  <c r="AF8" i="15"/>
  <c r="AC8" i="15"/>
  <c r="Z8" i="15"/>
  <c r="W8" i="15"/>
  <c r="T8" i="15"/>
  <c r="Q8" i="15"/>
  <c r="N8" i="15"/>
  <c r="K8" i="15"/>
  <c r="H8" i="15"/>
  <c r="AI7" i="15"/>
  <c r="AF7" i="15"/>
  <c r="AC7" i="15"/>
  <c r="Z7" i="15"/>
  <c r="W7" i="15"/>
  <c r="T7" i="15"/>
  <c r="Q7" i="15"/>
  <c r="N7" i="15"/>
  <c r="K7" i="15"/>
  <c r="H7" i="15"/>
  <c r="AI6" i="15"/>
  <c r="AF6" i="15"/>
  <c r="AC6" i="15"/>
  <c r="Z6" i="15"/>
  <c r="W6" i="15"/>
  <c r="T6" i="15"/>
  <c r="Q6" i="15"/>
  <c r="N6" i="15"/>
  <c r="K6" i="15"/>
  <c r="H6" i="15"/>
  <c r="AI5" i="15"/>
  <c r="AF5" i="15"/>
  <c r="AC5" i="15"/>
  <c r="Z5" i="15"/>
  <c r="W5" i="15"/>
  <c r="T5" i="15"/>
  <c r="Q5" i="15"/>
  <c r="N5" i="15"/>
  <c r="K5" i="15"/>
  <c r="AI4" i="15"/>
  <c r="AF4" i="15"/>
  <c r="AC4" i="15"/>
  <c r="Z4" i="15"/>
  <c r="W4" i="15"/>
  <c r="T4" i="15"/>
  <c r="Q4" i="15"/>
  <c r="N4" i="15"/>
  <c r="K4" i="15"/>
  <c r="H4" i="15"/>
  <c r="AI3" i="15"/>
  <c r="AF3" i="15"/>
  <c r="AC3" i="15"/>
  <c r="Z3" i="15"/>
  <c r="W3" i="15"/>
  <c r="T3" i="15"/>
  <c r="Q3" i="15"/>
  <c r="N3" i="15"/>
  <c r="K3" i="15"/>
  <c r="H3" i="15"/>
  <c r="AJ3" i="16" l="1"/>
  <c r="AJ9" i="16"/>
  <c r="AJ15" i="16"/>
  <c r="AJ8" i="16"/>
  <c r="AJ14" i="16"/>
  <c r="AJ7" i="16"/>
  <c r="AJ13" i="16"/>
  <c r="AJ6" i="16"/>
  <c r="AJ12" i="16"/>
  <c r="AJ18" i="16"/>
  <c r="AJ5" i="16"/>
  <c r="AJ11" i="16"/>
  <c r="AJ17" i="16"/>
</calcChain>
</file>

<file path=xl/sharedStrings.xml><?xml version="1.0" encoding="utf-8"?>
<sst xmlns="http://schemas.openxmlformats.org/spreadsheetml/2006/main" count="2631" uniqueCount="900">
  <si>
    <t>TAEKWONDO</t>
  </si>
  <si>
    <t>EMOCIONES</t>
  </si>
  <si>
    <t>CICLO ESCOLAR</t>
  </si>
  <si>
    <t>Matricula</t>
  </si>
  <si>
    <t xml:space="preserve">Nombre </t>
  </si>
  <si>
    <t>Ciclo</t>
  </si>
  <si>
    <t xml:space="preserve">Grado </t>
  </si>
  <si>
    <t>Grupo</t>
  </si>
  <si>
    <t>T1</t>
  </si>
  <si>
    <t>T2</t>
  </si>
  <si>
    <t>T3</t>
  </si>
  <si>
    <t>PF</t>
  </si>
  <si>
    <t>PROMEDIO FINAL</t>
  </si>
  <si>
    <t>MNURE55</t>
  </si>
  <si>
    <t>NUÑEZ ROSAS ERANDI AYANA</t>
  </si>
  <si>
    <t>2025-2026</t>
  </si>
  <si>
    <t>A</t>
  </si>
  <si>
    <t>MCOSE300</t>
  </si>
  <si>
    <t>CONTRERAS SANCHEZ ELIAN CALEB</t>
  </si>
  <si>
    <t>MZUME317</t>
  </si>
  <si>
    <t>ZURITA MOREL ELIAN MICHEL</t>
  </si>
  <si>
    <t>MHEHN314</t>
  </si>
  <si>
    <t>HERNANDEZ HERNANDEZ NATALIA</t>
  </si>
  <si>
    <t>MREDA295</t>
  </si>
  <si>
    <t>REYES DIAZ ANDRE</t>
  </si>
  <si>
    <t>MMAGL204</t>
  </si>
  <si>
    <t>MARIN GUZMAN LUCCA DAMIAN</t>
  </si>
  <si>
    <t>MVEXD308</t>
  </si>
  <si>
    <t>VELAZQUEZ XICOTENCATL DARYANNA</t>
  </si>
  <si>
    <t>MBAEL313</t>
  </si>
  <si>
    <t>BARRON ENRIQUEZ LUA</t>
  </si>
  <si>
    <t>MEOVP316</t>
  </si>
  <si>
    <t>ESCOBAR VAZQUEZ PAULINA ANNELISE</t>
  </si>
  <si>
    <t>MCEEA054</t>
  </si>
  <si>
    <t>CELSO ESPITIA ADAN EMILIO</t>
  </si>
  <si>
    <t>MIAHA052</t>
  </si>
  <si>
    <t>IBARRA HOCHSTRASSER AMAIA VICTORIA</t>
  </si>
  <si>
    <t>KROGR290</t>
  </si>
  <si>
    <t>ROMERO GARCIA REGINA TAIYARI</t>
  </si>
  <si>
    <t>KHEVR305</t>
  </si>
  <si>
    <t>HERNANDEZ VARGAS REGINA</t>
  </si>
  <si>
    <t>B</t>
  </si>
  <si>
    <t>KEECA293</t>
  </si>
  <si>
    <t>ESTRELLA CUEVAS ANNA VICTORIA</t>
  </si>
  <si>
    <t>PSARA569</t>
  </si>
  <si>
    <t>SANCHEZ REYES ANGELA</t>
  </si>
  <si>
    <t>KCORL309</t>
  </si>
  <si>
    <t>CORREA RUEDA LIAM ALEXANDER</t>
  </si>
  <si>
    <t>KRASJ306</t>
  </si>
  <si>
    <t>RAMIREZ SORIANO JULIETA</t>
  </si>
  <si>
    <t>KMORS315</t>
  </si>
  <si>
    <t>MORALES ROJAS SOFIA</t>
  </si>
  <si>
    <t>KFEAE298</t>
  </si>
  <si>
    <t>FEREGRINO AVILA EILEEN</t>
  </si>
  <si>
    <t>KFUAL311</t>
  </si>
  <si>
    <t>FRUTOS ALCALA LEONARDO PATRICIO</t>
  </si>
  <si>
    <t>KSIAD291</t>
  </si>
  <si>
    <t>SILVA ALCANTARA DANTE</t>
  </si>
  <si>
    <t>KLOBV299</t>
  </si>
  <si>
    <t>LOPEZ BARBOSA VALERY ZOE</t>
  </si>
  <si>
    <t>MRIVA259</t>
  </si>
  <si>
    <t>RIVERA VELAZQUEZ ANYA ROMINA</t>
  </si>
  <si>
    <t>KAARH292</t>
  </si>
  <si>
    <t>ALVAREZ ROBLES HELENA ABIGAIL</t>
  </si>
  <si>
    <t>KSAZD319</t>
  </si>
  <si>
    <t>SAMPERIO ZACARIAS DANTE ZADQUIEL</t>
  </si>
  <si>
    <t>MIAHA243</t>
  </si>
  <si>
    <t>IBARRA HOCHSTRASSER ARANZA VALENTINA</t>
  </si>
  <si>
    <t>MCAMK18</t>
  </si>
  <si>
    <t>CARDONA MELCHOR KATHERINE SOFIA</t>
  </si>
  <si>
    <t>MDICC47</t>
  </si>
  <si>
    <t>DIAZ CASTILLO CARLOS ROGELIO</t>
  </si>
  <si>
    <t>KRAHM284</t>
  </si>
  <si>
    <t>RAMIREZ HERNANDEZ MATIAS ANDRE</t>
  </si>
  <si>
    <t>MROCC267</t>
  </si>
  <si>
    <t>RODRIGUEZ CASTAÑEDA CHRISTOPHER</t>
  </si>
  <si>
    <t>KCEVJ272</t>
  </si>
  <si>
    <t>CECEÑAS VILLAFUERTE JONATAN AARON</t>
  </si>
  <si>
    <t>MTOMH269</t>
  </si>
  <si>
    <t>TORRES MORA HELENA</t>
  </si>
  <si>
    <t>KSAPD276</t>
  </si>
  <si>
    <t>SANTIAGO PEÑA DONOVAN</t>
  </si>
  <si>
    <t>KMEPT281</t>
  </si>
  <si>
    <t>MEDINA PEDRAZA THOMAS SANTIAGO</t>
  </si>
  <si>
    <t>KPEBR297</t>
  </si>
  <si>
    <t>PEREZ BERNARDINO RENATA</t>
  </si>
  <si>
    <t>KUIJM301</t>
  </si>
  <si>
    <t>URTIS JIMENEZ MELANY XIMENA</t>
  </si>
  <si>
    <t>KMARA303</t>
  </si>
  <si>
    <t>MARTINEZ REYES ALICE SOFIA</t>
  </si>
  <si>
    <t>KZAZX307</t>
  </si>
  <si>
    <t>ZAMUDIO ZARCO XIMENA MAGALY</t>
  </si>
  <si>
    <t>KSARM310</t>
  </si>
  <si>
    <t>SANCHEZ RODRIGUEZ MARIA JOSE</t>
  </si>
  <si>
    <t>KBORN318</t>
  </si>
  <si>
    <t>BOLAÑOS ROSALES NATHALY ZOE</t>
  </si>
  <si>
    <t>KCOVE286</t>
  </si>
  <si>
    <t>CORDERO VELAZQUEZ EMMA AINA</t>
  </si>
  <si>
    <t>KGUMM288</t>
  </si>
  <si>
    <t>GUEVARA MARTINEZ MORGAN JULIETA</t>
  </si>
  <si>
    <t>KRAVA302</t>
  </si>
  <si>
    <t>RAMIREZ VALDEZ ASHLYE KYARA</t>
  </si>
  <si>
    <t>KMACG249</t>
  </si>
  <si>
    <t>MATEOS CUEVAS GRETTEL ALESSA</t>
  </si>
  <si>
    <t>KTOGK252</t>
  </si>
  <si>
    <t>TORRES GUEVARA KARLA DANIELA</t>
  </si>
  <si>
    <t>KHERA253</t>
  </si>
  <si>
    <t>HERNANDEZ ROLDAN ALEJANDRO LEONEL</t>
  </si>
  <si>
    <t>KMOUJ266</t>
  </si>
  <si>
    <t>MORALES URTIS JORGE AARON</t>
  </si>
  <si>
    <t>KSARD17</t>
  </si>
  <si>
    <t>SANDOVAL RAMIREZ DANIELA</t>
  </si>
  <si>
    <t>KAERZ267</t>
  </si>
  <si>
    <t>ARREOLA RODRIGUEZ ZOE AITANA</t>
  </si>
  <si>
    <t>KGUOE283</t>
  </si>
  <si>
    <t>GUDIÑO OLGUIN ELIETTE</t>
  </si>
  <si>
    <t>KQUSL271</t>
  </si>
  <si>
    <t>QUINTANA SANTIAGO LEXA NATALIA</t>
  </si>
  <si>
    <t>KRATM273</t>
  </si>
  <si>
    <t>RAMIREZ TORRES MIA GABRIELA</t>
  </si>
  <si>
    <t>KCACA274</t>
  </si>
  <si>
    <t>CARMONA CARBAJAL ALY AZAYA</t>
  </si>
  <si>
    <t>KFOER275</t>
  </si>
  <si>
    <t>FLORES ESQUIVEL ROMINA</t>
  </si>
  <si>
    <t>KRIAY277</t>
  </si>
  <si>
    <t>RIVAS ALEJANDRE YAELI NEYLAN</t>
  </si>
  <si>
    <t>KLIJL278</t>
  </si>
  <si>
    <t>LIRA JUAREZ LIAM LOGAN</t>
  </si>
  <si>
    <t>KGUPA279</t>
  </si>
  <si>
    <t>GUZMAN PEREZ JOSE ABDIEL</t>
  </si>
  <si>
    <t>KVEPS282</t>
  </si>
  <si>
    <t>VELAZQUEZ PRESA SANTIAGO</t>
  </si>
  <si>
    <t>KREDR296</t>
  </si>
  <si>
    <t>REYES DIAZ RENATA</t>
  </si>
  <si>
    <t>KCADF312</t>
  </si>
  <si>
    <t>CASTRO DURAN FERNANDA</t>
  </si>
  <si>
    <t>JUEGOS Y DESTREZAS</t>
  </si>
  <si>
    <t>EDUCACIÓN FINANCIERA</t>
  </si>
  <si>
    <t>SISTÉMICA</t>
  </si>
  <si>
    <t>LECTURA</t>
  </si>
  <si>
    <t>SPELLING BEE</t>
  </si>
  <si>
    <t>PDOMD561</t>
  </si>
  <si>
    <t>DOMINGUEZ MARTINEZ DANIELA REGINA</t>
  </si>
  <si>
    <t>CRUZ CRUZ GEOVANA</t>
  </si>
  <si>
    <t>C</t>
  </si>
  <si>
    <t>PCARR574</t>
  </si>
  <si>
    <t>CAICEROS RIOS ROBIN SAUL</t>
  </si>
  <si>
    <t>PGAPI562</t>
  </si>
  <si>
    <t>GARCIA PEREZ IAN MATEO</t>
  </si>
  <si>
    <t>KPABN261</t>
  </si>
  <si>
    <t>PADILLA BENITEZ NATALIA MIRANDA</t>
  </si>
  <si>
    <t>KCODB263</t>
  </si>
  <si>
    <t>CORREA DOMINGUEZ BARBARA ALANA</t>
  </si>
  <si>
    <t>KHECD262</t>
  </si>
  <si>
    <t>HERNANDEZ CORREA DIEGO JAVIER</t>
  </si>
  <si>
    <t>PHEVA576</t>
  </si>
  <si>
    <t>HERNANDEZ VARGAS ANDREA MICHELL</t>
  </si>
  <si>
    <t>KMOPR256</t>
  </si>
  <si>
    <t>MOYA PERALTA ROMINA ISABELLA</t>
  </si>
  <si>
    <t>KSAHA257</t>
  </si>
  <si>
    <t>SANTANA HERNANDEZ ALEXA</t>
  </si>
  <si>
    <t>KCAGC208</t>
  </si>
  <si>
    <t>CAMPOS GUTIERREZ CAMILA</t>
  </si>
  <si>
    <t>KMACE214</t>
  </si>
  <si>
    <t>MARTINEZ CASILLAS ELISA JOSEFINA</t>
  </si>
  <si>
    <t>KGACE219</t>
  </si>
  <si>
    <t>GALLEGOS CASTRO ELA YETZALI</t>
  </si>
  <si>
    <t>PAUSA559</t>
  </si>
  <si>
    <t>ANZUREZ SOTO ANGEL GABRIEL</t>
  </si>
  <si>
    <t>MSAJH15</t>
  </si>
  <si>
    <t>SAUCEDO JIMENEZ HECTOR ALEXEI</t>
  </si>
  <si>
    <t>PRODS564</t>
  </si>
  <si>
    <t>ROSAS DUARTE STEPHANIE VANESSA</t>
  </si>
  <si>
    <t>PRIRE584</t>
  </si>
  <si>
    <t>RIOS ROSALES EUGENIO SEBASTIAN</t>
  </si>
  <si>
    <t>KROCK237</t>
  </si>
  <si>
    <t>ROMERO CORONA KENYA SOPHIA</t>
  </si>
  <si>
    <t>KDOGL243</t>
  </si>
  <si>
    <t>DON JUAN GOMEZ LUIS ENRIQUE</t>
  </si>
  <si>
    <t>KRECAL245</t>
  </si>
  <si>
    <t>REYES CANO LIA RENATA</t>
  </si>
  <si>
    <t>KAIPS245</t>
  </si>
  <si>
    <t>AMIGON PEREZ SELENE JAZMIN</t>
  </si>
  <si>
    <t>KFOMN247</t>
  </si>
  <si>
    <t>FLORES MARTINEZ NATALIA</t>
  </si>
  <si>
    <t>KZUMJ248</t>
  </si>
  <si>
    <t>ZUÑIGA MUÑOZ JIMENA</t>
  </si>
  <si>
    <t>KGAAM250</t>
  </si>
  <si>
    <t>GALLARDO ARGUELLO MIA DANIELA</t>
  </si>
  <si>
    <t>KNIML251</t>
  </si>
  <si>
    <t>NIETO MARTINEZ LANDER ABRAHAM</t>
  </si>
  <si>
    <t>KMEMM254</t>
  </si>
  <si>
    <t>MENDOZA MARTINEZ MAURICIO GUILLERMO</t>
  </si>
  <si>
    <t>KRAMM255</t>
  </si>
  <si>
    <t>RAMIREZ MIRANDA MARIAN</t>
  </si>
  <si>
    <t>KMACE264</t>
  </si>
  <si>
    <t>MARTINEZ CRUZ ELIAS</t>
  </si>
  <si>
    <t>KOOFC265</t>
  </si>
  <si>
    <t>OSORNIO FERNANDEZ CARLOS</t>
  </si>
  <si>
    <t>KGAGL268</t>
  </si>
  <si>
    <t>GARCIA GONZALEZ LIA ANDREA</t>
  </si>
  <si>
    <t>PROGR558</t>
  </si>
  <si>
    <t>ROMERO GARCIA ROGELIO ALEJANDRO</t>
  </si>
  <si>
    <t>PCEOL563</t>
  </si>
  <si>
    <t>CEDILLO OLMEDO LAURA ARIADNA</t>
  </si>
  <si>
    <t>PVEMJ568</t>
  </si>
  <si>
    <t>VERA MONROY JULIA ELISA</t>
  </si>
  <si>
    <t>PTEPM585</t>
  </si>
  <si>
    <t>TEMOXTLE PERALTA JOSE MIGUEL</t>
  </si>
  <si>
    <t>PPERE573</t>
  </si>
  <si>
    <t>PEREZ RIOS EITHAN SAID</t>
  </si>
  <si>
    <t>PAISM579</t>
  </si>
  <si>
    <t>AGUILAR SANCHEZ MICHELLE ARISBETH</t>
  </si>
  <si>
    <t>PGIAM580</t>
  </si>
  <si>
    <t>GRIMALDO AQUINO MATIAS ABDIEL</t>
  </si>
  <si>
    <t>PGAVA587</t>
  </si>
  <si>
    <t>GARCES VALENCIA AIMEE</t>
  </si>
  <si>
    <t>PRARG597</t>
  </si>
  <si>
    <t>RAMOS ROJAS GAEL SEBASTIAN</t>
  </si>
  <si>
    <t>PGOCP588</t>
  </si>
  <si>
    <t>GONZALEZ PICO CANO PATRICIO</t>
  </si>
  <si>
    <t>KZEGD210</t>
  </si>
  <si>
    <t>ZEPEDA GONZALEZ DANIEL</t>
  </si>
  <si>
    <t>KEAMI217</t>
  </si>
  <si>
    <t>ESCALONA MENDOZA IAN JASSIEL</t>
  </si>
  <si>
    <t>KROGLI216</t>
  </si>
  <si>
    <t>ROQUE GARCIA LIAM DANIEL</t>
  </si>
  <si>
    <t>KGARD212</t>
  </si>
  <si>
    <t>GARCIA REYES DIEGO SEBASTIAN</t>
  </si>
  <si>
    <t>KHEOR229</t>
  </si>
  <si>
    <t>HERNANDEZ OLMOS RENATA DANNAE</t>
  </si>
  <si>
    <t>KANRD260</t>
  </si>
  <si>
    <t>ANDRADE RODRIGUEZ DAVID MATIAS</t>
  </si>
  <si>
    <t>CRUZ URIBE MILA ZOEH</t>
  </si>
  <si>
    <t>KSIED224</t>
  </si>
  <si>
    <t>SILVA ESTRELLA DIEGO ALEXANDRE</t>
  </si>
  <si>
    <t>KRAMD231</t>
  </si>
  <si>
    <t>RAMIREZ MENDEZ DANIELA ABIGAIL</t>
  </si>
  <si>
    <t>KSERA212</t>
  </si>
  <si>
    <t>SEGURA ROMAN ANDREA FERNANDA</t>
  </si>
  <si>
    <t>KMEVZ215</t>
  </si>
  <si>
    <t>MENA VALDERRABANO ZOE GUADALUPE</t>
  </si>
  <si>
    <t>KHEOA228</t>
  </si>
  <si>
    <t>HERNANDEZ OLMOS ARIADNE ZOE</t>
  </si>
  <si>
    <t>KQURR218</t>
  </si>
  <si>
    <t>QUIROZ RAMIREZ REGINA</t>
  </si>
  <si>
    <t>KLEAL225</t>
  </si>
  <si>
    <t>LEMUS ALTAMIRANO LEAH</t>
  </si>
  <si>
    <t>KMAAJ205</t>
  </si>
  <si>
    <t>MAGDALENO ADOLFO JULIA SOPHIA</t>
  </si>
  <si>
    <t>MROOL16</t>
  </si>
  <si>
    <t>RODRIGUEZ ORTIZ LUISA ALEJANDRA</t>
  </si>
  <si>
    <t>KSARS238</t>
  </si>
  <si>
    <t>SANCHEZ RODRIGUEZ SANTIAGO SAMUEL</t>
  </si>
  <si>
    <t>KAUNM244</t>
  </si>
  <si>
    <t>AGUILAR NIETO MILA SOFIA</t>
  </si>
  <si>
    <t>KJUBF246</t>
  </si>
  <si>
    <t>JUAREZ BARRIOS FERNANDA</t>
  </si>
  <si>
    <t>PGACA540</t>
  </si>
  <si>
    <t>GARCIA CRUZ ALEYDA</t>
  </si>
  <si>
    <t>PTEBH541</t>
  </si>
  <si>
    <t>TENORIO BEDOLLA HUGO</t>
  </si>
  <si>
    <t>PMECL542</t>
  </si>
  <si>
    <t>MELENDEZ CARDENAS LEONARDO SANTIAGO</t>
  </si>
  <si>
    <t>PDOAM543</t>
  </si>
  <si>
    <t>DOMINGUEZ DEL ANGEL MARITZA</t>
  </si>
  <si>
    <t>PGOAL544</t>
  </si>
  <si>
    <t>GONZALEZ AMAYO LEONARDO</t>
  </si>
  <si>
    <t>PCUAI545</t>
  </si>
  <si>
    <t>DE LA CRUZ AMBRIZ IKER MANUEL</t>
  </si>
  <si>
    <t>PRARE552</t>
  </si>
  <si>
    <t>RAMOS ROJAS ELIAN SANTIAGO</t>
  </si>
  <si>
    <t>PBAPI592</t>
  </si>
  <si>
    <t>BASURTO PIÑA IKER ISAAC</t>
  </si>
  <si>
    <t>PCOPA593</t>
  </si>
  <si>
    <t>CLORIO PEREZ ALMA REGINA</t>
  </si>
  <si>
    <t>PRISR517</t>
  </si>
  <si>
    <t>RIOS DE LOS SANTOS RENATA</t>
  </si>
  <si>
    <t>PRIVA525</t>
  </si>
  <si>
    <t>RIVERA VELAZQUEZ ANGEL DANIEL</t>
  </si>
  <si>
    <t>PCUCJ516</t>
  </si>
  <si>
    <t>CRUZ CUAUTLE JULIETA YAMANIK</t>
  </si>
  <si>
    <t>KGAEA234</t>
  </si>
  <si>
    <t>GALVAN ESPINOSA ANDREA LUNA</t>
  </si>
  <si>
    <t>PGOCE526</t>
  </si>
  <si>
    <t>GOMEZ CORREA EITHAN DAIR</t>
  </si>
  <si>
    <t>PMARD523</t>
  </si>
  <si>
    <t>MARTINEZ RAMIREZ DOMINIC SANTIAGO</t>
  </si>
  <si>
    <t>PRAMA533</t>
  </si>
  <si>
    <t>RAMIREZ MARTINEZ ANDRE NICOLAS</t>
  </si>
  <si>
    <t>KHEEE220</t>
  </si>
  <si>
    <t>HERNANDEZ ENRIQUEZ EIDER DAMIAN</t>
  </si>
  <si>
    <t>PAUQJ529</t>
  </si>
  <si>
    <t>AGUILAR QUIROZ JIMENA</t>
  </si>
  <si>
    <t>KHESM206</t>
  </si>
  <si>
    <t>HERNANDEZ SOTO MELANY AILEEN</t>
  </si>
  <si>
    <t>PHERM518</t>
  </si>
  <si>
    <t>HERNANDEZ RAMOS MELISSA ITZAE</t>
  </si>
  <si>
    <t>KOIMA211</t>
  </si>
  <si>
    <t>OLIVARES MEJIA ABRIL SIMONE</t>
  </si>
  <si>
    <t>KDOPM227</t>
  </si>
  <si>
    <t>DOMINGUEZ PEREZ MERARI PAULINA</t>
  </si>
  <si>
    <t>KESPA211</t>
  </si>
  <si>
    <t>ESCAMILLA PEREZ ASHLEY DANNAE</t>
  </si>
  <si>
    <t>KPETS205</t>
  </si>
  <si>
    <t>PEREZ TORRES SOFIA XIMENA</t>
  </si>
  <si>
    <t>KLEUA207</t>
  </si>
  <si>
    <t>LEMUS URBINA ALEJANDRO</t>
  </si>
  <si>
    <t>KCAGS209</t>
  </si>
  <si>
    <t>CAMPOS GUTIERREZ SANTIAGO</t>
  </si>
  <si>
    <t>KCUAR166</t>
  </si>
  <si>
    <t>CRUZ ARECHIGA RUTH</t>
  </si>
  <si>
    <t>KDORA168</t>
  </si>
  <si>
    <t>DORANTES ROJAS ALEJANDRA</t>
  </si>
  <si>
    <t>MDICJ09</t>
  </si>
  <si>
    <t>DIAZ CASTILLO JAPRI FERNANDA</t>
  </si>
  <si>
    <t>MMEMB10</t>
  </si>
  <si>
    <t>MENDOZA MARTINEZ BRUNO GABRIEL</t>
  </si>
  <si>
    <t>KAAML184</t>
  </si>
  <si>
    <t>ALANIZ MARTINEZ LESLIE REGINA</t>
  </si>
  <si>
    <t>KCODA189</t>
  </si>
  <si>
    <t>CORREA DOMINGUEZ ALAN NATHAN</t>
  </si>
  <si>
    <t>KCEVP194</t>
  </si>
  <si>
    <t>CECEÑAS VILLAFUERTE PAOLA JAZMIN</t>
  </si>
  <si>
    <t>KOOTD196</t>
  </si>
  <si>
    <t>ORDOÑEZ TRINIDAD DIEGO</t>
  </si>
  <si>
    <t>KMEHM202</t>
  </si>
  <si>
    <t>MELO HUERTA MATEO</t>
  </si>
  <si>
    <t>KHELA236</t>
  </si>
  <si>
    <t>HERNANDEZ LOPEZ ALEJANDRO</t>
  </si>
  <si>
    <t>KAARL239</t>
  </si>
  <si>
    <t>ANDRADE RODRIGUEZ LUCIA ISABELLA</t>
  </si>
  <si>
    <t>KSALX240</t>
  </si>
  <si>
    <t>SANCHEZ LOERA XIMENA QUETZALLY</t>
  </si>
  <si>
    <t>KROCM242</t>
  </si>
  <si>
    <t>ROSALES CUEVAS MATIAS ROBERTO</t>
  </si>
  <si>
    <t>PAAGA583</t>
  </si>
  <si>
    <t>ANDRADE GONZALEZ ABRIL</t>
  </si>
  <si>
    <t>PCUAI502</t>
  </si>
  <si>
    <t>CRUZ ANTONIO IKER</t>
  </si>
  <si>
    <t>PJICV503</t>
  </si>
  <si>
    <t>JIMENEZ CANALES VICTORIA</t>
  </si>
  <si>
    <t>KVAVE246</t>
  </si>
  <si>
    <t>VALDEZ VAZQUEZ EITHAN ANDRE</t>
  </si>
  <si>
    <t>PBATA505</t>
  </si>
  <si>
    <t>BARRERA TOLEDO ALLISON JULIETTE</t>
  </si>
  <si>
    <t>PMAMN508</t>
  </si>
  <si>
    <t>MARTINEZ MORALES NAOMI MICHELLE</t>
  </si>
  <si>
    <t>PMAJF513</t>
  </si>
  <si>
    <t>MADUEÑA JIMENEZ FERNANDA</t>
  </si>
  <si>
    <t>PCOSA514</t>
  </si>
  <si>
    <t>CORTES SANTANA AZUL NAOMI</t>
  </si>
  <si>
    <t>PCAGC538</t>
  </si>
  <si>
    <t>CASTILLO GUARNEROS CAMILA JAZEL</t>
  </si>
  <si>
    <t>PHEFS571</t>
  </si>
  <si>
    <t>HERNANDEZ FRANCO SOFIA XARENI</t>
  </si>
  <si>
    <t>PSABM596</t>
  </si>
  <si>
    <t>SANCHEZ BACA MATIAS SAMIR</t>
  </si>
  <si>
    <t>PBAAG594</t>
  </si>
  <si>
    <t>BACA ARANO GAEL ALEXSANDER</t>
  </si>
  <si>
    <t>PLOHR586</t>
  </si>
  <si>
    <t>LOPEZ HERNANDEZ ROMINA</t>
  </si>
  <si>
    <t>PMAGE591</t>
  </si>
  <si>
    <t>MARTINEZ GOMEZ EITAN LEON</t>
  </si>
  <si>
    <t>PPEL577</t>
  </si>
  <si>
    <t>PACHECO ESTRELLA LEONEL</t>
  </si>
  <si>
    <t>KMERX208</t>
  </si>
  <si>
    <t>MENDEZ RETANA XIMENA EILEEN</t>
  </si>
  <si>
    <t>PCUOA530</t>
  </si>
  <si>
    <t>CRUZ ORTIZ AZUL</t>
  </si>
  <si>
    <t>PGAHB495</t>
  </si>
  <si>
    <t>GARCIA HERNANDEZ BRUNO</t>
  </si>
  <si>
    <t>PLOCE520</t>
  </si>
  <si>
    <t>LOPEZ CRUZ ESMERALDA</t>
  </si>
  <si>
    <t>KREGN222</t>
  </si>
  <si>
    <t>REYES GARCIA NATALIA</t>
  </si>
  <si>
    <t>PROLR532</t>
  </si>
  <si>
    <t>RODRIGUEZ LOPEZ ROMINA GUADALUPE</t>
  </si>
  <si>
    <t>KSAPI178</t>
  </si>
  <si>
    <t>SANTIAGO PEÑA IVANNA KARELY</t>
  </si>
  <si>
    <t>KYAGL176</t>
  </si>
  <si>
    <t>YAÑEZ GONZALEZ LIA ISABELLA</t>
  </si>
  <si>
    <t>PPEVS422</t>
  </si>
  <si>
    <t>PEDRO VENTURA SEBASTIAN</t>
  </si>
  <si>
    <t>KCUAS154</t>
  </si>
  <si>
    <t>CRUZ ARECHIGA SARA</t>
  </si>
  <si>
    <t>KRASC172</t>
  </si>
  <si>
    <t>RAMIREZ SORIANO CLAUDIA ALEJANDRA</t>
  </si>
  <si>
    <t>KMACR169</t>
  </si>
  <si>
    <t>LEYVA MARTINEZ CABRAL RODRIGO</t>
  </si>
  <si>
    <t>KMAMJ155</t>
  </si>
  <si>
    <t>MARIN MICHACA JAVIER</t>
  </si>
  <si>
    <t>KCUZA317</t>
  </si>
  <si>
    <t>CRUZ ZUÑIGA ANDREA</t>
  </si>
  <si>
    <t>KBAHC160</t>
  </si>
  <si>
    <t>BARRERA HERNANDEZ CHRISTIAN ALEXANDER</t>
  </si>
  <si>
    <t>PMORS581</t>
  </si>
  <si>
    <t>MORALES RUFINO SANTIAGO DANIEL</t>
  </si>
  <si>
    <t>MNACS01</t>
  </si>
  <si>
    <t>NARANJO CASTILLO SAMANTHA YARELI</t>
  </si>
  <si>
    <t>MMOEV3</t>
  </si>
  <si>
    <t>MORALES ESPINO VALERIA</t>
  </si>
  <si>
    <t>KLOBZ190</t>
  </si>
  <si>
    <t>LOPEZ BARBOSA ZURY MAYTE</t>
  </si>
  <si>
    <t>PCUVE496</t>
  </si>
  <si>
    <t>CUREÑO VALDEZ EMILIANO</t>
  </si>
  <si>
    <t>PFOLM497</t>
  </si>
  <si>
    <t>FLORES LOZANO MATTEW VALENTIN</t>
  </si>
  <si>
    <t>PAUFR502</t>
  </si>
  <si>
    <t>AGUILAR FLORES RENATA</t>
  </si>
  <si>
    <t>PMUFE582</t>
  </si>
  <si>
    <t>MUÑOZ FUENTES ERICK SANTIAGO</t>
  </si>
  <si>
    <t>PHEAK546</t>
  </si>
  <si>
    <t>HERNANDEZ ARCEO KAMILA</t>
  </si>
  <si>
    <t>PSOGJ548</t>
  </si>
  <si>
    <t>SOLIS GARCIA JUAN PABLO</t>
  </si>
  <si>
    <t>PBAAA595</t>
  </si>
  <si>
    <t>BACA ARANO AITANA YAMILET</t>
  </si>
  <si>
    <t>PMOMD567</t>
  </si>
  <si>
    <t>MORA MORA DEREK EMILIO</t>
  </si>
  <si>
    <t>KZAPP312</t>
  </si>
  <si>
    <t>ZARATE PERALTA PAOLO MATEO</t>
  </si>
  <si>
    <t>PFIXM575</t>
  </si>
  <si>
    <t>FIGUEROA XICOTENCATL MATIAS BALAM</t>
  </si>
  <si>
    <t>PQUOS589</t>
  </si>
  <si>
    <t>QUINTANA ORIBIO SIDDHARTHA</t>
  </si>
  <si>
    <t>PCUCC572</t>
  </si>
  <si>
    <t>CRUZ CRUZ CAMILA</t>
  </si>
  <si>
    <t>PCINF425</t>
  </si>
  <si>
    <t>CISNEROS NICIO FERNANDA</t>
  </si>
  <si>
    <t>KAAGS314</t>
  </si>
  <si>
    <t>AYALA GARCIA SANTIAGO</t>
  </si>
  <si>
    <t>MGALT07</t>
  </si>
  <si>
    <t>GALLARDO LOPEZ TAMARA</t>
  </si>
  <si>
    <t>MMADN11</t>
  </si>
  <si>
    <t>MAQUEDA DIOSDADO NATHAN SAHID</t>
  </si>
  <si>
    <t>MNACA296</t>
  </si>
  <si>
    <t>NARANJO CASTILLO ASTRID YAMILETH</t>
  </si>
  <si>
    <t>KEOAJ161</t>
  </si>
  <si>
    <t>ESCOBAR ANDRES JOSE GAEL</t>
  </si>
  <si>
    <t>KVERA137</t>
  </si>
  <si>
    <t>VEGA RODRIGUEZ ANA PAULA</t>
  </si>
  <si>
    <t>KSEBS140</t>
  </si>
  <si>
    <t>SERRANO BARON SARA SOFIA</t>
  </si>
  <si>
    <t>KLIHI294</t>
  </si>
  <si>
    <t>LICEA HERNANDEZ ITZAMARA</t>
  </si>
  <si>
    <t>KHECF320</t>
  </si>
  <si>
    <t>HERNANDEZ CORREA FRIDA SOPHIE</t>
  </si>
  <si>
    <t>PGAMB565</t>
  </si>
  <si>
    <t>GARCIA MARTINEZ BRUNO</t>
  </si>
  <si>
    <t>KCOVM319</t>
  </si>
  <si>
    <t>CORDERO VELAZQUEZ MATIAS YAEL</t>
  </si>
  <si>
    <t>KVEMA156</t>
  </si>
  <si>
    <t>VERA MONROY AXEL OBED</t>
  </si>
  <si>
    <t>MIACN08</t>
  </si>
  <si>
    <t>IBARRA CARRANCO NATAN</t>
  </si>
  <si>
    <t>KMEBI311</t>
  </si>
  <si>
    <t>MEJIA BARCENAS ITZEL</t>
  </si>
  <si>
    <t>KBACL313</t>
  </si>
  <si>
    <t>BASILIO CARDENAS LEONARDO SAID</t>
  </si>
  <si>
    <t>KAERX136</t>
  </si>
  <si>
    <t>ARREOLA RODRIGUEZ XIMENA VALENTINA</t>
  </si>
  <si>
    <t>KZEGD303</t>
  </si>
  <si>
    <t>ZEPEDA GONZALEZ DIEGO</t>
  </si>
  <si>
    <t>PQUOS590</t>
  </si>
  <si>
    <t>QUINTANA ORIBIO SAHARA</t>
  </si>
  <si>
    <t>PGOEL394</t>
  </si>
  <si>
    <t>GONZALEZ ESPINOSA LUCIA ALEXANDRA</t>
  </si>
  <si>
    <t>PVIGN395</t>
  </si>
  <si>
    <t>VILLEGAS GRANADOS NATALIA</t>
  </si>
  <si>
    <t>PCOIA398</t>
  </si>
  <si>
    <t>COX IZQUIERDO ANGIE JUNNUETH</t>
  </si>
  <si>
    <t>PPAMS399</t>
  </si>
  <si>
    <t>PAVON MARTINEZ SOFIA</t>
  </si>
  <si>
    <t>PCEGE418</t>
  </si>
  <si>
    <t>CERON GUERRERO ERANDY DANAE</t>
  </si>
  <si>
    <t>PJITI419</t>
  </si>
  <si>
    <t>JIMENEZ TORT IVANA ERANDI</t>
  </si>
  <si>
    <t>PHUPI557</t>
  </si>
  <si>
    <t>HUERTA PEREZ IKER JOSHUA</t>
  </si>
  <si>
    <t>PCAOE558</t>
  </si>
  <si>
    <t>CHAVEZ OROPEZA ENRIQUE JAMIL</t>
  </si>
  <si>
    <t>PVAXA592</t>
  </si>
  <si>
    <t>VALENCIA ALEXA MADAI</t>
  </si>
  <si>
    <t>SZASA218</t>
  </si>
  <si>
    <t>RAFAEL FRANCO IKER</t>
  </si>
  <si>
    <t>PHEGD487</t>
  </si>
  <si>
    <t>HERNANDEZ GARCIA DORIAN</t>
  </si>
  <si>
    <t>PSEBF427</t>
  </si>
  <si>
    <t>SEGOVIA BARAJAS FERNANDA LIZETH</t>
  </si>
  <si>
    <t>PAEDG528</t>
  </si>
  <si>
    <t>ANGELES DELGADO GUSTAVO</t>
  </si>
  <si>
    <t>KMUCA320</t>
  </si>
  <si>
    <t>MUÑOZ COLIN AMERICA ARIADNA</t>
  </si>
  <si>
    <t>KMUUR288</t>
  </si>
  <si>
    <t>MUÑOZ UTRERA RENATA</t>
  </si>
  <si>
    <t>MPARP03</t>
  </si>
  <si>
    <t>PAREDES RIOS PIA JADE</t>
  </si>
  <si>
    <t>KRARA288</t>
  </si>
  <si>
    <t>RAMOS RAMIREZ ALEXA DENISE</t>
  </si>
  <si>
    <t>KGOAS</t>
  </si>
  <si>
    <t>GOMEZ ABAD SHARI ALETH</t>
  </si>
  <si>
    <t>PSAMM522</t>
  </si>
  <si>
    <t>SANCHEZ MORALES MIA ALEXA</t>
  </si>
  <si>
    <t>KZAMD313</t>
  </si>
  <si>
    <t>ZARATE MORALES DULCE MARIA</t>
  </si>
  <si>
    <t>MGANF08</t>
  </si>
  <si>
    <t>GARCIA NAVARRO FATIMA YATZIL</t>
  </si>
  <si>
    <t>KSAAG228</t>
  </si>
  <si>
    <t>SANTANA ACEVEDO GABRIEL RAYMUNDO</t>
  </si>
  <si>
    <t>PTIVR387</t>
  </si>
  <si>
    <t>TINAJERO VILLASEÑOR RICARDO DAVID</t>
  </si>
  <si>
    <t>PRAMA491</t>
  </si>
  <si>
    <t>RAMIREZ MENDEZ ANA BARBARA</t>
  </si>
  <si>
    <t>KAARA285</t>
  </si>
  <si>
    <t>ALVAREZ ROBLES AYLINE XIMENA</t>
  </si>
  <si>
    <t>KDOPM150</t>
  </si>
  <si>
    <t>DOMINGUEZ PALACIO MELANIE GABRIELA</t>
  </si>
  <si>
    <t>PDIVA375</t>
  </si>
  <si>
    <t>DIAZ VACA ARACELI AMEYALLI</t>
  </si>
  <si>
    <t>KMOAA294</t>
  </si>
  <si>
    <t>MOLINA ALCANTARA AMBER JADE</t>
  </si>
  <si>
    <t>KAEMS301</t>
  </si>
  <si>
    <t>ARENAS MONDRAGON SOFIA</t>
  </si>
  <si>
    <t>KSOGE316</t>
  </si>
  <si>
    <t>SOTO GOMEZ EMILY RENATA</t>
  </si>
  <si>
    <t>KAPEA233</t>
  </si>
  <si>
    <t>AMIGON PEREZ ANGEL TADEO</t>
  </si>
  <si>
    <t>PVAGI376</t>
  </si>
  <si>
    <t>VALLE GUERRERO IAN SAID</t>
  </si>
  <si>
    <t>KROSL305</t>
  </si>
  <si>
    <t>ROSAS SANTIAGO LUNA REGINA</t>
  </si>
  <si>
    <t>KJIRS306</t>
  </si>
  <si>
    <t>JIMENEZ RAMOS SEBASTIAN</t>
  </si>
  <si>
    <t>PMIRD401</t>
  </si>
  <si>
    <t>MIRANDA RIVERA DEBANHI PAOLA</t>
  </si>
  <si>
    <t>PMAMC509</t>
  </si>
  <si>
    <t>MARTINEZ MORALES CRYSTIAN SEBASTIAN</t>
  </si>
  <si>
    <t>PROAV539</t>
  </si>
  <si>
    <t>RODRIGUEZ ARVIZU VAN YUL</t>
  </si>
  <si>
    <t>PAISI578</t>
  </si>
  <si>
    <t>AGUILAR SANCHEZ ISAI JOSUE</t>
  </si>
  <si>
    <t>ARTES</t>
  </si>
  <si>
    <t>HERRAMIENTAS DIGITALES</t>
  </si>
  <si>
    <t>AJEDREZ</t>
  </si>
  <si>
    <t>PGOJL355</t>
  </si>
  <si>
    <t>GONZALEZ JIMENEZ LEONEL</t>
  </si>
  <si>
    <t>PSAMA521</t>
  </si>
  <si>
    <t>SANCHEZ MORALES ANDREA ZOE</t>
  </si>
  <si>
    <t>KVASL301</t>
  </si>
  <si>
    <t>VALDIVIA SORIA LIA AYMAR</t>
  </si>
  <si>
    <t>PROVM490</t>
  </si>
  <si>
    <t>ROMERO VENCES MARCO ANTONIO</t>
  </si>
  <si>
    <t>KGALM300</t>
  </si>
  <si>
    <t>GALLARDO LOPEZ MARIO ARMANDO</t>
  </si>
  <si>
    <t>KLERA294</t>
  </si>
  <si>
    <t>LEMUS RAMIREZ ANGEL DAVID</t>
  </si>
  <si>
    <t>PAEDV527</t>
  </si>
  <si>
    <t>ANGELES DELGADO VALENTINA</t>
  </si>
  <si>
    <t>KGOTD210</t>
  </si>
  <si>
    <t>GOMEZ TAPIA DAVID ALEJANDRO</t>
  </si>
  <si>
    <t>KLILG219</t>
  </si>
  <si>
    <t>LIMON LUCERO GALIA</t>
  </si>
  <si>
    <t>KHESL222</t>
  </si>
  <si>
    <t>HERNANDEZ SOTO LINDSAY KARELY</t>
  </si>
  <si>
    <t>KGUMO291</t>
  </si>
  <si>
    <t>GUTIERREZ MAYA OSVALDO SAID</t>
  </si>
  <si>
    <t>KOEGE209</t>
  </si>
  <si>
    <t>ORTEGA GONZALEZ ERICKA LUZ MARIA</t>
  </si>
  <si>
    <t>KAERL251</t>
  </si>
  <si>
    <t>ARCEO RODRIGUEZ LUCIANO MATEO</t>
  </si>
  <si>
    <t>SNAML238</t>
  </si>
  <si>
    <t>NAVARRETE MENDOZA LAKSHMI CORY</t>
  </si>
  <si>
    <t>PTUMS328</t>
  </si>
  <si>
    <t>TRUJILLO MARTINEZ SEBASTIAN</t>
  </si>
  <si>
    <t>KAAGD289</t>
  </si>
  <si>
    <t>ALVAREZ DEL CASTILLO GOMEZ DANTE ZAID</t>
  </si>
  <si>
    <t>KSOMM285</t>
  </si>
  <si>
    <t>SORIANO MENDEZ MAURICIO MATEO</t>
  </si>
  <si>
    <t>SOARE238</t>
  </si>
  <si>
    <t>ORDAZ ROMAN EVELYN</t>
  </si>
  <si>
    <t>KRUPD263</t>
  </si>
  <si>
    <t>RUIZ PIÑA DAVID JAFET</t>
  </si>
  <si>
    <t>KBELA216</t>
  </si>
  <si>
    <t>BETANZOS LOPEZ ALEXANDRA</t>
  </si>
  <si>
    <t>SZAGK246</t>
  </si>
  <si>
    <t>ZAVALA GARCIA KEVIN GADIEL</t>
  </si>
  <si>
    <t>KMOCD229</t>
  </si>
  <si>
    <t>MONDRAGON CONTRERAS DANIEL</t>
  </si>
  <si>
    <t>KSALF02</t>
  </si>
  <si>
    <t>SANTIAGO LOPEZ FERNANDO</t>
  </si>
  <si>
    <t>PFAME406</t>
  </si>
  <si>
    <t>FRAGOSO MENDOZA ELIAS</t>
  </si>
  <si>
    <t>PVEBJ408</t>
  </si>
  <si>
    <t>VERA BECERRIL JOSE EMILIANO</t>
  </si>
  <si>
    <t>SGOFV244</t>
  </si>
  <si>
    <t>GONGORA FUENTES VALENTINA</t>
  </si>
  <si>
    <t>SVAAJ252</t>
  </si>
  <si>
    <t>VALENCIA ARVIZU JONATHAN EDUARDO</t>
  </si>
  <si>
    <t>SWAVG247</t>
  </si>
  <si>
    <t>WALDO VILLAVICENCIO GERARDO</t>
  </si>
  <si>
    <t>SCUMJ241</t>
  </si>
  <si>
    <t>CRUZ MORALES JATNIEL ABISAI</t>
  </si>
  <si>
    <t>SMARE242</t>
  </si>
  <si>
    <t>MARCELO RAMIREZ EDGAR EMILIANO</t>
  </si>
  <si>
    <t>SLAGG251</t>
  </si>
  <si>
    <t>LAUNIZAR GARCIA GUILLERMO ALEXANDER</t>
  </si>
  <si>
    <t>SGOGG248</t>
  </si>
  <si>
    <t>GONZALEZ GONZALEZ GYSELL</t>
  </si>
  <si>
    <t>KGACA274</t>
  </si>
  <si>
    <t>GALICIA CHAVEZ ALEXANDER</t>
  </si>
  <si>
    <t>KOIHA232</t>
  </si>
  <si>
    <t>ORDINOLA HUERTA ALDO YAHEL</t>
  </si>
  <si>
    <t>KAERS252</t>
  </si>
  <si>
    <t>ARCEO RODRIGUEZ SERGIO EMMANUEL</t>
  </si>
  <si>
    <t>PDEGJ370</t>
  </si>
  <si>
    <t>DEL VALLE GONZALEZ JARUMI</t>
  </si>
  <si>
    <t>PROVL489</t>
  </si>
  <si>
    <t>ROMERO VENCES LINDA ISABELLA</t>
  </si>
  <si>
    <t>PGASF485</t>
  </si>
  <si>
    <t>GARCIA SANTIAGO FRIDA CITLALY</t>
  </si>
  <si>
    <t>POIGM319</t>
  </si>
  <si>
    <t>OLIVERA GUZMAN MIGUEL ANGEL</t>
  </si>
  <si>
    <t>PHETD410</t>
  </si>
  <si>
    <t>HERNANDEZ TAVERA DAVID ALEJANDRO</t>
  </si>
  <si>
    <t>KRORA262</t>
  </si>
  <si>
    <t>RODRIGUEZ RIOS ANGEL YAHEL</t>
  </si>
  <si>
    <t>KIACM251</t>
  </si>
  <si>
    <t>IBARRA CARRANCO MILCA</t>
  </si>
  <si>
    <t>KMEVJ256</t>
  </si>
  <si>
    <t>MENA VALDERRABANO JONATHAN JAHIR</t>
  </si>
  <si>
    <t>PMERL423</t>
  </si>
  <si>
    <t>MENDEZ RETANA LUNA AYLIN</t>
  </si>
  <si>
    <t>PROPX306</t>
  </si>
  <si>
    <t>RODRIGUEZ PERALTA XIMENA</t>
  </si>
  <si>
    <t>PFEVS315</t>
  </si>
  <si>
    <t>FEREGRINO VIZCARRA SANTIAGO</t>
  </si>
  <si>
    <t>KMORC200</t>
  </si>
  <si>
    <t>MORALES RAMOS CARLOS SEBASTIAN</t>
  </si>
  <si>
    <t>KOIMI268</t>
  </si>
  <si>
    <t>OLIVARES MEJIA ITAI EMILIANO</t>
  </si>
  <si>
    <t>KHEJU279</t>
  </si>
  <si>
    <t>HERNANDEZ JIMENEZ URIEL ALEJANDRO</t>
  </si>
  <si>
    <t>PGOCC364</t>
  </si>
  <si>
    <t>GONZALEZ CABRAL CARLOS TABIN</t>
  </si>
  <si>
    <t>KNUDA254</t>
  </si>
  <si>
    <t>NUÑEZ MARTINEZ ABEL SANTIAGO</t>
  </si>
  <si>
    <t>KROME248</t>
  </si>
  <si>
    <t>ROMO MARTINEZ ERIK</t>
  </si>
  <si>
    <t>PGAMS409</t>
  </si>
  <si>
    <t>GARCIA MORALES SILVESTRE HITZAE</t>
  </si>
  <si>
    <t>PMAGP507</t>
  </si>
  <si>
    <t>MARTINEZ GUEVARA PAOLA</t>
  </si>
  <si>
    <t>SMESE222</t>
  </si>
  <si>
    <t>MENDOZA SANDOVAL ERIK NOE</t>
  </si>
  <si>
    <t>SROMM223</t>
  </si>
  <si>
    <t>ROMERO MOGUEL MATHIAS JAVIER</t>
  </si>
  <si>
    <t>SLARB224</t>
  </si>
  <si>
    <t>LARA ROMERO BRUNO ZELIG</t>
  </si>
  <si>
    <t>KSATN269</t>
  </si>
  <si>
    <t>SANCHEZ TOBON NATALY AYELEN</t>
  </si>
  <si>
    <t>SLUPJ226</t>
  </si>
  <si>
    <t>DE LUNA PEREZ JOSUE IZANAMI</t>
  </si>
  <si>
    <t>SSAMS227</t>
  </si>
  <si>
    <t>SALAZAR MARQUEZ SOFIA VALERIA</t>
  </si>
  <si>
    <t>SRICA228</t>
  </si>
  <si>
    <t>RIVAS CARRION AXEL SANTIAGO</t>
  </si>
  <si>
    <t>STEBJ229</t>
  </si>
  <si>
    <t>TREJO BUCIO JOSUE EZEQUIEL</t>
  </si>
  <si>
    <t>SGOBM230</t>
  </si>
  <si>
    <t>GONZALEZ BAUTISTA MIREYA BELEN</t>
  </si>
  <si>
    <t>SPEMJ231</t>
  </si>
  <si>
    <t>PEREZ MARCELINO JOHAN FERNANDO</t>
  </si>
  <si>
    <t>SPORL233</t>
  </si>
  <si>
    <t>PONCE RICO LEONARDO</t>
  </si>
  <si>
    <t>SMIFM256</t>
  </si>
  <si>
    <t>MIRON FUENTES MIA ESTEFANIA</t>
  </si>
  <si>
    <t>SRATV236</t>
  </si>
  <si>
    <t>RAMOS TORT VANIA MELISSA</t>
  </si>
  <si>
    <t>SBARE253</t>
  </si>
  <si>
    <t>BASILIO REBOLLOSO EMILIANO</t>
  </si>
  <si>
    <t>SGOGA249</t>
  </si>
  <si>
    <t>GONZALEZ GONZALEZ ANGELIQUE</t>
  </si>
  <si>
    <t>SGOGK250</t>
  </si>
  <si>
    <t>GONZALEZ GONZALEZ KENYA</t>
  </si>
  <si>
    <t>SROAK255</t>
  </si>
  <si>
    <t>RODRIGUEZ AGUILAR KATIA GUADALUPE</t>
  </si>
  <si>
    <t>SLODG237</t>
  </si>
  <si>
    <t>LOPEZ DEL MORAL GALA VALERIA</t>
  </si>
  <si>
    <t>SVIHJ215</t>
  </si>
  <si>
    <t>VICTORIA HIDROGO JENNIFER YAIZA</t>
  </si>
  <si>
    <t>PSIEP486</t>
  </si>
  <si>
    <t>SILVA ESTRELLA PAULINA ITZEL</t>
  </si>
  <si>
    <t>KBACS264</t>
  </si>
  <si>
    <t>BASILIO CARDENAS SEBASTIAN</t>
  </si>
  <si>
    <t>SCURL209</t>
  </si>
  <si>
    <t>CRUZ RODRIGUEZ LINDA POLETH</t>
  </si>
  <si>
    <t>PAAHR482</t>
  </si>
  <si>
    <t>ALVAREZ HERNANDEZ REGINA</t>
  </si>
  <si>
    <t>PTEJS351</t>
  </si>
  <si>
    <t>TEYES JIMENEZ SANTIAGO</t>
  </si>
  <si>
    <t>SRAMC213</t>
  </si>
  <si>
    <t>RAMIREZ MARTINEZ CHRISTIAN MAXIMILIANO</t>
  </si>
  <si>
    <t>KBEBC177</t>
  </si>
  <si>
    <t>BECERRIL BARRERA CHRISTOPHER</t>
  </si>
  <si>
    <t>PPEYS388</t>
  </si>
  <si>
    <t>PERALES YAÑEZ SANTIAGO</t>
  </si>
  <si>
    <t>SLOMG212</t>
  </si>
  <si>
    <t>LOPEZ MUÑOZ GRISELDA</t>
  </si>
  <si>
    <t>SNIDA240</t>
  </si>
  <si>
    <t>NIÑO DIAZ ALLISON VALERIA</t>
  </si>
  <si>
    <t>PROCE400</t>
  </si>
  <si>
    <t>ROSALES CUEVAS ERANDI ELIZABETH</t>
  </si>
  <si>
    <t>PRAPJ364</t>
  </si>
  <si>
    <t>RAMOS PLASCENCIA JORGE LEONARDO</t>
  </si>
  <si>
    <t>PRAVP406</t>
  </si>
  <si>
    <t>RAMIREZ VASQUEZ PAOLA ALEJANDRA</t>
  </si>
  <si>
    <t>PTUMX372</t>
  </si>
  <si>
    <t>TRUJILLO MARTINEZ XIMENA</t>
  </si>
  <si>
    <t>PVABY384</t>
  </si>
  <si>
    <t>VALDESPINO BELTRAN YAEL</t>
  </si>
  <si>
    <t>KVERE197</t>
  </si>
  <si>
    <t>VEGA REVELES ENRIQUE DANIEL</t>
  </si>
  <si>
    <t>PMAVI336</t>
  </si>
  <si>
    <t>MALDONADO VARGAS ISRAEL</t>
  </si>
  <si>
    <t>KAAGA237</t>
  </si>
  <si>
    <t>ALVAREZ DEL CASTILLO GOMEZ ALONDRA EMIRETH</t>
  </si>
  <si>
    <t>PHEEG349</t>
  </si>
  <si>
    <t>HERNANDEZ ENRIQUEZ GIANCARLO ABISHAI</t>
  </si>
  <si>
    <t>PRUSM352</t>
  </si>
  <si>
    <t>RUIZ SANTIAGO MIGUEL ANGEL</t>
  </si>
  <si>
    <t>PDEFS393</t>
  </si>
  <si>
    <t>DELGADILLO FEREGRINO SEBASTIAN</t>
  </si>
  <si>
    <t>KUIGV218</t>
  </si>
  <si>
    <t>URIBE GARCIA VICTORIA</t>
  </si>
  <si>
    <t>PRICM398</t>
  </si>
  <si>
    <t>RIVERA CASTRO MATIAS</t>
  </si>
  <si>
    <t>KGUOE219</t>
  </si>
  <si>
    <t>GUDIÑO OLGUIN EMMANUEL</t>
  </si>
  <si>
    <t>PDIVNA347</t>
  </si>
  <si>
    <t>DIAZ VACA NALLELI CITLALLI</t>
  </si>
  <si>
    <t>LUIS PICHARDO MARIEL ANTONIETA</t>
  </si>
  <si>
    <t>KMORH243</t>
  </si>
  <si>
    <t>MONROY RENDON HECTOR</t>
  </si>
  <si>
    <t>PBASJ307</t>
  </si>
  <si>
    <t>BAUTISTA SOSA JOSE MANUEL</t>
  </si>
  <si>
    <t>PHENM354</t>
  </si>
  <si>
    <t>HERNANDEZ NEPOMUCENO MARIANA</t>
  </si>
  <si>
    <t>KMADI259</t>
  </si>
  <si>
    <t>MARTINEZ DIAZ IKER</t>
  </si>
  <si>
    <t>PJUMA399</t>
  </si>
  <si>
    <t>JUAREZ MAYA ABDIEL ISAI</t>
  </si>
  <si>
    <t>KMAMM226</t>
  </si>
  <si>
    <t>MARIN MICHACA MATIAS</t>
  </si>
  <si>
    <t>PCUAL407</t>
  </si>
  <si>
    <t>CRUZ ALCANTARA LUZ DANIELA</t>
  </si>
  <si>
    <t>PCEGF417</t>
  </si>
  <si>
    <t>CERON GUERRERO FATIMA IRAIS</t>
  </si>
  <si>
    <t>SGIHR199</t>
  </si>
  <si>
    <t>GRIMALDO HUANTE RENATA MIRELLE</t>
  </si>
  <si>
    <t>SHEHS200</t>
  </si>
  <si>
    <t>HERNANDEZ HERNANDEZ SEBASTIAN</t>
  </si>
  <si>
    <t>SCAVA202</t>
  </si>
  <si>
    <t>CAMACHO VIVANCO ANGEL GABRIEL</t>
  </si>
  <si>
    <t>SRIGS203</t>
  </si>
  <si>
    <t>RIVERA GUTIERREZ SEBASTIAN</t>
  </si>
  <si>
    <t>SZASA216</t>
  </si>
  <si>
    <t>ZAVALA SANTIAGO ANGEL DANIEL</t>
  </si>
  <si>
    <t>SOICI217</t>
  </si>
  <si>
    <t>ORTIZ CORDOVA ISABEL</t>
  </si>
  <si>
    <t>SVANI232</t>
  </si>
  <si>
    <t>VALDES NIETO ICKER SANTIAGO</t>
  </si>
  <si>
    <t>SXIPV243</t>
  </si>
  <si>
    <t>XICOTENCATL PADILLA VALENTINA ZOE</t>
  </si>
  <si>
    <t>S1</t>
  </si>
  <si>
    <t>S2</t>
  </si>
  <si>
    <t>PCUCAC330</t>
  </si>
  <si>
    <t>CRUZ ANTONIO CRISTIAN</t>
  </si>
  <si>
    <t>PPXINM129</t>
  </si>
  <si>
    <t>XICOTENCATL NAVA MARTIN SANTIAGO</t>
  </si>
  <si>
    <t>PPRAFA131</t>
  </si>
  <si>
    <t>RAFAEL FRANCO ANDREA</t>
  </si>
  <si>
    <t>SLOGY182</t>
  </si>
  <si>
    <t>LOPEZ GONZALEZ YAUZANIT</t>
  </si>
  <si>
    <t>PHEVK334</t>
  </si>
  <si>
    <t>HERNANDEZ VALENZUELA KEYRA XIMENA</t>
  </si>
  <si>
    <t>PPNIDA127</t>
  </si>
  <si>
    <t>NIÑO DIAZ ALEXA PAOLA</t>
  </si>
  <si>
    <t>KBEBM176</t>
  </si>
  <si>
    <t>BECERRIL BARRERA MARIA JOSE</t>
  </si>
  <si>
    <t>SXITV188</t>
  </si>
  <si>
    <t>XICOTENCATL TOSCANO VALERIA MICHEL</t>
  </si>
  <si>
    <t>SRIMI191</t>
  </si>
  <si>
    <t>RIOS MURO IAN JAVIER</t>
  </si>
  <si>
    <t>SGACJ192</t>
  </si>
  <si>
    <t>GARCIA CARRASCO JOSELIN MARIA</t>
  </si>
  <si>
    <t>PPTEPA132</t>
  </si>
  <si>
    <t>TEMOXTLE PERALTA ARLETTE ARELY</t>
  </si>
  <si>
    <t>PPVAHX128</t>
  </si>
  <si>
    <t>VAZQUEZ HERNANDEZ XIMENA</t>
  </si>
  <si>
    <t>PPMARF133</t>
  </si>
  <si>
    <t>MACARIO RODRIGUEZ FATIMA CAMILA</t>
  </si>
  <si>
    <t>PPAOVA135</t>
  </si>
  <si>
    <t>AYLLON VELEZ JOSE ANGEL</t>
  </si>
  <si>
    <t>PPTODA138</t>
  </si>
  <si>
    <t>PPCUMP119</t>
  </si>
  <si>
    <t>CUMPLIDO MARTINEZ PERLA MARIEL</t>
  </si>
  <si>
    <t>PPGAGV111</t>
  </si>
  <si>
    <t>GARCIA VILLAVICENCIO KENYA MITSHELL</t>
  </si>
  <si>
    <t>PPRAFI112</t>
  </si>
  <si>
    <t>RAFAEL FRANCO ITZEL</t>
  </si>
  <si>
    <t>PPEESPI120</t>
  </si>
  <si>
    <t>KMULS128</t>
  </si>
  <si>
    <t>MUÑOZ LOPEZ SANTIAGO</t>
  </si>
  <si>
    <t>SJITA182</t>
  </si>
  <si>
    <t>JIMENEZ TORT AYLIN ALEJANDRA</t>
  </si>
  <si>
    <t>PVEGH336</t>
  </si>
  <si>
    <t>VELAZQUEZ GOMEZ HANIA</t>
  </si>
  <si>
    <t>KSEBP155</t>
  </si>
  <si>
    <t>SERRANO BARON PEDRO</t>
  </si>
  <si>
    <t>GUZMAN PEREZ YARETZI LEILIANI</t>
  </si>
  <si>
    <t>SGUCJ164</t>
  </si>
  <si>
    <t>GUZMAN CAMPOY JI EUN</t>
  </si>
  <si>
    <t>SVAGS178</t>
  </si>
  <si>
    <t>VAZQUEZ GARCIA SANTIAGO DARREN</t>
  </si>
  <si>
    <t>LOPEZ GARCIA DULCE YAZMIN</t>
  </si>
  <si>
    <t>PPROVH109</t>
  </si>
  <si>
    <t>RODRIGUEZ VAZQUEZ HORACIO</t>
  </si>
  <si>
    <t>PPGAGV112</t>
  </si>
  <si>
    <t>GARCIA GARCIA VALERIA JACQUELINE</t>
  </si>
  <si>
    <t>PPPEAT114</t>
  </si>
  <si>
    <t>PEREZ ANAYA TABATHA GISSEL</t>
  </si>
  <si>
    <t>PPGAZA121</t>
  </si>
  <si>
    <t>GALINDO ZACHS ANGELICA ABIGAIL</t>
  </si>
  <si>
    <t>PPBACA134</t>
  </si>
  <si>
    <t>BAREÑO PEREZ AXEL YAHEL</t>
  </si>
  <si>
    <t>PPMEPA126</t>
  </si>
  <si>
    <t>MENDEZ PINEDA ANGEL ENRIQUE</t>
  </si>
  <si>
    <t>PPZEBC117</t>
  </si>
  <si>
    <t>PPGARV113</t>
  </si>
  <si>
    <t>GARCIA RAMOS VALERIA ALEJANDRA</t>
  </si>
  <si>
    <t>PGUPP366</t>
  </si>
  <si>
    <t>GUZMAN PEREZ PAMELA ABIGAIL</t>
  </si>
  <si>
    <t>PPOICI123</t>
  </si>
  <si>
    <t>ORTIZ CIPRES ISELA SOFIA</t>
  </si>
  <si>
    <t>SSOGJ166</t>
  </si>
  <si>
    <t>SOTO GARCIA JUAN DE JESUS</t>
  </si>
  <si>
    <t>SOOFC185</t>
  </si>
  <si>
    <t>OSORNIO FERNANDEZ CAROL MARIANA</t>
  </si>
  <si>
    <t>SRAROM197</t>
  </si>
  <si>
    <t>RAMIREZ ROJAS MIRIAM NAHOMI</t>
  </si>
  <si>
    <t>PPIACM89</t>
  </si>
  <si>
    <t>ISLAS COVARRUBIAS MELISA</t>
  </si>
  <si>
    <t>PPRASJ101</t>
  </si>
  <si>
    <t>RAMOS SANCHEZ JUAN FRANCISCO</t>
  </si>
  <si>
    <t>PPGAVB105</t>
  </si>
  <si>
    <t>GARCIA VILLAVICENCIO BRANDON JOSUE</t>
  </si>
  <si>
    <t>PPCAVW110</t>
  </si>
  <si>
    <t>CAMACHO VIVANCO WENDY NICOL</t>
  </si>
  <si>
    <t>PPGOVA116</t>
  </si>
  <si>
    <t>GONZALEZ VAZQUEZ ABIGAIL</t>
  </si>
  <si>
    <t>PPGOAR115</t>
  </si>
  <si>
    <t>GONZALEZ ALCANTARA RODRIGO</t>
  </si>
  <si>
    <t>PPCAHC137</t>
  </si>
  <si>
    <t>PPAOHO130</t>
  </si>
  <si>
    <t>TUTORIA</t>
  </si>
  <si>
    <t>ORIENTACIÓN</t>
  </si>
  <si>
    <t xml:space="preserve">RAMIREZ GOMEZ JESUS IVAN </t>
  </si>
  <si>
    <t>RAMIREZ ARZAVE EMILIANO</t>
  </si>
  <si>
    <t>METODOLOGIA</t>
  </si>
  <si>
    <t>INFORMATICA</t>
  </si>
  <si>
    <t>ROBOTICA</t>
  </si>
  <si>
    <t>ED. FISICA</t>
  </si>
  <si>
    <t xml:space="preserve">DANZA </t>
  </si>
  <si>
    <t>AMERICANO</t>
  </si>
  <si>
    <t>MATRICULA</t>
  </si>
  <si>
    <t xml:space="preserve">NOMBRE DEL ALUMNO </t>
  </si>
  <si>
    <t>CICLO</t>
  </si>
  <si>
    <t>GRADO</t>
  </si>
  <si>
    <t>GRUPO</t>
  </si>
  <si>
    <t>ESPINOSA PRECIADO ANGELICA ITZEL</t>
  </si>
  <si>
    <t>INGLES</t>
  </si>
  <si>
    <t>AYLLON  HERNANDEZ PAOLA QUEHTZALY</t>
  </si>
  <si>
    <t xml:space="preserve">CABRERA HERNANDEZ CHRISTIAN MICHEL </t>
  </si>
  <si>
    <t>ZERMEÑO BENITEZ  CARLOS JOAN</t>
  </si>
  <si>
    <t>ORIENTACION</t>
  </si>
  <si>
    <t>TORRES DÍAZ AVRIL ZOE</t>
  </si>
  <si>
    <t>ORTOGRAFIA</t>
  </si>
  <si>
    <t>MUSICA</t>
  </si>
  <si>
    <t>MATEMATICAS DIVERTIDAS</t>
  </si>
  <si>
    <t>BASILIO REBOLLOSO EMILIO</t>
  </si>
  <si>
    <t>MARTINEZ PEREZ NAHOMI</t>
  </si>
  <si>
    <t>9.0</t>
  </si>
  <si>
    <t>ED FISICA</t>
  </si>
  <si>
    <t>6,5</t>
  </si>
  <si>
    <t>8</t>
  </si>
  <si>
    <t>PPRAAE140</t>
  </si>
  <si>
    <t>PPALMC139</t>
  </si>
  <si>
    <t>ALVARADO MONDRAGON CHRISTOPHER DAMIAN</t>
  </si>
  <si>
    <t>PGUPY367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</si>
</sst>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b/>
      <sz val="12"/>
      <color rgb="FF9C0006"/>
      <name val="Arial"/>
    </font>
    <font>
      <b/>
      <i/>
      <sz val="12"/>
      <color rgb="FF000000"/>
      <name val="Arial"/>
    </font>
    <font>
      <b/>
      <i/>
      <u/>
      <sz val="12"/>
      <color rgb="FF9C0006"/>
      <name val="Arial"/>
    </font>
    <font>
      <b/>
      <i/>
      <sz val="12"/>
      <color rgb="FF9C0006"/>
      <name val="Arial"/>
    </font>
    <font>
      <sz val="10"/>
      <color theme="1"/>
      <name val="Arial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</font>
    <font>
      <b/>
      <sz val="12"/>
      <color rgb="FF000000"/>
      <name val="Arial"/>
      <family val="2"/>
    </font>
    <font>
      <b/>
      <i/>
      <sz val="12"/>
      <color theme="1"/>
      <name val="Arial"/>
      <family val="2"/>
    </font>
    <font>
      <b/>
      <u/>
      <sz val="12"/>
      <color theme="1"/>
      <name val="Arial"/>
      <family val="2"/>
    </font>
    <font>
      <sz val="8"/>
      <name val="Arial"/>
      <family val="2"/>
      <scheme val="minor"/>
    </font>
    <font>
      <sz val="11"/>
      <color theme="1"/>
      <name val="Arial"/>
      <scheme val="minor"/>
    </font>
    <font>
      <sz val="12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36"/>
      <color theme="1"/>
      <name val="Arial"/>
      <family val="2"/>
    </font>
    <font>
      <sz val="11"/>
      <color theme="1"/>
      <name val="Arial"/>
      <family val="2"/>
    </font>
    <font>
      <sz val="48"/>
      <color theme="1"/>
      <name val="Arial"/>
      <family val="2"/>
    </font>
    <font>
      <b/>
      <sz val="48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rgb="FF9C0006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980000"/>
      <name val="Arial"/>
      <family val="2"/>
    </font>
    <font>
      <b/>
      <sz val="13"/>
      <color theme="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  <scheme val="minor"/>
    </font>
    <font>
      <b/>
      <i/>
      <sz val="12"/>
      <name val="Arial"/>
      <family val="2"/>
    </font>
    <font>
      <b/>
      <i/>
      <u/>
      <sz val="12"/>
      <color theme="1"/>
      <name val="Arial"/>
      <family val="2"/>
    </font>
    <font>
      <b/>
      <sz val="12"/>
      <color theme="1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9"/>
        <bgColor theme="0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0"/>
      </patternFill>
    </fill>
    <fill>
      <patternFill patternType="solid">
        <fgColor theme="4"/>
        <bgColor theme="6"/>
      </patternFill>
    </fill>
    <fill>
      <patternFill patternType="solid">
        <fgColor rgb="FFFFFFFF"/>
        <bgColor auto="1"/>
      </patternFill>
    </fill>
    <fill>
      <patternFill patternType="solid">
        <fgColor theme="4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  <bgColor rgb="FF00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/>
    <xf numFmtId="0" fontId="17" fillId="0" borderId="0"/>
    <xf numFmtId="0" fontId="2" fillId="0" borderId="0"/>
    <xf numFmtId="0" fontId="34" fillId="0" borderId="0"/>
    <xf numFmtId="0" fontId="2" fillId="0" borderId="0"/>
    <xf numFmtId="0" fontId="1" fillId="0" borderId="0"/>
  </cellStyleXfs>
  <cellXfs count="233">
    <xf numFmtId="0" fontId="0" fillId="0" borderId="0" xfId="0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5" borderId="1" xfId="0" applyFont="1" applyFill="1" applyBorder="1"/>
    <xf numFmtId="0" fontId="9" fillId="0" borderId="1" xfId="0" applyFont="1" applyBorder="1"/>
    <xf numFmtId="1" fontId="10" fillId="8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2" fillId="5" borderId="1" xfId="0" applyFont="1" applyFill="1" applyBorder="1"/>
    <xf numFmtId="0" fontId="10" fillId="8" borderId="1" xfId="0" applyFont="1" applyFill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/>
    <xf numFmtId="0" fontId="12" fillId="9" borderId="1" xfId="0" applyFont="1" applyFill="1" applyBorder="1"/>
    <xf numFmtId="0" fontId="0" fillId="9" borderId="0" xfId="0" applyFill="1"/>
    <xf numFmtId="0" fontId="11" fillId="0" borderId="1" xfId="0" applyFont="1" applyBorder="1"/>
    <xf numFmtId="0" fontId="10" fillId="0" borderId="1" xfId="0" applyFont="1" applyBorder="1"/>
    <xf numFmtId="0" fontId="10" fillId="9" borderId="6" xfId="0" applyFont="1" applyFill="1" applyBorder="1"/>
    <xf numFmtId="0" fontId="10" fillId="10" borderId="1" xfId="0" applyFont="1" applyFill="1" applyBorder="1" applyAlignment="1">
      <alignment vertical="center"/>
    </xf>
    <xf numFmtId="164" fontId="10" fillId="8" borderId="7" xfId="0" applyNumberFormat="1" applyFont="1" applyFill="1" applyBorder="1" applyAlignment="1">
      <alignment horizontal="center" vertical="center"/>
    </xf>
    <xf numFmtId="1" fontId="15" fillId="8" borderId="7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5" fillId="6" borderId="7" xfId="0" applyNumberFormat="1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1" fontId="10" fillId="11" borderId="1" xfId="0" applyNumberFormat="1" applyFont="1" applyFill="1" applyBorder="1" applyAlignment="1">
      <alignment horizontal="center" vertical="center"/>
    </xf>
    <xf numFmtId="2" fontId="10" fillId="8" borderId="7" xfId="0" applyNumberFormat="1" applyFont="1" applyFill="1" applyBorder="1" applyAlignment="1">
      <alignment horizontal="center" vertical="center"/>
    </xf>
    <xf numFmtId="164" fontId="10" fillId="12" borderId="7" xfId="0" applyNumberFormat="1" applyFont="1" applyFill="1" applyBorder="1" applyAlignment="1">
      <alignment horizontal="center" vertical="center" wrapText="1"/>
    </xf>
    <xf numFmtId="1" fontId="15" fillId="12" borderId="7" xfId="0" applyNumberFormat="1" applyFon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/>
    </xf>
    <xf numFmtId="1" fontId="13" fillId="8" borderId="7" xfId="0" applyNumberFormat="1" applyFont="1" applyFill="1" applyBorder="1" applyAlignment="1">
      <alignment horizontal="center" vertical="center"/>
    </xf>
    <xf numFmtId="1" fontId="10" fillId="8" borderId="7" xfId="0" applyNumberFormat="1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 wrapText="1"/>
    </xf>
    <xf numFmtId="1" fontId="10" fillId="14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 wrapText="1"/>
    </xf>
    <xf numFmtId="0" fontId="18" fillId="12" borderId="7" xfId="0" applyFont="1" applyFill="1" applyBorder="1" applyAlignment="1">
      <alignment vertical="center" wrapText="1"/>
    </xf>
    <xf numFmtId="1" fontId="10" fillId="15" borderId="7" xfId="0" applyNumberFormat="1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10" fillId="8" borderId="2" xfId="0" applyFont="1" applyFill="1" applyBorder="1"/>
    <xf numFmtId="0" fontId="10" fillId="8" borderId="2" xfId="0" applyFont="1" applyFill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/>
    </xf>
    <xf numFmtId="164" fontId="10" fillId="14" borderId="7" xfId="0" applyNumberFormat="1" applyFont="1" applyFill="1" applyBorder="1" applyAlignment="1">
      <alignment horizontal="center" vertical="center" wrapText="1"/>
    </xf>
    <xf numFmtId="164" fontId="10" fillId="7" borderId="7" xfId="0" applyNumberFormat="1" applyFont="1" applyFill="1" applyBorder="1" applyAlignment="1">
      <alignment horizontal="center" vertical="center"/>
    </xf>
    <xf numFmtId="164" fontId="10" fillId="15" borderId="7" xfId="0" applyNumberFormat="1" applyFont="1" applyFill="1" applyBorder="1" applyAlignment="1">
      <alignment horizontal="center" vertical="center" wrapText="1"/>
    </xf>
    <xf numFmtId="164" fontId="10" fillId="14" borderId="7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64" fontId="10" fillId="14" borderId="7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10" fillId="8" borderId="15" xfId="0" applyFont="1" applyFill="1" applyBorder="1"/>
    <xf numFmtId="1" fontId="10" fillId="8" borderId="16" xfId="0" applyNumberFormat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0" fillId="6" borderId="2" xfId="0" applyFont="1" applyFill="1" applyBorder="1"/>
    <xf numFmtId="0" fontId="10" fillId="16" borderId="13" xfId="0" applyFont="1" applyFill="1" applyBorder="1" applyAlignment="1">
      <alignment horizontal="center" vertical="center"/>
    </xf>
    <xf numFmtId="1" fontId="10" fillId="16" borderId="7" xfId="0" applyNumberFormat="1" applyFont="1" applyFill="1" applyBorder="1" applyAlignment="1">
      <alignment horizontal="center" vertical="center" wrapText="1"/>
    </xf>
    <xf numFmtId="164" fontId="10" fillId="17" borderId="7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/>
    <xf numFmtId="0" fontId="10" fillId="18" borderId="5" xfId="0" applyFont="1" applyFill="1" applyBorder="1" applyAlignment="1">
      <alignment vertical="center"/>
    </xf>
    <xf numFmtId="0" fontId="10" fillId="19" borderId="2" xfId="0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7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0" fillId="18" borderId="14" xfId="0" applyFont="1" applyFill="1" applyBorder="1" applyAlignment="1">
      <alignment horizontal="center" vertical="center"/>
    </xf>
    <xf numFmtId="1" fontId="10" fillId="20" borderId="9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1" fontId="10" fillId="20" borderId="8" xfId="0" applyNumberFormat="1" applyFont="1" applyFill="1" applyBorder="1" applyAlignment="1">
      <alignment horizontal="center" vertical="center"/>
    </xf>
    <xf numFmtId="0" fontId="3" fillId="22" borderId="1" xfId="0" applyFont="1" applyFill="1" applyBorder="1"/>
    <xf numFmtId="0" fontId="4" fillId="22" borderId="1" xfId="0" applyFont="1" applyFill="1" applyBorder="1" applyAlignment="1">
      <alignment horizontal="left"/>
    </xf>
    <xf numFmtId="0" fontId="0" fillId="22" borderId="0" xfId="0" applyFill="1"/>
    <xf numFmtId="0" fontId="18" fillId="0" borderId="1" xfId="0" applyFont="1" applyBorder="1"/>
    <xf numFmtId="0" fontId="30" fillId="0" borderId="1" xfId="0" applyFont="1" applyBorder="1"/>
    <xf numFmtId="0" fontId="9" fillId="22" borderId="1" xfId="0" applyFont="1" applyFill="1" applyBorder="1"/>
    <xf numFmtId="0" fontId="12" fillId="22" borderId="1" xfId="0" applyFont="1" applyFill="1" applyBorder="1"/>
    <xf numFmtId="1" fontId="10" fillId="12" borderId="7" xfId="0" applyNumberFormat="1" applyFont="1" applyFill="1" applyBorder="1" applyAlignment="1">
      <alignment horizontal="center" vertical="center" wrapText="1"/>
    </xf>
    <xf numFmtId="1" fontId="10" fillId="12" borderId="7" xfId="0" applyNumberFormat="1" applyFont="1" applyFill="1" applyBorder="1" applyAlignment="1">
      <alignment horizontal="center" wrapText="1"/>
    </xf>
    <xf numFmtId="1" fontId="10" fillId="6" borderId="7" xfId="0" applyNumberFormat="1" applyFont="1" applyFill="1" applyBorder="1" applyAlignment="1">
      <alignment horizontal="center" vertical="center"/>
    </xf>
    <xf numFmtId="1" fontId="10" fillId="12" borderId="7" xfId="0" applyNumberFormat="1" applyFont="1" applyFill="1" applyBorder="1" applyAlignment="1">
      <alignment horizontal="right" vertical="center" wrapText="1"/>
    </xf>
    <xf numFmtId="1" fontId="10" fillId="15" borderId="7" xfId="0" applyNumberFormat="1" applyFont="1" applyFill="1" applyBorder="1" applyAlignment="1">
      <alignment horizontal="right" vertical="center" wrapText="1"/>
    </xf>
    <xf numFmtId="1" fontId="10" fillId="8" borderId="7" xfId="0" applyNumberFormat="1" applyFont="1" applyFill="1" applyBorder="1" applyAlignment="1">
      <alignment horizontal="right" vertical="center"/>
    </xf>
    <xf numFmtId="1" fontId="14" fillId="8" borderId="7" xfId="0" applyNumberFormat="1" applyFont="1" applyFill="1" applyBorder="1" applyAlignment="1">
      <alignment horizontal="right" vertical="center"/>
    </xf>
    <xf numFmtId="1" fontId="15" fillId="12" borderId="7" xfId="0" applyNumberFormat="1" applyFont="1" applyFill="1" applyBorder="1" applyAlignment="1">
      <alignment horizontal="right" vertical="center" wrapText="1"/>
    </xf>
    <xf numFmtId="0" fontId="11" fillId="22" borderId="1" xfId="0" applyFont="1" applyFill="1" applyBorder="1"/>
    <xf numFmtId="0" fontId="10" fillId="23" borderId="2" xfId="0" applyFont="1" applyFill="1" applyBorder="1"/>
    <xf numFmtId="1" fontId="10" fillId="22" borderId="7" xfId="0" applyNumberFormat="1" applyFont="1" applyFill="1" applyBorder="1" applyAlignment="1">
      <alignment horizontal="right" vertical="center" wrapText="1"/>
    </xf>
    <xf numFmtId="1" fontId="10" fillId="23" borderId="8" xfId="0" applyNumberFormat="1" applyFont="1" applyFill="1" applyBorder="1" applyAlignment="1">
      <alignment horizontal="center" vertical="center"/>
    </xf>
    <xf numFmtId="1" fontId="10" fillId="23" borderId="7" xfId="0" applyNumberFormat="1" applyFont="1" applyFill="1" applyBorder="1" applyAlignment="1">
      <alignment horizontal="right" vertical="center"/>
    </xf>
    <xf numFmtId="1" fontId="10" fillId="23" borderId="7" xfId="0" applyNumberFormat="1" applyFont="1" applyFill="1" applyBorder="1" applyAlignment="1">
      <alignment horizontal="center" vertical="center"/>
    </xf>
    <xf numFmtId="1" fontId="4" fillId="24" borderId="1" xfId="0" applyNumberFormat="1" applyFont="1" applyFill="1" applyBorder="1" applyAlignment="1">
      <alignment horizontal="center"/>
    </xf>
    <xf numFmtId="0" fontId="10" fillId="0" borderId="2" xfId="0" applyFont="1" applyBorder="1"/>
    <xf numFmtId="1" fontId="10" fillId="0" borderId="8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10" fillId="22" borderId="7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/>
    <xf numFmtId="0" fontId="4" fillId="9" borderId="1" xfId="0" applyFont="1" applyFill="1" applyBorder="1" applyAlignment="1">
      <alignment horizontal="left"/>
    </xf>
    <xf numFmtId="1" fontId="14" fillId="8" borderId="7" xfId="0" applyNumberFormat="1" applyFont="1" applyFill="1" applyBorder="1" applyAlignment="1">
      <alignment horizontal="center" vertical="center"/>
    </xf>
    <xf numFmtId="1" fontId="15" fillId="8" borderId="1" xfId="0" applyNumberFormat="1" applyFont="1" applyFill="1" applyBorder="1" applyAlignment="1">
      <alignment horizontal="center" vertical="center"/>
    </xf>
    <xf numFmtId="1" fontId="13" fillId="5" borderId="7" xfId="0" applyNumberFormat="1" applyFont="1" applyFill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1" fontId="28" fillId="21" borderId="7" xfId="0" applyNumberFormat="1" applyFont="1" applyFill="1" applyBorder="1" applyAlignment="1">
      <alignment horizontal="center" vertical="center" wrapText="1"/>
    </xf>
    <xf numFmtId="1" fontId="14" fillId="12" borderId="7" xfId="0" applyNumberFormat="1" applyFont="1" applyFill="1" applyBorder="1" applyAlignment="1">
      <alignment horizontal="center" vertical="center" wrapText="1"/>
    </xf>
    <xf numFmtId="1" fontId="31" fillId="21" borderId="7" xfId="0" applyNumberFormat="1" applyFont="1" applyFill="1" applyBorder="1" applyAlignment="1">
      <alignment horizontal="center" vertical="center" wrapText="1"/>
    </xf>
    <xf numFmtId="1" fontId="28" fillId="15" borderId="7" xfId="0" applyNumberFormat="1" applyFont="1" applyFill="1" applyBorder="1" applyAlignment="1">
      <alignment horizontal="center" vertical="center" wrapText="1"/>
    </xf>
    <xf numFmtId="1" fontId="32" fillId="8" borderId="7" xfId="0" applyNumberFormat="1" applyFont="1" applyFill="1" applyBorder="1" applyAlignment="1">
      <alignment horizontal="center" vertical="center"/>
    </xf>
    <xf numFmtId="1" fontId="32" fillId="23" borderId="7" xfId="0" applyNumberFormat="1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1" fontId="10" fillId="23" borderId="1" xfId="0" applyNumberFormat="1" applyFont="1" applyFill="1" applyBorder="1" applyAlignment="1">
      <alignment horizontal="center" vertical="center"/>
    </xf>
    <xf numFmtId="1" fontId="31" fillId="22" borderId="7" xfId="0" applyNumberFormat="1" applyFont="1" applyFill="1" applyBorder="1" applyAlignment="1">
      <alignment horizontal="center" vertical="center" wrapText="1"/>
    </xf>
    <xf numFmtId="0" fontId="10" fillId="22" borderId="2" xfId="0" applyFont="1" applyFill="1" applyBorder="1"/>
    <xf numFmtId="1" fontId="10" fillId="7" borderId="5" xfId="0" applyNumberFormat="1" applyFont="1" applyFill="1" applyBorder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1" fontId="14" fillId="4" borderId="5" xfId="0" applyNumberFormat="1" applyFont="1" applyFill="1" applyBorder="1" applyAlignment="1">
      <alignment horizontal="center" vertical="center"/>
    </xf>
    <xf numFmtId="1" fontId="13" fillId="25" borderId="1" xfId="0" applyNumberFormat="1" applyFont="1" applyFill="1" applyBorder="1" applyAlignment="1">
      <alignment horizontal="center" vertical="center"/>
    </xf>
    <xf numFmtId="1" fontId="33" fillId="14" borderId="7" xfId="0" applyNumberFormat="1" applyFont="1" applyFill="1" applyBorder="1" applyAlignment="1">
      <alignment horizontal="center" vertical="center"/>
    </xf>
    <xf numFmtId="1" fontId="10" fillId="14" borderId="7" xfId="2" applyNumberFormat="1" applyFont="1" applyFill="1" applyBorder="1" applyAlignment="1">
      <alignment horizontal="center" vertical="center"/>
    </xf>
    <xf numFmtId="1" fontId="14" fillId="14" borderId="7" xfId="0" applyNumberFormat="1" applyFont="1" applyFill="1" applyBorder="1" applyAlignment="1">
      <alignment horizontal="center" vertical="center"/>
    </xf>
    <xf numFmtId="1" fontId="14" fillId="14" borderId="7" xfId="2" applyNumberFormat="1" applyFont="1" applyFill="1" applyBorder="1" applyAlignment="1">
      <alignment horizontal="center" vertical="center"/>
    </xf>
    <xf numFmtId="1" fontId="14" fillId="15" borderId="7" xfId="2" applyNumberFormat="1" applyFont="1" applyFill="1" applyBorder="1" applyAlignment="1">
      <alignment horizontal="center" vertical="center"/>
    </xf>
    <xf numFmtId="1" fontId="10" fillId="15" borderId="7" xfId="2" applyNumberFormat="1" applyFont="1" applyFill="1" applyBorder="1" applyAlignment="1">
      <alignment horizontal="center" vertical="center"/>
    </xf>
    <xf numFmtId="1" fontId="10" fillId="14" borderId="7" xfId="0" applyNumberFormat="1" applyFont="1" applyFill="1" applyBorder="1" applyAlignment="1">
      <alignment horizontal="center" vertical="center"/>
    </xf>
    <xf numFmtId="1" fontId="14" fillId="23" borderId="1" xfId="0" applyNumberFormat="1" applyFont="1" applyFill="1" applyBorder="1" applyAlignment="1">
      <alignment horizontal="center" vertical="center"/>
    </xf>
    <xf numFmtId="0" fontId="33" fillId="14" borderId="7" xfId="3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1" fontId="14" fillId="15" borderId="7" xfId="0" applyNumberFormat="1" applyFont="1" applyFill="1" applyBorder="1" applyAlignment="1">
      <alignment horizontal="center" vertical="center"/>
    </xf>
    <xf numFmtId="1" fontId="35" fillId="14" borderId="7" xfId="0" applyNumberFormat="1" applyFont="1" applyFill="1" applyBorder="1" applyAlignment="1">
      <alignment horizontal="center" vertical="center"/>
    </xf>
    <xf numFmtId="1" fontId="33" fillId="12" borderId="7" xfId="0" applyNumberFormat="1" applyFont="1" applyFill="1" applyBorder="1" applyAlignment="1">
      <alignment horizontal="center" vertical="center"/>
    </xf>
    <xf numFmtId="1" fontId="13" fillId="12" borderId="7" xfId="0" applyNumberFormat="1" applyFont="1" applyFill="1" applyBorder="1" applyAlignment="1">
      <alignment horizontal="center" vertical="center"/>
    </xf>
    <xf numFmtId="1" fontId="10" fillId="14" borderId="4" xfId="0" applyNumberFormat="1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1" fontId="13" fillId="12" borderId="4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1" fontId="10" fillId="14" borderId="7" xfId="4" applyNumberFormat="1" applyFont="1" applyFill="1" applyBorder="1" applyAlignment="1">
      <alignment horizontal="center" vertical="center"/>
    </xf>
    <xf numFmtId="1" fontId="35" fillId="14" borderId="1" xfId="0" applyNumberFormat="1" applyFont="1" applyFill="1" applyBorder="1" applyAlignment="1">
      <alignment horizontal="center" vertical="center"/>
    </xf>
    <xf numFmtId="1" fontId="33" fillId="14" borderId="1" xfId="0" applyNumberFormat="1" applyFont="1" applyFill="1" applyBorder="1" applyAlignment="1">
      <alignment horizontal="center" vertical="center"/>
    </xf>
    <xf numFmtId="164" fontId="35" fillId="14" borderId="7" xfId="0" applyNumberFormat="1" applyFont="1" applyFill="1" applyBorder="1" applyAlignment="1">
      <alignment horizontal="center" vertical="center"/>
    </xf>
    <xf numFmtId="164" fontId="13" fillId="25" borderId="1" xfId="0" applyNumberFormat="1" applyFont="1" applyFill="1" applyBorder="1" applyAlignment="1">
      <alignment horizontal="center" vertical="center"/>
    </xf>
    <xf numFmtId="1" fontId="35" fillId="15" borderId="7" xfId="0" applyNumberFormat="1" applyFont="1" applyFill="1" applyBorder="1" applyAlignment="1">
      <alignment horizontal="center" vertical="center"/>
    </xf>
    <xf numFmtId="1" fontId="33" fillId="12" borderId="1" xfId="0" applyNumberFormat="1" applyFont="1" applyFill="1" applyBorder="1" applyAlignment="1">
      <alignment horizontal="center" vertical="center"/>
    </xf>
    <xf numFmtId="1" fontId="33" fillId="14" borderId="1" xfId="4" applyNumberFormat="1" applyFont="1" applyFill="1" applyBorder="1" applyAlignment="1">
      <alignment horizontal="center" vertical="center"/>
    </xf>
    <xf numFmtId="1" fontId="14" fillId="14" borderId="7" xfId="4" applyNumberFormat="1" applyFont="1" applyFill="1" applyBorder="1" applyAlignment="1">
      <alignment horizontal="center" vertical="center"/>
    </xf>
    <xf numFmtId="1" fontId="10" fillId="14" borderId="7" xfId="5" applyNumberFormat="1" applyFont="1" applyFill="1" applyBorder="1" applyAlignment="1">
      <alignment horizontal="center" vertical="center"/>
    </xf>
    <xf numFmtId="1" fontId="14" fillId="15" borderId="7" xfId="5" applyNumberFormat="1" applyFont="1" applyFill="1" applyBorder="1" applyAlignment="1">
      <alignment horizontal="center" vertical="center"/>
    </xf>
    <xf numFmtId="1" fontId="15" fillId="14" borderId="7" xfId="5" applyNumberFormat="1" applyFont="1" applyFill="1" applyBorder="1" applyAlignment="1">
      <alignment horizontal="center" vertical="center"/>
    </xf>
    <xf numFmtId="1" fontId="14" fillId="14" borderId="7" xfId="5" applyNumberFormat="1" applyFont="1" applyFill="1" applyBorder="1" applyAlignment="1">
      <alignment horizontal="center" vertical="center"/>
    </xf>
    <xf numFmtId="1" fontId="15" fillId="14" borderId="7" xfId="0" applyNumberFormat="1" applyFont="1" applyFill="1" applyBorder="1" applyAlignment="1">
      <alignment horizontal="center" vertical="center"/>
    </xf>
    <xf numFmtId="1" fontId="10" fillId="14" borderId="9" xfId="0" applyNumberFormat="1" applyFont="1" applyFill="1" applyBorder="1" applyAlignment="1">
      <alignment horizontal="center" vertical="center"/>
    </xf>
    <xf numFmtId="1" fontId="33" fillId="11" borderId="7" xfId="3" applyNumberFormat="1" applyFont="1" applyFill="1" applyBorder="1" applyAlignment="1">
      <alignment horizontal="center" vertical="center"/>
    </xf>
    <xf numFmtId="1" fontId="10" fillId="22" borderId="9" xfId="0" applyNumberFormat="1" applyFont="1" applyFill="1" applyBorder="1" applyAlignment="1">
      <alignment horizontal="center" vertical="center"/>
    </xf>
    <xf numFmtId="1" fontId="13" fillId="26" borderId="1" xfId="0" applyNumberFormat="1" applyFont="1" applyFill="1" applyBorder="1" applyAlignment="1">
      <alignment horizontal="center" vertical="center"/>
    </xf>
    <xf numFmtId="1" fontId="10" fillId="22" borderId="7" xfId="0" applyNumberFormat="1" applyFont="1" applyFill="1" applyBorder="1" applyAlignment="1">
      <alignment horizontal="center" vertical="center"/>
    </xf>
    <xf numFmtId="1" fontId="35" fillId="15" borderId="7" xfId="3" applyNumberFormat="1" applyFont="1" applyFill="1" applyBorder="1" applyAlignment="1">
      <alignment horizontal="center" vertical="center"/>
    </xf>
    <xf numFmtId="1" fontId="33" fillId="14" borderId="9" xfId="0" applyNumberFormat="1" applyFont="1" applyFill="1" applyBorder="1" applyAlignment="1">
      <alignment horizontal="center" vertical="center"/>
    </xf>
    <xf numFmtId="1" fontId="35" fillId="14" borderId="9" xfId="0" applyNumberFormat="1" applyFont="1" applyFill="1" applyBorder="1" applyAlignment="1">
      <alignment horizontal="center" vertical="center"/>
    </xf>
    <xf numFmtId="1" fontId="35" fillId="15" borderId="9" xfId="0" applyNumberFormat="1" applyFont="1" applyFill="1" applyBorder="1" applyAlignment="1">
      <alignment horizontal="center" vertical="center"/>
    </xf>
    <xf numFmtId="1" fontId="33" fillId="27" borderId="7" xfId="0" applyNumberFormat="1" applyFont="1" applyFill="1" applyBorder="1" applyAlignment="1">
      <alignment horizontal="center" vertical="center"/>
    </xf>
    <xf numFmtId="1" fontId="13" fillId="12" borderId="7" xfId="0" applyNumberFormat="1" applyFont="1" applyFill="1" applyBorder="1" applyAlignment="1">
      <alignment vertical="center"/>
    </xf>
    <xf numFmtId="1" fontId="10" fillId="14" borderId="7" xfId="0" applyNumberFormat="1" applyFont="1" applyFill="1" applyBorder="1" applyAlignment="1">
      <alignment vertical="center"/>
    </xf>
    <xf numFmtId="1" fontId="14" fillId="0" borderId="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1" fontId="13" fillId="25" borderId="7" xfId="0" applyNumberFormat="1" applyFont="1" applyFill="1" applyBorder="1" applyAlignment="1">
      <alignment horizontal="center" vertical="center"/>
    </xf>
    <xf numFmtId="164" fontId="13" fillId="25" borderId="6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vertical="center"/>
    </xf>
    <xf numFmtId="1" fontId="33" fillId="14" borderId="7" xfId="0" applyNumberFormat="1" applyFont="1" applyFill="1" applyBorder="1" applyAlignment="1" applyProtection="1">
      <alignment horizontal="right" vertical="center"/>
      <protection hidden="1"/>
    </xf>
    <xf numFmtId="1" fontId="35" fillId="14" borderId="7" xfId="0" applyNumberFormat="1" applyFont="1" applyFill="1" applyBorder="1" applyAlignment="1" applyProtection="1">
      <alignment horizontal="right" vertical="center"/>
      <protection hidden="1"/>
    </xf>
    <xf numFmtId="1" fontId="33" fillId="14" borderId="18" xfId="0" applyNumberFormat="1" applyFont="1" applyFill="1" applyBorder="1" applyAlignment="1" applyProtection="1">
      <alignment horizontal="right" vertical="center"/>
      <protection hidden="1"/>
    </xf>
    <xf numFmtId="1" fontId="33" fillId="27" borderId="18" xfId="0" applyNumberFormat="1" applyFont="1" applyFill="1" applyBorder="1" applyAlignment="1">
      <alignment horizontal="center" vertical="center"/>
    </xf>
    <xf numFmtId="1" fontId="33" fillId="15" borderId="7" xfId="0" applyNumberFormat="1" applyFont="1" applyFill="1" applyBorder="1" applyAlignment="1" applyProtection="1">
      <alignment horizontal="right" vertical="center"/>
      <protection hidden="1"/>
    </xf>
    <xf numFmtId="1" fontId="35" fillId="15" borderId="7" xfId="0" applyNumberFormat="1" applyFont="1" applyFill="1" applyBorder="1" applyAlignment="1" applyProtection="1">
      <alignment horizontal="right" vertical="center"/>
      <protection hidden="1"/>
    </xf>
    <xf numFmtId="1" fontId="14" fillId="15" borderId="7" xfId="4" applyNumberFormat="1" applyFont="1" applyFill="1" applyBorder="1" applyAlignment="1">
      <alignment horizontal="center" vertical="center"/>
    </xf>
    <xf numFmtId="1" fontId="36" fillId="14" borderId="7" xfId="4" applyNumberFormat="1" applyFont="1" applyFill="1" applyBorder="1" applyAlignment="1">
      <alignment horizontal="center" vertical="center"/>
    </xf>
    <xf numFmtId="1" fontId="14" fillId="15" borderId="18" xfId="4" applyNumberFormat="1" applyFont="1" applyFill="1" applyBorder="1" applyAlignment="1">
      <alignment horizontal="center" vertical="center"/>
    </xf>
    <xf numFmtId="1" fontId="33" fillId="12" borderId="18" xfId="0" applyNumberFormat="1" applyFont="1" applyFill="1" applyBorder="1" applyAlignment="1">
      <alignment horizontal="center" vertical="center"/>
    </xf>
    <xf numFmtId="1" fontId="13" fillId="12" borderId="18" xfId="0" applyNumberFormat="1" applyFont="1" applyFill="1" applyBorder="1" applyAlignment="1">
      <alignment horizontal="center" vertical="center"/>
    </xf>
    <xf numFmtId="164" fontId="10" fillId="14" borderId="7" xfId="4" applyNumberFormat="1" applyFont="1" applyFill="1" applyBorder="1" applyAlignment="1">
      <alignment horizontal="center" vertical="center"/>
    </xf>
    <xf numFmtId="164" fontId="10" fillId="14" borderId="18" xfId="4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0" fillId="13" borderId="10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1" fontId="10" fillId="8" borderId="2" xfId="0" applyNumberFormat="1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/>
    </xf>
    <xf numFmtId="1" fontId="14" fillId="8" borderId="2" xfId="0" applyNumberFormat="1" applyFont="1" applyFill="1" applyBorder="1" applyAlignment="1">
      <alignment horizontal="center" vertical="center"/>
    </xf>
    <xf numFmtId="164" fontId="10" fillId="8" borderId="19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right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0" fillId="0" borderId="0" xfId="0" applyFill="1"/>
    <xf numFmtId="0" fontId="10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10" fillId="0" borderId="2" xfId="0" applyFont="1" applyFill="1" applyBorder="1"/>
    <xf numFmtId="0" fontId="29" fillId="0" borderId="0" xfId="0" applyFont="1" applyFill="1"/>
    <xf numFmtId="0" fontId="10" fillId="0" borderId="1" xfId="0" applyFont="1" applyBorder="1" applyAlignment="1">
      <alignment horizontal="right"/>
    </xf>
    <xf numFmtId="0" fontId="37" fillId="0" borderId="1" xfId="0" applyFont="1" applyBorder="1"/>
  </cellXfs>
  <cellStyles count="6">
    <cellStyle name="Normal" xfId="0" builtinId="0"/>
    <cellStyle name="Normal 2" xfId="1" xr:uid="{123A30C7-E8AA-4FE9-BED6-D3E51A20C5E1}"/>
    <cellStyle name="Normal 2 2 2 2" xfId="5" xr:uid="{5E4BFF88-73C8-4123-86A1-E0C56B72AE55}"/>
    <cellStyle name="Normal 2 2 2 2 2 2" xfId="4" xr:uid="{10698B97-F113-489F-8D08-66151A6F631D}"/>
    <cellStyle name="Normal 3" xfId="3" xr:uid="{1D453C99-98D9-4CFC-A43D-05092947D4B3}"/>
    <cellStyle name="Normal 6 2 2 2" xfId="2" xr:uid="{1B093A06-0059-47EF-9B10-47220E4B1DBA}"/>
  </cellStyles>
  <dxfs count="380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800080"/>
          <bgColor rgb="FF800080"/>
        </patternFill>
      </fill>
    </dxf>
    <dxf>
      <font>
        <color rgb="FF9C0006"/>
      </font>
      <fill>
        <patternFill patternType="solid">
          <fgColor rgb="FF800080"/>
          <bgColor rgb="FF800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800080"/>
          <bgColor rgb="FF800080"/>
        </patternFill>
      </fill>
    </dxf>
    <dxf>
      <font>
        <color rgb="FF9C0006"/>
      </font>
      <fill>
        <patternFill patternType="solid">
          <fgColor rgb="FF800080"/>
          <bgColor rgb="FF800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indexed="19"/>
          <bgColor indexed="2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1"/>
  <sheetViews>
    <sheetView tabSelected="1" topLeftCell="C1" workbookViewId="0">
      <selection activeCell="D3" sqref="D3:E11"/>
    </sheetView>
  </sheetViews>
  <sheetFormatPr baseColWidth="10" defaultColWidth="12.5703125" defaultRowHeight="15.75" customHeight="1" x14ac:dyDescent="0.2"/>
  <cols>
    <col min="1" max="1" width="9.85546875" customWidth="1"/>
    <col min="2" max="2" width="40.8554687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5" max="39" width="3.140625" customWidth="1"/>
  </cols>
  <sheetData>
    <row r="1" spans="1:39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888</v>
      </c>
      <c r="O1" s="195"/>
      <c r="P1" s="195"/>
      <c r="Q1" s="196"/>
      <c r="R1" s="194" t="s">
        <v>1</v>
      </c>
      <c r="S1" s="195"/>
      <c r="T1" s="195"/>
      <c r="U1" s="196"/>
      <c r="V1" s="194" t="s">
        <v>0</v>
      </c>
      <c r="W1" s="195"/>
      <c r="X1" s="195"/>
      <c r="Y1" s="196"/>
      <c r="Z1" s="194" t="s">
        <v>873</v>
      </c>
      <c r="AA1" s="195"/>
      <c r="AB1" s="195"/>
      <c r="AC1" s="196"/>
      <c r="AD1" s="194" t="s">
        <v>874</v>
      </c>
      <c r="AE1" s="195"/>
      <c r="AF1" s="195"/>
      <c r="AG1" s="196"/>
      <c r="AH1" s="71" t="s">
        <v>2</v>
      </c>
      <c r="AI1" s="2"/>
      <c r="AJ1" s="2"/>
      <c r="AK1" s="2"/>
      <c r="AL1" s="3"/>
      <c r="AM1" s="3"/>
    </row>
    <row r="2" spans="1:39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1" t="s">
        <v>12</v>
      </c>
      <c r="AI2" s="4"/>
      <c r="AJ2" s="4"/>
      <c r="AK2" s="4"/>
      <c r="AL2" s="4"/>
      <c r="AM2" s="4"/>
    </row>
    <row r="3" spans="1:39" ht="15.75" customHeight="1" x14ac:dyDescent="0.25">
      <c r="A3" s="1" t="s">
        <v>29</v>
      </c>
      <c r="B3" s="8" t="s">
        <v>30</v>
      </c>
      <c r="C3" s="1" t="s">
        <v>15</v>
      </c>
      <c r="D3" s="232">
        <v>1</v>
      </c>
      <c r="E3" s="232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9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64">
        <f>AVERAGE(I3,M3,Q3,U3,Y3,AC3,AG3)</f>
        <v>0</v>
      </c>
      <c r="AI3" s="6"/>
      <c r="AJ3" s="6"/>
      <c r="AK3" s="7"/>
      <c r="AL3" s="6"/>
      <c r="AM3" s="7"/>
    </row>
    <row r="4" spans="1:39" ht="15.75" customHeight="1" x14ac:dyDescent="0.25">
      <c r="A4" s="1" t="s">
        <v>17</v>
      </c>
      <c r="B4" s="5" t="s">
        <v>18</v>
      </c>
      <c r="C4" s="1" t="s">
        <v>15</v>
      </c>
      <c r="D4" s="232">
        <v>1</v>
      </c>
      <c r="E4" s="232" t="s">
        <v>16</v>
      </c>
      <c r="F4" s="132">
        <v>0</v>
      </c>
      <c r="G4" s="132">
        <v>0</v>
      </c>
      <c r="H4" s="132">
        <v>0</v>
      </c>
      <c r="I4" s="84">
        <f t="shared" ref="I4:I9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9" si="2">AVERAGE(N4:P4)</f>
        <v>0</v>
      </c>
      <c r="R4" s="132">
        <v>0</v>
      </c>
      <c r="S4" s="132">
        <v>0</v>
      </c>
      <c r="T4" s="132">
        <v>0</v>
      </c>
      <c r="U4" s="84">
        <f t="shared" ref="U4:U9" si="3">AVERAGE(R4:T4)</f>
        <v>0</v>
      </c>
      <c r="V4" s="132">
        <v>0</v>
      </c>
      <c r="W4" s="132">
        <v>0</v>
      </c>
      <c r="X4" s="132">
        <v>0</v>
      </c>
      <c r="Y4" s="84">
        <f t="shared" ref="Y4:Y9" si="4">AVERAGE(V4:X4)</f>
        <v>0</v>
      </c>
      <c r="Z4" s="132">
        <v>0</v>
      </c>
      <c r="AA4" s="132">
        <v>0</v>
      </c>
      <c r="AB4" s="132">
        <v>0</v>
      </c>
      <c r="AC4" s="84">
        <f t="shared" ref="AC4:AC9" si="5">AVERAGE(Z4:AB4)</f>
        <v>0</v>
      </c>
      <c r="AD4" s="132">
        <v>0</v>
      </c>
      <c r="AE4" s="132">
        <v>0</v>
      </c>
      <c r="AF4" s="132">
        <v>0</v>
      </c>
      <c r="AG4" s="84">
        <f t="shared" ref="AG4:AG9" si="6">AVERAGE(AD4:AF4)</f>
        <v>0</v>
      </c>
      <c r="AH4" s="64">
        <f t="shared" ref="AH4:AH9" si="7">AVERAGE(I4,M4,Q4,U4,Y4,AC4,AG4)</f>
        <v>0</v>
      </c>
      <c r="AI4" s="7"/>
      <c r="AJ4" s="7"/>
      <c r="AK4" s="7"/>
      <c r="AL4" s="9"/>
      <c r="AM4" s="7"/>
    </row>
    <row r="5" spans="1:39" ht="15.75" customHeight="1" x14ac:dyDescent="0.25">
      <c r="A5" s="1" t="s">
        <v>31</v>
      </c>
      <c r="B5" s="8" t="s">
        <v>32</v>
      </c>
      <c r="C5" s="1" t="s">
        <v>15</v>
      </c>
      <c r="D5" s="232">
        <v>1</v>
      </c>
      <c r="E5" s="232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64">
        <f t="shared" si="7"/>
        <v>0</v>
      </c>
      <c r="AI5" s="7"/>
      <c r="AJ5" s="7"/>
      <c r="AK5" s="7"/>
      <c r="AL5" s="9"/>
      <c r="AM5" s="7"/>
    </row>
    <row r="6" spans="1:39" ht="15.75" customHeight="1" x14ac:dyDescent="0.25">
      <c r="A6" s="1" t="s">
        <v>21</v>
      </c>
      <c r="B6" s="8" t="s">
        <v>22</v>
      </c>
      <c r="C6" s="1" t="s">
        <v>15</v>
      </c>
      <c r="D6" s="232">
        <v>1</v>
      </c>
      <c r="E6" s="232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64">
        <f t="shared" si="7"/>
        <v>0</v>
      </c>
      <c r="AI6" s="10"/>
      <c r="AJ6" s="10"/>
      <c r="AK6" s="6"/>
      <c r="AL6" s="6"/>
      <c r="AM6" s="7"/>
    </row>
    <row r="7" spans="1:39" ht="15.75" customHeight="1" x14ac:dyDescent="0.25">
      <c r="A7" s="1" t="s">
        <v>25</v>
      </c>
      <c r="B7" s="5" t="s">
        <v>26</v>
      </c>
      <c r="C7" s="1" t="s">
        <v>15</v>
      </c>
      <c r="D7" s="232">
        <v>1</v>
      </c>
      <c r="E7" s="232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64">
        <f t="shared" si="7"/>
        <v>0</v>
      </c>
      <c r="AI7" s="7"/>
      <c r="AJ7" s="7"/>
      <c r="AK7" s="6"/>
      <c r="AL7" s="6"/>
      <c r="AM7" s="7"/>
    </row>
    <row r="8" spans="1:39" ht="15.75" customHeight="1" x14ac:dyDescent="0.25">
      <c r="A8" s="1" t="s">
        <v>13</v>
      </c>
      <c r="B8" s="5" t="s">
        <v>14</v>
      </c>
      <c r="C8" s="1" t="s">
        <v>15</v>
      </c>
      <c r="D8" s="232">
        <v>1</v>
      </c>
      <c r="E8" s="232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64">
        <f t="shared" si="7"/>
        <v>0</v>
      </c>
      <c r="AI8" s="6"/>
      <c r="AJ8" s="6"/>
      <c r="AK8" s="11"/>
      <c r="AL8" s="9"/>
      <c r="AM8" s="7"/>
    </row>
    <row r="9" spans="1:39" ht="15.75" customHeight="1" x14ac:dyDescent="0.25">
      <c r="A9" s="1" t="s">
        <v>23</v>
      </c>
      <c r="B9" s="5" t="s">
        <v>24</v>
      </c>
      <c r="C9" s="1" t="s">
        <v>15</v>
      </c>
      <c r="D9" s="232">
        <v>1</v>
      </c>
      <c r="E9" s="232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64">
        <f t="shared" si="7"/>
        <v>0</v>
      </c>
      <c r="AI9" s="9"/>
      <c r="AJ9" s="9"/>
      <c r="AK9" s="6"/>
      <c r="AL9" s="6"/>
      <c r="AM9" s="7"/>
    </row>
    <row r="10" spans="1:39" ht="15.75" customHeight="1" x14ac:dyDescent="0.25">
      <c r="A10" s="1" t="s">
        <v>27</v>
      </c>
      <c r="B10" s="8" t="s">
        <v>28</v>
      </c>
      <c r="C10" s="1" t="s">
        <v>15</v>
      </c>
      <c r="D10" s="232">
        <v>1</v>
      </c>
      <c r="E10" s="232" t="s">
        <v>16</v>
      </c>
      <c r="F10" s="132">
        <v>0</v>
      </c>
      <c r="G10" s="132">
        <v>0</v>
      </c>
      <c r="H10" s="132">
        <v>0</v>
      </c>
      <c r="I10" s="84">
        <f t="shared" ref="I10:I11" si="8">AVERAGE(F10:H10)</f>
        <v>0</v>
      </c>
      <c r="J10" s="132">
        <v>0</v>
      </c>
      <c r="K10" s="132">
        <v>0</v>
      </c>
      <c r="L10" s="132">
        <v>0</v>
      </c>
      <c r="M10" s="84">
        <f t="shared" ref="M10:M11" si="9">AVERAGE(J10:L10)</f>
        <v>0</v>
      </c>
      <c r="N10" s="132">
        <v>0</v>
      </c>
      <c r="O10" s="132">
        <v>0</v>
      </c>
      <c r="P10" s="132">
        <v>0</v>
      </c>
      <c r="Q10" s="84">
        <f t="shared" ref="Q10:Q11" si="10">AVERAGE(N10:P10)</f>
        <v>0</v>
      </c>
      <c r="R10" s="132">
        <v>0</v>
      </c>
      <c r="S10" s="132">
        <v>0</v>
      </c>
      <c r="T10" s="132">
        <v>0</v>
      </c>
      <c r="U10" s="84">
        <f t="shared" ref="U10:U11" si="11">AVERAGE(R10:T10)</f>
        <v>0</v>
      </c>
      <c r="V10" s="132">
        <v>0</v>
      </c>
      <c r="W10" s="132">
        <v>0</v>
      </c>
      <c r="X10" s="132">
        <v>0</v>
      </c>
      <c r="Y10" s="84">
        <f t="shared" ref="Y10:Y11" si="12">AVERAGE(V10:X10)</f>
        <v>0</v>
      </c>
      <c r="Z10" s="132">
        <v>0</v>
      </c>
      <c r="AA10" s="132">
        <v>0</v>
      </c>
      <c r="AB10" s="132">
        <v>0</v>
      </c>
      <c r="AC10" s="84">
        <f t="shared" ref="AC10:AC11" si="13">AVERAGE(Z10:AB10)</f>
        <v>0</v>
      </c>
      <c r="AD10" s="132">
        <v>0</v>
      </c>
      <c r="AE10" s="132">
        <v>0</v>
      </c>
      <c r="AF10" s="132">
        <v>0</v>
      </c>
      <c r="AG10" s="84">
        <f t="shared" ref="AG10:AG11" si="14">AVERAGE(AD10:AF10)</f>
        <v>0</v>
      </c>
      <c r="AH10" s="64">
        <f t="shared" ref="AH10:AH11" si="15">AVERAGE(I10,M10,Q10,U10,Y10,AC10,AG10)</f>
        <v>0</v>
      </c>
      <c r="AI10" s="9"/>
      <c r="AJ10" s="6"/>
      <c r="AK10" s="6"/>
      <c r="AL10" s="11"/>
      <c r="AM10" s="7"/>
    </row>
    <row r="11" spans="1:39" ht="15.75" customHeight="1" x14ac:dyDescent="0.25">
      <c r="A11" s="1" t="s">
        <v>19</v>
      </c>
      <c r="B11" s="8" t="s">
        <v>20</v>
      </c>
      <c r="C11" s="1" t="s">
        <v>15</v>
      </c>
      <c r="D11" s="232">
        <v>1</v>
      </c>
      <c r="E11" s="232" t="s">
        <v>16</v>
      </c>
      <c r="F11" s="132">
        <v>0</v>
      </c>
      <c r="G11" s="132">
        <v>0</v>
      </c>
      <c r="H11" s="132">
        <v>0</v>
      </c>
      <c r="I11" s="84">
        <f t="shared" si="8"/>
        <v>0</v>
      </c>
      <c r="J11" s="132">
        <v>0</v>
      </c>
      <c r="K11" s="132">
        <v>0</v>
      </c>
      <c r="L11" s="132">
        <v>0</v>
      </c>
      <c r="M11" s="84">
        <f t="shared" si="9"/>
        <v>0</v>
      </c>
      <c r="N11" s="132">
        <v>0</v>
      </c>
      <c r="O11" s="132">
        <v>0</v>
      </c>
      <c r="P11" s="132">
        <v>0</v>
      </c>
      <c r="Q11" s="84">
        <f t="shared" si="10"/>
        <v>0</v>
      </c>
      <c r="R11" s="132">
        <v>0</v>
      </c>
      <c r="S11" s="132">
        <v>0</v>
      </c>
      <c r="T11" s="132">
        <v>0</v>
      </c>
      <c r="U11" s="84">
        <f t="shared" si="11"/>
        <v>0</v>
      </c>
      <c r="V11" s="132">
        <v>0</v>
      </c>
      <c r="W11" s="132">
        <v>0</v>
      </c>
      <c r="X11" s="132">
        <v>0</v>
      </c>
      <c r="Y11" s="84">
        <f t="shared" si="12"/>
        <v>0</v>
      </c>
      <c r="Z11" s="132">
        <v>0</v>
      </c>
      <c r="AA11" s="132">
        <v>0</v>
      </c>
      <c r="AB11" s="132">
        <v>0</v>
      </c>
      <c r="AC11" s="84">
        <f t="shared" si="13"/>
        <v>0</v>
      </c>
      <c r="AD11" s="132">
        <v>0</v>
      </c>
      <c r="AE11" s="132">
        <v>0</v>
      </c>
      <c r="AF11" s="132">
        <v>0</v>
      </c>
      <c r="AG11" s="84">
        <f t="shared" si="14"/>
        <v>0</v>
      </c>
      <c r="AH11" s="64">
        <f t="shared" si="15"/>
        <v>0</v>
      </c>
      <c r="AI11" s="9"/>
      <c r="AJ11" s="7"/>
      <c r="AK11" s="7"/>
      <c r="AL11" s="9"/>
      <c r="AM11" s="7"/>
    </row>
  </sheetData>
  <sortState xmlns:xlrd2="http://schemas.microsoft.com/office/spreadsheetml/2017/richdata2" ref="A3:B11">
    <sortCondition ref="A3:A11"/>
  </sortState>
  <mergeCells count="7">
    <mergeCell ref="Z1:AC1"/>
    <mergeCell ref="AD1:AG1"/>
    <mergeCell ref="F1:I1"/>
    <mergeCell ref="J1:M1"/>
    <mergeCell ref="N1:Q1"/>
    <mergeCell ref="R1:U1"/>
    <mergeCell ref="V1:Y1"/>
  </mergeCells>
  <conditionalFormatting sqref="F3:H11">
    <cfRule type="cellIs" dxfId="3800" priority="19" operator="lessThan">
      <formula>7.9</formula>
    </cfRule>
  </conditionalFormatting>
  <conditionalFormatting sqref="F3:H11">
    <cfRule type="cellIs" dxfId="3799" priority="20" operator="lessThan">
      <formula>7.4</formula>
    </cfRule>
  </conditionalFormatting>
  <conditionalFormatting sqref="F5:H6">
    <cfRule type="cellIs" dxfId="3798" priority="21" operator="lessThan">
      <formula>6.9</formula>
    </cfRule>
  </conditionalFormatting>
  <conditionalFormatting sqref="I3:I11">
    <cfRule type="cellIs" dxfId="3797" priority="22" operator="lessThan">
      <formula>7.9</formula>
    </cfRule>
    <cfRule type="cellIs" dxfId="3796" priority="31" operator="lessThan">
      <formula>6.9</formula>
    </cfRule>
    <cfRule type="cellIs" dxfId="3795" priority="32" operator="lessThan">
      <formula>7.4</formula>
    </cfRule>
    <cfRule type="cellIs" dxfId="3794" priority="33" operator="lessThan">
      <formula>7.9</formula>
    </cfRule>
  </conditionalFormatting>
  <conditionalFormatting sqref="I3:I11">
    <cfRule type="cellIs" dxfId="3793" priority="23" operator="lessThan">
      <formula>6.9</formula>
    </cfRule>
    <cfRule type="cellIs" dxfId="3792" priority="24" operator="lessThan">
      <formula>7.4</formula>
    </cfRule>
    <cfRule type="cellIs" dxfId="3791" priority="25" operator="lessThan">
      <formula>7.9</formula>
    </cfRule>
    <cfRule type="cellIs" dxfId="3790" priority="26" operator="lessThan">
      <formula>6.9</formula>
    </cfRule>
    <cfRule type="cellIs" dxfId="3789" priority="27" operator="lessThan">
      <formula>7.9</formula>
    </cfRule>
    <cfRule type="cellIs" dxfId="3788" priority="28" operator="lessThan">
      <formula>7.4</formula>
    </cfRule>
    <cfRule type="cellIs" dxfId="3787" priority="29" operator="lessThan">
      <formula>6.9</formula>
    </cfRule>
    <cfRule type="cellIs" dxfId="3786" priority="30" operator="lessThan">
      <formula>7.9</formula>
    </cfRule>
  </conditionalFormatting>
  <conditionalFormatting sqref="M3:M11">
    <cfRule type="cellIs" dxfId="3785" priority="34" operator="lessThan">
      <formula>7.9</formula>
    </cfRule>
    <cfRule type="cellIs" dxfId="3784" priority="35" operator="lessThan">
      <formula>6.9</formula>
    </cfRule>
    <cfRule type="cellIs" dxfId="3783" priority="36" operator="lessThan">
      <formula>7.4</formula>
    </cfRule>
    <cfRule type="cellIs" dxfId="3782" priority="37" operator="lessThan">
      <formula>7.9</formula>
    </cfRule>
    <cfRule type="cellIs" dxfId="3781" priority="38" operator="lessThan">
      <formula>6.9</formula>
    </cfRule>
    <cfRule type="cellIs" dxfId="3780" priority="39" operator="lessThan">
      <formula>7.9</formula>
    </cfRule>
    <cfRule type="cellIs" dxfId="3779" priority="40" operator="lessThan">
      <formula>7.4</formula>
    </cfRule>
    <cfRule type="cellIs" dxfId="3778" priority="41" operator="lessThan">
      <formula>6.9</formula>
    </cfRule>
    <cfRule type="cellIs" dxfId="3777" priority="42" operator="lessThan">
      <formula>7.9</formula>
    </cfRule>
    <cfRule type="cellIs" dxfId="3776" priority="43" operator="lessThan">
      <formula>6.9</formula>
    </cfRule>
    <cfRule type="cellIs" dxfId="3775" priority="44" operator="lessThan">
      <formula>7.4</formula>
    </cfRule>
    <cfRule type="cellIs" dxfId="3774" priority="45" operator="lessThan">
      <formula>6.9</formula>
    </cfRule>
    <cfRule type="cellIs" dxfId="3773" priority="46" operator="lessThan">
      <formula>7.4</formula>
    </cfRule>
    <cfRule type="cellIs" dxfId="3772" priority="47" operator="lessThan">
      <formula>7.9</formula>
    </cfRule>
  </conditionalFormatting>
  <conditionalFormatting sqref="Q3:Q11">
    <cfRule type="cellIs" dxfId="3771" priority="59" operator="lessThan">
      <formula>7.9</formula>
    </cfRule>
  </conditionalFormatting>
  <conditionalFormatting sqref="Q3:Q11">
    <cfRule type="cellIs" dxfId="3770" priority="57" operator="lessThan">
      <formula>7.9</formula>
    </cfRule>
    <cfRule type="cellIs" dxfId="3769" priority="58" operator="lessThan">
      <formula>6.9</formula>
    </cfRule>
    <cfRule type="cellIs" dxfId="3768" priority="63" operator="lessThan">
      <formula>7.4</formula>
    </cfRule>
    <cfRule type="cellIs" dxfId="3767" priority="100" operator="lessThan">
      <formula>6.9</formula>
    </cfRule>
    <cfRule type="cellIs" dxfId="3766" priority="101" operator="lessThan">
      <formula>7.9</formula>
    </cfRule>
    <cfRule type="cellIs" dxfId="3765" priority="102" operator="lessThan">
      <formula>7.4</formula>
    </cfRule>
    <cfRule type="cellIs" dxfId="3764" priority="103" operator="lessThan">
      <formula>6.9</formula>
    </cfRule>
    <cfRule type="cellIs" dxfId="3763" priority="104" operator="lessThan">
      <formula>7.9</formula>
    </cfRule>
    <cfRule type="cellIs" dxfId="3762" priority="105" operator="lessThan">
      <formula>6.9</formula>
    </cfRule>
    <cfRule type="cellIs" dxfId="3761" priority="106" operator="lessThan">
      <formula>7.4</formula>
    </cfRule>
    <cfRule type="cellIs" dxfId="3760" priority="107" operator="lessThan">
      <formula>7.9</formula>
    </cfRule>
  </conditionalFormatting>
  <conditionalFormatting sqref="U3:U11">
    <cfRule type="cellIs" dxfId="3759" priority="54" operator="lessThan">
      <formula>7.9</formula>
    </cfRule>
    <cfRule type="cellIs" dxfId="3758" priority="55" operator="lessThan">
      <formula>6.9</formula>
    </cfRule>
    <cfRule type="cellIs" dxfId="3757" priority="56" operator="lessThan">
      <formula>7.9</formula>
    </cfRule>
  </conditionalFormatting>
  <conditionalFormatting sqref="U3:U11">
    <cfRule type="cellIs" dxfId="3756" priority="62" operator="lessThan">
      <formula>7.4</formula>
    </cfRule>
    <cfRule type="cellIs" dxfId="3755" priority="92" operator="lessThan">
      <formula>6.9</formula>
    </cfRule>
    <cfRule type="cellIs" dxfId="3754" priority="93" operator="lessThan">
      <formula>7.9</formula>
    </cfRule>
    <cfRule type="cellIs" dxfId="3753" priority="94" operator="lessThan">
      <formula>7.4</formula>
    </cfRule>
    <cfRule type="cellIs" dxfId="3752" priority="95" operator="lessThan">
      <formula>6.9</formula>
    </cfRule>
    <cfRule type="cellIs" dxfId="3751" priority="96" operator="lessThan">
      <formula>7.9</formula>
    </cfRule>
    <cfRule type="cellIs" dxfId="3750" priority="97" operator="lessThan">
      <formula>6.9</formula>
    </cfRule>
    <cfRule type="cellIs" dxfId="3749" priority="98" operator="lessThan">
      <formula>7.4</formula>
    </cfRule>
    <cfRule type="cellIs" dxfId="3748" priority="99" operator="lessThan">
      <formula>7.9</formula>
    </cfRule>
  </conditionalFormatting>
  <conditionalFormatting sqref="Y3:Y11">
    <cfRule type="cellIs" dxfId="3747" priority="51" operator="lessThan">
      <formula>7.9</formula>
    </cfRule>
    <cfRule type="cellIs" dxfId="3746" priority="52" operator="lessThan">
      <formula>6.9</formula>
    </cfRule>
    <cfRule type="cellIs" dxfId="3745" priority="53" operator="lessThan">
      <formula>7.9</formula>
    </cfRule>
    <cfRule type="cellIs" dxfId="3744" priority="61" operator="lessThan">
      <formula>7.4</formula>
    </cfRule>
  </conditionalFormatting>
  <conditionalFormatting sqref="Y3:Y11">
    <cfRule type="cellIs" dxfId="3743" priority="84" operator="lessThan">
      <formula>6.9</formula>
    </cfRule>
    <cfRule type="cellIs" dxfId="3742" priority="85" operator="lessThan">
      <formula>7.9</formula>
    </cfRule>
    <cfRule type="cellIs" dxfId="3741" priority="86" operator="lessThan">
      <formula>7.4</formula>
    </cfRule>
    <cfRule type="cellIs" dxfId="3740" priority="87" operator="lessThan">
      <formula>6.9</formula>
    </cfRule>
    <cfRule type="cellIs" dxfId="3739" priority="88" operator="lessThan">
      <formula>7.9</formula>
    </cfRule>
    <cfRule type="cellIs" dxfId="3738" priority="89" operator="lessThan">
      <formula>6.9</formula>
    </cfRule>
    <cfRule type="cellIs" dxfId="3737" priority="90" operator="lessThan">
      <formula>7.4</formula>
    </cfRule>
    <cfRule type="cellIs" dxfId="3736" priority="91" operator="lessThan">
      <formula>7.9</formula>
    </cfRule>
  </conditionalFormatting>
  <conditionalFormatting sqref="AC3:AC11">
    <cfRule type="cellIs" dxfId="3735" priority="48" operator="lessThan">
      <formula>7.9</formula>
    </cfRule>
    <cfRule type="cellIs" dxfId="3734" priority="49" operator="lessThan">
      <formula>6.9</formula>
    </cfRule>
    <cfRule type="cellIs" dxfId="3733" priority="50" operator="lessThan">
      <formula>7.4</formula>
    </cfRule>
    <cfRule type="cellIs" dxfId="3732" priority="60" operator="lessThan">
      <formula>7.9</formula>
    </cfRule>
  </conditionalFormatting>
  <conditionalFormatting sqref="AC3:AC11">
    <cfRule type="cellIs" dxfId="3731" priority="76" operator="lessThan">
      <formula>6.9</formula>
    </cfRule>
    <cfRule type="cellIs" dxfId="3730" priority="77" operator="lessThan">
      <formula>7.9</formula>
    </cfRule>
    <cfRule type="cellIs" dxfId="3729" priority="78" operator="lessThan">
      <formula>7.4</formula>
    </cfRule>
    <cfRule type="cellIs" dxfId="3728" priority="79" operator="lessThan">
      <formula>6.9</formula>
    </cfRule>
    <cfRule type="cellIs" dxfId="3727" priority="80" operator="lessThan">
      <formula>7.9</formula>
    </cfRule>
    <cfRule type="cellIs" dxfId="3726" priority="81" operator="lessThan">
      <formula>6.9</formula>
    </cfRule>
    <cfRule type="cellIs" dxfId="3725" priority="82" operator="lessThan">
      <formula>7.4</formula>
    </cfRule>
    <cfRule type="cellIs" dxfId="3724" priority="83" operator="lessThan">
      <formula>7.9</formula>
    </cfRule>
  </conditionalFormatting>
  <conditionalFormatting sqref="AG3:AG11">
    <cfRule type="cellIs" dxfId="3723" priority="64" operator="lessThan">
      <formula>7.9</formula>
    </cfRule>
    <cfRule type="cellIs" dxfId="3722" priority="65" operator="lessThan">
      <formula>6.9</formula>
    </cfRule>
    <cfRule type="cellIs" dxfId="3721" priority="66" operator="lessThan">
      <formula>7.4</formula>
    </cfRule>
    <cfRule type="cellIs" dxfId="3720" priority="67" operator="lessThan">
      <formula>7.9</formula>
    </cfRule>
    <cfRule type="cellIs" dxfId="3719" priority="68" operator="lessThan">
      <formula>6.9</formula>
    </cfRule>
    <cfRule type="cellIs" dxfId="3718" priority="69" operator="lessThan">
      <formula>7.9</formula>
    </cfRule>
    <cfRule type="cellIs" dxfId="3717" priority="70" operator="lessThan">
      <formula>7.4</formula>
    </cfRule>
    <cfRule type="cellIs" dxfId="3716" priority="71" operator="lessThan">
      <formula>6.9</formula>
    </cfRule>
    <cfRule type="cellIs" dxfId="3715" priority="72" operator="lessThan">
      <formula>7.9</formula>
    </cfRule>
    <cfRule type="cellIs" dxfId="3714" priority="73" operator="lessThan">
      <formula>6.9</formula>
    </cfRule>
    <cfRule type="cellIs" dxfId="3713" priority="74" operator="lessThan">
      <formula>7.4</formula>
    </cfRule>
    <cfRule type="cellIs" dxfId="3712" priority="75" operator="lessThan">
      <formula>7.9</formula>
    </cfRule>
  </conditionalFormatting>
  <conditionalFormatting sqref="J3:L11">
    <cfRule type="cellIs" dxfId="3711" priority="16" operator="lessThan">
      <formula>7.9</formula>
    </cfRule>
  </conditionalFormatting>
  <conditionalFormatting sqref="J3:L11">
    <cfRule type="cellIs" dxfId="3710" priority="17" operator="lessThan">
      <formula>7.4</formula>
    </cfRule>
  </conditionalFormatting>
  <conditionalFormatting sqref="J5:L6">
    <cfRule type="cellIs" dxfId="3709" priority="18" operator="lessThan">
      <formula>6.9</formula>
    </cfRule>
  </conditionalFormatting>
  <conditionalFormatting sqref="N3:P11">
    <cfRule type="cellIs" dxfId="3708" priority="13" operator="lessThan">
      <formula>7.9</formula>
    </cfRule>
  </conditionalFormatting>
  <conditionalFormatting sqref="N3:P11">
    <cfRule type="cellIs" dxfId="3707" priority="14" operator="lessThan">
      <formula>7.4</formula>
    </cfRule>
  </conditionalFormatting>
  <conditionalFormatting sqref="N5:P6">
    <cfRule type="cellIs" dxfId="3706" priority="15" operator="lessThan">
      <formula>6.9</formula>
    </cfRule>
  </conditionalFormatting>
  <conditionalFormatting sqref="R3:T11">
    <cfRule type="cellIs" dxfId="3705" priority="10" operator="lessThan">
      <formula>7.9</formula>
    </cfRule>
  </conditionalFormatting>
  <conditionalFormatting sqref="R3:T11">
    <cfRule type="cellIs" dxfId="3704" priority="11" operator="lessThan">
      <formula>7.4</formula>
    </cfRule>
  </conditionalFormatting>
  <conditionalFormatting sqref="R5:T6">
    <cfRule type="cellIs" dxfId="3703" priority="12" operator="lessThan">
      <formula>6.9</formula>
    </cfRule>
  </conditionalFormatting>
  <conditionalFormatting sqref="V3:X11">
    <cfRule type="cellIs" dxfId="3702" priority="7" operator="lessThan">
      <formula>7.9</formula>
    </cfRule>
  </conditionalFormatting>
  <conditionalFormatting sqref="V3:X11">
    <cfRule type="cellIs" dxfId="3701" priority="8" operator="lessThan">
      <formula>7.4</formula>
    </cfRule>
  </conditionalFormatting>
  <conditionalFormatting sqref="V5:X6">
    <cfRule type="cellIs" dxfId="3700" priority="9" operator="lessThan">
      <formula>6.9</formula>
    </cfRule>
  </conditionalFormatting>
  <conditionalFormatting sqref="Z3:AB11">
    <cfRule type="cellIs" dxfId="3699" priority="4" operator="lessThan">
      <formula>7.9</formula>
    </cfRule>
  </conditionalFormatting>
  <conditionalFormatting sqref="Z3:AB11">
    <cfRule type="cellIs" dxfId="3698" priority="5" operator="lessThan">
      <formula>7.4</formula>
    </cfRule>
  </conditionalFormatting>
  <conditionalFormatting sqref="Z5:AB6">
    <cfRule type="cellIs" dxfId="3697" priority="6" operator="lessThan">
      <formula>6.9</formula>
    </cfRule>
  </conditionalFormatting>
  <conditionalFormatting sqref="AD3:AF11">
    <cfRule type="cellIs" dxfId="3696" priority="1" operator="lessThan">
      <formula>7.9</formula>
    </cfRule>
  </conditionalFormatting>
  <conditionalFormatting sqref="AD3:AF11">
    <cfRule type="cellIs" dxfId="3695" priority="2" operator="lessThan">
      <formula>7.4</formula>
    </cfRule>
  </conditionalFormatting>
  <conditionalFormatting sqref="AD5:AF6">
    <cfRule type="cellIs" dxfId="3694" priority="3" operator="lessThan">
      <formula>6.9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9"/>
  <sheetViews>
    <sheetView topLeftCell="C1" workbookViewId="0">
      <selection activeCell="F2" sqref="F1:AH1048576"/>
    </sheetView>
  </sheetViews>
  <sheetFormatPr baseColWidth="10" defaultColWidth="12.5703125" defaultRowHeight="15.75" customHeight="1" x14ac:dyDescent="0.2"/>
  <cols>
    <col min="1" max="1" width="10.1406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5" max="39" width="3.140625" customWidth="1"/>
  </cols>
  <sheetData>
    <row r="1" spans="1:39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888</v>
      </c>
      <c r="O1" s="195"/>
      <c r="P1" s="195"/>
      <c r="Q1" s="196"/>
      <c r="R1" s="194" t="s">
        <v>1</v>
      </c>
      <c r="S1" s="195"/>
      <c r="T1" s="195"/>
      <c r="U1" s="196"/>
      <c r="V1" s="194" t="s">
        <v>0</v>
      </c>
      <c r="W1" s="195"/>
      <c r="X1" s="195"/>
      <c r="Y1" s="196"/>
      <c r="Z1" s="194" t="s">
        <v>873</v>
      </c>
      <c r="AA1" s="195"/>
      <c r="AB1" s="195"/>
      <c r="AC1" s="196"/>
      <c r="AD1" s="194" t="s">
        <v>874</v>
      </c>
      <c r="AE1" s="195"/>
      <c r="AF1" s="195"/>
      <c r="AG1" s="196"/>
      <c r="AH1" s="71" t="s">
        <v>2</v>
      </c>
      <c r="AI1" s="2"/>
      <c r="AJ1" s="2"/>
      <c r="AK1" s="2"/>
      <c r="AL1" s="2"/>
      <c r="AM1" s="2"/>
    </row>
    <row r="2" spans="1:39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1" t="s">
        <v>12</v>
      </c>
      <c r="AI2" s="4"/>
      <c r="AJ2" s="4"/>
      <c r="AK2" s="4"/>
      <c r="AL2" s="4"/>
      <c r="AM2" s="4"/>
    </row>
    <row r="3" spans="1:39" ht="15.75" customHeight="1" x14ac:dyDescent="0.25">
      <c r="A3" s="1" t="s">
        <v>33</v>
      </c>
      <c r="B3" s="5" t="s">
        <v>34</v>
      </c>
      <c r="C3" s="1" t="s">
        <v>15</v>
      </c>
      <c r="D3" s="231">
        <v>1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9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64">
        <f>AVERAGE(I3,M3,Q3,U3,Y3,AC3,AG3)</f>
        <v>0</v>
      </c>
      <c r="AI3" s="6"/>
      <c r="AJ3" s="6"/>
      <c r="AK3" s="7"/>
      <c r="AL3" s="6"/>
      <c r="AM3" s="7"/>
    </row>
    <row r="4" spans="1:39" ht="15.75" customHeight="1" x14ac:dyDescent="0.25">
      <c r="A4" s="1" t="s">
        <v>35</v>
      </c>
      <c r="B4" s="5" t="s">
        <v>36</v>
      </c>
      <c r="C4" s="1" t="s">
        <v>15</v>
      </c>
      <c r="D4" s="231">
        <v>1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9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9" si="2">AVERAGE(N4:P4)</f>
        <v>0</v>
      </c>
      <c r="R4" s="132">
        <v>0</v>
      </c>
      <c r="S4" s="132">
        <v>0</v>
      </c>
      <c r="T4" s="132">
        <v>0</v>
      </c>
      <c r="U4" s="84">
        <f t="shared" ref="U4:U9" si="3">AVERAGE(R4:T4)</f>
        <v>0</v>
      </c>
      <c r="V4" s="132">
        <v>0</v>
      </c>
      <c r="W4" s="132">
        <v>0</v>
      </c>
      <c r="X4" s="132">
        <v>0</v>
      </c>
      <c r="Y4" s="84">
        <f t="shared" ref="Y4:Y9" si="4">AVERAGE(V4:X4)</f>
        <v>0</v>
      </c>
      <c r="Z4" s="132">
        <v>0</v>
      </c>
      <c r="AA4" s="132">
        <v>0</v>
      </c>
      <c r="AB4" s="132">
        <v>0</v>
      </c>
      <c r="AC4" s="84">
        <f t="shared" ref="AC4:AC9" si="5">AVERAGE(Z4:AB4)</f>
        <v>0</v>
      </c>
      <c r="AD4" s="132">
        <v>0</v>
      </c>
      <c r="AE4" s="132">
        <v>0</v>
      </c>
      <c r="AF4" s="132">
        <v>0</v>
      </c>
      <c r="AG4" s="84">
        <f t="shared" ref="AG4:AG9" si="6">AVERAGE(AD4:AF4)</f>
        <v>0</v>
      </c>
      <c r="AH4" s="64">
        <f t="shared" ref="AH4:AH9" si="7">AVERAGE(I4,M4,Q4,U4,Y4,AC4,AG4)</f>
        <v>0</v>
      </c>
      <c r="AI4" s="7"/>
      <c r="AJ4" s="7"/>
      <c r="AK4" s="7"/>
      <c r="AL4" s="9"/>
      <c r="AM4" s="7"/>
    </row>
    <row r="5" spans="1:39" ht="15.75" customHeight="1" x14ac:dyDescent="0.25">
      <c r="A5" s="1" t="s">
        <v>37</v>
      </c>
      <c r="B5" s="8" t="s">
        <v>38</v>
      </c>
      <c r="C5" s="1" t="s">
        <v>15</v>
      </c>
      <c r="D5" s="231">
        <v>1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64">
        <f t="shared" si="7"/>
        <v>0</v>
      </c>
      <c r="AI5" s="10"/>
      <c r="AJ5" s="10"/>
      <c r="AK5" s="6"/>
      <c r="AL5" s="6"/>
      <c r="AM5" s="7"/>
    </row>
    <row r="6" spans="1:39" ht="15.75" customHeight="1" x14ac:dyDescent="0.25">
      <c r="A6" s="1" t="s">
        <v>46</v>
      </c>
      <c r="B6" s="5" t="s">
        <v>47</v>
      </c>
      <c r="C6" s="1" t="s">
        <v>15</v>
      </c>
      <c r="D6" s="231">
        <v>1</v>
      </c>
      <c r="E6" s="25" t="s">
        <v>41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64">
        <f t="shared" si="7"/>
        <v>0</v>
      </c>
      <c r="AI6" s="7"/>
      <c r="AJ6" s="7"/>
      <c r="AK6" s="6"/>
      <c r="AL6" s="6"/>
      <c r="AM6" s="7"/>
    </row>
    <row r="7" spans="1:39" ht="15.75" customHeight="1" x14ac:dyDescent="0.25">
      <c r="A7" s="1" t="s">
        <v>42</v>
      </c>
      <c r="B7" s="8" t="s">
        <v>43</v>
      </c>
      <c r="C7" s="1" t="s">
        <v>15</v>
      </c>
      <c r="D7" s="231">
        <v>1</v>
      </c>
      <c r="E7" s="25" t="s">
        <v>41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64">
        <f t="shared" si="7"/>
        <v>0</v>
      </c>
      <c r="AI7" s="6"/>
      <c r="AJ7" s="6"/>
      <c r="AK7" s="11"/>
      <c r="AL7" s="9"/>
      <c r="AM7" s="7"/>
    </row>
    <row r="8" spans="1:39" ht="15.75" customHeight="1" x14ac:dyDescent="0.25">
      <c r="A8" s="1" t="s">
        <v>39</v>
      </c>
      <c r="B8" s="8" t="s">
        <v>40</v>
      </c>
      <c r="C8" s="1" t="s">
        <v>15</v>
      </c>
      <c r="D8" s="231">
        <v>1</v>
      </c>
      <c r="E8" s="25" t="s">
        <v>41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64">
        <f t="shared" si="7"/>
        <v>0</v>
      </c>
      <c r="AI8" s="7"/>
      <c r="AJ8" s="7"/>
      <c r="AK8" s="7"/>
      <c r="AL8" s="7"/>
      <c r="AM8" s="7"/>
    </row>
    <row r="9" spans="1:39" ht="15.75" customHeight="1" x14ac:dyDescent="0.25">
      <c r="A9" s="1" t="s">
        <v>44</v>
      </c>
      <c r="B9" s="8" t="s">
        <v>45</v>
      </c>
      <c r="C9" s="1" t="s">
        <v>15</v>
      </c>
      <c r="D9" s="231">
        <v>1</v>
      </c>
      <c r="E9" s="25" t="s">
        <v>41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64">
        <f t="shared" si="7"/>
        <v>0</v>
      </c>
      <c r="AI9" s="9"/>
      <c r="AJ9" s="9"/>
      <c r="AK9" s="6"/>
      <c r="AL9" s="6"/>
      <c r="AM9" s="7"/>
    </row>
  </sheetData>
  <sortState xmlns:xlrd2="http://schemas.microsoft.com/office/spreadsheetml/2017/richdata2" ref="A3:AH9">
    <sortCondition ref="E1:E9"/>
  </sortState>
  <mergeCells count="7">
    <mergeCell ref="Z1:AC1"/>
    <mergeCell ref="AD1:AG1"/>
    <mergeCell ref="F1:I1"/>
    <mergeCell ref="J1:M1"/>
    <mergeCell ref="N1:Q1"/>
    <mergeCell ref="R1:U1"/>
    <mergeCell ref="V1:Y1"/>
  </mergeCells>
  <conditionalFormatting sqref="F3:H9">
    <cfRule type="cellIs" dxfId="3693" priority="19" operator="lessThan">
      <formula>7.9</formula>
    </cfRule>
  </conditionalFormatting>
  <conditionalFormatting sqref="F3:H9">
    <cfRule type="cellIs" dxfId="3692" priority="20" operator="lessThan">
      <formula>7.4</formula>
    </cfRule>
  </conditionalFormatting>
  <conditionalFormatting sqref="F5:H6">
    <cfRule type="cellIs" dxfId="3691" priority="21" operator="lessThan">
      <formula>6.9</formula>
    </cfRule>
  </conditionalFormatting>
  <conditionalFormatting sqref="I3:I9">
    <cfRule type="cellIs" dxfId="3690" priority="22" operator="lessThan">
      <formula>7.9</formula>
    </cfRule>
    <cfRule type="cellIs" dxfId="3689" priority="31" operator="lessThan">
      <formula>6.9</formula>
    </cfRule>
    <cfRule type="cellIs" dxfId="3688" priority="32" operator="lessThan">
      <formula>7.4</formula>
    </cfRule>
    <cfRule type="cellIs" dxfId="3687" priority="33" operator="lessThan">
      <formula>7.9</formula>
    </cfRule>
  </conditionalFormatting>
  <conditionalFormatting sqref="I3:I9">
    <cfRule type="cellIs" dxfId="3686" priority="23" operator="lessThan">
      <formula>6.9</formula>
    </cfRule>
    <cfRule type="cellIs" dxfId="3685" priority="24" operator="lessThan">
      <formula>7.4</formula>
    </cfRule>
    <cfRule type="cellIs" dxfId="3684" priority="25" operator="lessThan">
      <formula>7.9</formula>
    </cfRule>
    <cfRule type="cellIs" dxfId="3683" priority="26" operator="lessThan">
      <formula>6.9</formula>
    </cfRule>
    <cfRule type="cellIs" dxfId="3682" priority="27" operator="lessThan">
      <formula>7.9</formula>
    </cfRule>
    <cfRule type="cellIs" dxfId="3681" priority="28" operator="lessThan">
      <formula>7.4</formula>
    </cfRule>
    <cfRule type="cellIs" dxfId="3680" priority="29" operator="lessThan">
      <formula>6.9</formula>
    </cfRule>
    <cfRule type="cellIs" dxfId="3679" priority="30" operator="lessThan">
      <formula>7.9</formula>
    </cfRule>
  </conditionalFormatting>
  <conditionalFormatting sqref="M3:M9">
    <cfRule type="cellIs" dxfId="3678" priority="34" operator="lessThan">
      <formula>7.9</formula>
    </cfRule>
    <cfRule type="cellIs" dxfId="3677" priority="35" operator="lessThan">
      <formula>6.9</formula>
    </cfRule>
    <cfRule type="cellIs" dxfId="3676" priority="36" operator="lessThan">
      <formula>7.4</formula>
    </cfRule>
    <cfRule type="cellIs" dxfId="3675" priority="37" operator="lessThan">
      <formula>7.9</formula>
    </cfRule>
    <cfRule type="cellIs" dxfId="3674" priority="38" operator="lessThan">
      <formula>6.9</formula>
    </cfRule>
    <cfRule type="cellIs" dxfId="3673" priority="39" operator="lessThan">
      <formula>7.9</formula>
    </cfRule>
    <cfRule type="cellIs" dxfId="3672" priority="40" operator="lessThan">
      <formula>7.4</formula>
    </cfRule>
    <cfRule type="cellIs" dxfId="3671" priority="41" operator="lessThan">
      <formula>6.9</formula>
    </cfRule>
    <cfRule type="cellIs" dxfId="3670" priority="42" operator="lessThan">
      <formula>7.9</formula>
    </cfRule>
    <cfRule type="cellIs" dxfId="3669" priority="43" operator="lessThan">
      <formula>6.9</formula>
    </cfRule>
    <cfRule type="cellIs" dxfId="3668" priority="44" operator="lessThan">
      <formula>7.4</formula>
    </cfRule>
    <cfRule type="cellIs" dxfId="3667" priority="45" operator="lessThan">
      <formula>6.9</formula>
    </cfRule>
    <cfRule type="cellIs" dxfId="3666" priority="46" operator="lessThan">
      <formula>7.4</formula>
    </cfRule>
    <cfRule type="cellIs" dxfId="3665" priority="47" operator="lessThan">
      <formula>7.9</formula>
    </cfRule>
  </conditionalFormatting>
  <conditionalFormatting sqref="Q3:Q9">
    <cfRule type="cellIs" dxfId="3664" priority="59" operator="lessThan">
      <formula>7.9</formula>
    </cfRule>
  </conditionalFormatting>
  <conditionalFormatting sqref="Q3:Q9">
    <cfRule type="cellIs" dxfId="3663" priority="57" operator="lessThan">
      <formula>7.9</formula>
    </cfRule>
    <cfRule type="cellIs" dxfId="3662" priority="58" operator="lessThan">
      <formula>6.9</formula>
    </cfRule>
    <cfRule type="cellIs" dxfId="3661" priority="63" operator="lessThan">
      <formula>7.4</formula>
    </cfRule>
    <cfRule type="cellIs" dxfId="3660" priority="100" operator="lessThan">
      <formula>6.9</formula>
    </cfRule>
    <cfRule type="cellIs" dxfId="3659" priority="101" operator="lessThan">
      <formula>7.9</formula>
    </cfRule>
    <cfRule type="cellIs" dxfId="3658" priority="102" operator="lessThan">
      <formula>7.4</formula>
    </cfRule>
    <cfRule type="cellIs" dxfId="3657" priority="103" operator="lessThan">
      <formula>6.9</formula>
    </cfRule>
    <cfRule type="cellIs" dxfId="3656" priority="104" operator="lessThan">
      <formula>7.9</formula>
    </cfRule>
    <cfRule type="cellIs" dxfId="3655" priority="105" operator="lessThan">
      <formula>6.9</formula>
    </cfRule>
    <cfRule type="cellIs" dxfId="3654" priority="106" operator="lessThan">
      <formula>7.4</formula>
    </cfRule>
    <cfRule type="cellIs" dxfId="3653" priority="107" operator="lessThan">
      <formula>7.9</formula>
    </cfRule>
  </conditionalFormatting>
  <conditionalFormatting sqref="U3:U9">
    <cfRule type="cellIs" dxfId="3652" priority="54" operator="lessThan">
      <formula>7.9</formula>
    </cfRule>
    <cfRule type="cellIs" dxfId="3651" priority="55" operator="lessThan">
      <formula>6.9</formula>
    </cfRule>
    <cfRule type="cellIs" dxfId="3650" priority="56" operator="lessThan">
      <formula>7.9</formula>
    </cfRule>
  </conditionalFormatting>
  <conditionalFormatting sqref="U3:U9">
    <cfRule type="cellIs" dxfId="3649" priority="62" operator="lessThan">
      <formula>7.4</formula>
    </cfRule>
    <cfRule type="cellIs" dxfId="3648" priority="92" operator="lessThan">
      <formula>6.9</formula>
    </cfRule>
    <cfRule type="cellIs" dxfId="3647" priority="93" operator="lessThan">
      <formula>7.9</formula>
    </cfRule>
    <cfRule type="cellIs" dxfId="3646" priority="94" operator="lessThan">
      <formula>7.4</formula>
    </cfRule>
    <cfRule type="cellIs" dxfId="3645" priority="95" operator="lessThan">
      <formula>6.9</formula>
    </cfRule>
    <cfRule type="cellIs" dxfId="3644" priority="96" operator="lessThan">
      <formula>7.9</formula>
    </cfRule>
    <cfRule type="cellIs" dxfId="3643" priority="97" operator="lessThan">
      <formula>6.9</formula>
    </cfRule>
    <cfRule type="cellIs" dxfId="3642" priority="98" operator="lessThan">
      <formula>7.4</formula>
    </cfRule>
    <cfRule type="cellIs" dxfId="3641" priority="99" operator="lessThan">
      <formula>7.9</formula>
    </cfRule>
  </conditionalFormatting>
  <conditionalFormatting sqref="Y3:Y9">
    <cfRule type="cellIs" dxfId="3640" priority="51" operator="lessThan">
      <formula>7.9</formula>
    </cfRule>
    <cfRule type="cellIs" dxfId="3639" priority="52" operator="lessThan">
      <formula>6.9</formula>
    </cfRule>
    <cfRule type="cellIs" dxfId="3638" priority="53" operator="lessThan">
      <formula>7.9</formula>
    </cfRule>
    <cfRule type="cellIs" dxfId="3637" priority="61" operator="lessThan">
      <formula>7.4</formula>
    </cfRule>
  </conditionalFormatting>
  <conditionalFormatting sqref="Y3:Y9">
    <cfRule type="cellIs" dxfId="3636" priority="84" operator="lessThan">
      <formula>6.9</formula>
    </cfRule>
    <cfRule type="cellIs" dxfId="3635" priority="85" operator="lessThan">
      <formula>7.9</formula>
    </cfRule>
    <cfRule type="cellIs" dxfId="3634" priority="86" operator="lessThan">
      <formula>7.4</formula>
    </cfRule>
    <cfRule type="cellIs" dxfId="3633" priority="87" operator="lessThan">
      <formula>6.9</formula>
    </cfRule>
    <cfRule type="cellIs" dxfId="3632" priority="88" operator="lessThan">
      <formula>7.9</formula>
    </cfRule>
    <cfRule type="cellIs" dxfId="3631" priority="89" operator="lessThan">
      <formula>6.9</formula>
    </cfRule>
    <cfRule type="cellIs" dxfId="3630" priority="90" operator="lessThan">
      <formula>7.4</formula>
    </cfRule>
    <cfRule type="cellIs" dxfId="3629" priority="91" operator="lessThan">
      <formula>7.9</formula>
    </cfRule>
  </conditionalFormatting>
  <conditionalFormatting sqref="AC3:AC9">
    <cfRule type="cellIs" dxfId="3628" priority="48" operator="lessThan">
      <formula>7.9</formula>
    </cfRule>
    <cfRule type="cellIs" dxfId="3627" priority="49" operator="lessThan">
      <formula>6.9</formula>
    </cfRule>
    <cfRule type="cellIs" dxfId="3626" priority="50" operator="lessThan">
      <formula>7.4</formula>
    </cfRule>
    <cfRule type="cellIs" dxfId="3625" priority="60" operator="lessThan">
      <formula>7.9</formula>
    </cfRule>
  </conditionalFormatting>
  <conditionalFormatting sqref="AC3:AC9">
    <cfRule type="cellIs" dxfId="3624" priority="76" operator="lessThan">
      <formula>6.9</formula>
    </cfRule>
    <cfRule type="cellIs" dxfId="3623" priority="77" operator="lessThan">
      <formula>7.9</formula>
    </cfRule>
    <cfRule type="cellIs" dxfId="3622" priority="78" operator="lessThan">
      <formula>7.4</formula>
    </cfRule>
    <cfRule type="cellIs" dxfId="3621" priority="79" operator="lessThan">
      <formula>6.9</formula>
    </cfRule>
    <cfRule type="cellIs" dxfId="3620" priority="80" operator="lessThan">
      <formula>7.9</formula>
    </cfRule>
    <cfRule type="cellIs" dxfId="3619" priority="81" operator="lessThan">
      <formula>6.9</formula>
    </cfRule>
    <cfRule type="cellIs" dxfId="3618" priority="82" operator="lessThan">
      <formula>7.4</formula>
    </cfRule>
    <cfRule type="cellIs" dxfId="3617" priority="83" operator="lessThan">
      <formula>7.9</formula>
    </cfRule>
  </conditionalFormatting>
  <conditionalFormatting sqref="AG3:AG9">
    <cfRule type="cellIs" dxfId="3616" priority="64" operator="lessThan">
      <formula>7.9</formula>
    </cfRule>
    <cfRule type="cellIs" dxfId="3615" priority="65" operator="lessThan">
      <formula>6.9</formula>
    </cfRule>
    <cfRule type="cellIs" dxfId="3614" priority="66" operator="lessThan">
      <formula>7.4</formula>
    </cfRule>
    <cfRule type="cellIs" dxfId="3613" priority="67" operator="lessThan">
      <formula>7.9</formula>
    </cfRule>
    <cfRule type="cellIs" dxfId="3612" priority="68" operator="lessThan">
      <formula>6.9</formula>
    </cfRule>
    <cfRule type="cellIs" dxfId="3611" priority="69" operator="lessThan">
      <formula>7.9</formula>
    </cfRule>
    <cfRule type="cellIs" dxfId="3610" priority="70" operator="lessThan">
      <formula>7.4</formula>
    </cfRule>
    <cfRule type="cellIs" dxfId="3609" priority="71" operator="lessThan">
      <formula>6.9</formula>
    </cfRule>
    <cfRule type="cellIs" dxfId="3608" priority="72" operator="lessThan">
      <formula>7.9</formula>
    </cfRule>
    <cfRule type="cellIs" dxfId="3607" priority="73" operator="lessThan">
      <formula>6.9</formula>
    </cfRule>
    <cfRule type="cellIs" dxfId="3606" priority="74" operator="lessThan">
      <formula>7.4</formula>
    </cfRule>
    <cfRule type="cellIs" dxfId="3605" priority="75" operator="lessThan">
      <formula>7.9</formula>
    </cfRule>
  </conditionalFormatting>
  <conditionalFormatting sqref="J3:L9">
    <cfRule type="cellIs" dxfId="3604" priority="16" operator="lessThan">
      <formula>7.9</formula>
    </cfRule>
  </conditionalFormatting>
  <conditionalFormatting sqref="J3:L9">
    <cfRule type="cellIs" dxfId="3603" priority="17" operator="lessThan">
      <formula>7.4</formula>
    </cfRule>
  </conditionalFormatting>
  <conditionalFormatting sqref="J5:L6">
    <cfRule type="cellIs" dxfId="3602" priority="18" operator="lessThan">
      <formula>6.9</formula>
    </cfRule>
  </conditionalFormatting>
  <conditionalFormatting sqref="N3:P9">
    <cfRule type="cellIs" dxfId="3601" priority="13" operator="lessThan">
      <formula>7.9</formula>
    </cfRule>
  </conditionalFormatting>
  <conditionalFormatting sqref="N3:P9">
    <cfRule type="cellIs" dxfId="3600" priority="14" operator="lessThan">
      <formula>7.4</formula>
    </cfRule>
  </conditionalFormatting>
  <conditionalFormatting sqref="N5:P6">
    <cfRule type="cellIs" dxfId="3599" priority="15" operator="lessThan">
      <formula>6.9</formula>
    </cfRule>
  </conditionalFormatting>
  <conditionalFormatting sqref="R3:T9">
    <cfRule type="cellIs" dxfId="3598" priority="10" operator="lessThan">
      <formula>7.9</formula>
    </cfRule>
  </conditionalFormatting>
  <conditionalFormatting sqref="R3:T9">
    <cfRule type="cellIs" dxfId="3597" priority="11" operator="lessThan">
      <formula>7.4</formula>
    </cfRule>
  </conditionalFormatting>
  <conditionalFormatting sqref="R5:T6">
    <cfRule type="cellIs" dxfId="3596" priority="12" operator="lessThan">
      <formula>6.9</formula>
    </cfRule>
  </conditionalFormatting>
  <conditionalFormatting sqref="V3:X9">
    <cfRule type="cellIs" dxfId="3595" priority="7" operator="lessThan">
      <formula>7.9</formula>
    </cfRule>
  </conditionalFormatting>
  <conditionalFormatting sqref="V3:X9">
    <cfRule type="cellIs" dxfId="3594" priority="8" operator="lessThan">
      <formula>7.4</formula>
    </cfRule>
  </conditionalFormatting>
  <conditionalFormatting sqref="V5:X6">
    <cfRule type="cellIs" dxfId="3593" priority="9" operator="lessThan">
      <formula>6.9</formula>
    </cfRule>
  </conditionalFormatting>
  <conditionalFormatting sqref="Z3:AB9">
    <cfRule type="cellIs" dxfId="3592" priority="4" operator="lessThan">
      <formula>7.9</formula>
    </cfRule>
  </conditionalFormatting>
  <conditionalFormatting sqref="Z3:AB9">
    <cfRule type="cellIs" dxfId="3591" priority="5" operator="lessThan">
      <formula>7.4</formula>
    </cfRule>
  </conditionalFormatting>
  <conditionalFormatting sqref="Z5:AB6">
    <cfRule type="cellIs" dxfId="3590" priority="6" operator="lessThan">
      <formula>6.9</formula>
    </cfRule>
  </conditionalFormatting>
  <conditionalFormatting sqref="AD3:AF9">
    <cfRule type="cellIs" dxfId="3589" priority="1" operator="lessThan">
      <formula>7.9</formula>
    </cfRule>
  </conditionalFormatting>
  <conditionalFormatting sqref="AD3:AF9">
    <cfRule type="cellIs" dxfId="3588" priority="2" operator="lessThan">
      <formula>7.4</formula>
    </cfRule>
  </conditionalFormatting>
  <conditionalFormatting sqref="AD5:AF6">
    <cfRule type="cellIs" dxfId="3587" priority="3" operator="lessThan">
      <formula>6.9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26"/>
  <sheetViews>
    <sheetView topLeftCell="C1" workbookViewId="0">
      <selection activeCell="F2" sqref="F1:AH1048576"/>
    </sheetView>
  </sheetViews>
  <sheetFormatPr baseColWidth="10" defaultColWidth="12.5703125" defaultRowHeight="15.75" customHeight="1" x14ac:dyDescent="0.2"/>
  <cols>
    <col min="1" max="1" width="10.140625" customWidth="1"/>
    <col min="2" max="2" width="47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5" max="39" width="3.140625" customWidth="1"/>
  </cols>
  <sheetData>
    <row r="1" spans="1:39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888</v>
      </c>
      <c r="O1" s="195"/>
      <c r="P1" s="195"/>
      <c r="Q1" s="196"/>
      <c r="R1" s="194" t="s">
        <v>1</v>
      </c>
      <c r="S1" s="195"/>
      <c r="T1" s="195"/>
      <c r="U1" s="196"/>
      <c r="V1" s="194" t="s">
        <v>0</v>
      </c>
      <c r="W1" s="195"/>
      <c r="X1" s="195"/>
      <c r="Y1" s="196"/>
      <c r="Z1" s="194" t="s">
        <v>873</v>
      </c>
      <c r="AA1" s="195"/>
      <c r="AB1" s="195"/>
      <c r="AC1" s="196"/>
      <c r="AD1" s="194" t="s">
        <v>874</v>
      </c>
      <c r="AE1" s="195"/>
      <c r="AF1" s="195"/>
      <c r="AG1" s="196"/>
      <c r="AH1" s="71" t="s">
        <v>2</v>
      </c>
      <c r="AI1" s="3"/>
      <c r="AJ1" s="3"/>
      <c r="AK1" s="3"/>
      <c r="AL1" s="3"/>
      <c r="AM1" s="3"/>
    </row>
    <row r="2" spans="1:39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1" t="s">
        <v>12</v>
      </c>
      <c r="AI2" s="4"/>
      <c r="AJ2" s="4"/>
      <c r="AK2" s="4"/>
      <c r="AL2" s="4"/>
      <c r="AM2" s="4"/>
    </row>
    <row r="3" spans="1:39" ht="15.75" customHeight="1" x14ac:dyDescent="0.25">
      <c r="A3" s="1" t="s">
        <v>62</v>
      </c>
      <c r="B3" s="12" t="s">
        <v>63</v>
      </c>
      <c r="C3" s="1" t="s">
        <v>15</v>
      </c>
      <c r="D3" s="231">
        <v>2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22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64">
        <f>AVERAGE(I3,M3,Q3,U3,Y3,AC3,AG3)</f>
        <v>0</v>
      </c>
      <c r="AI3" s="6"/>
      <c r="AJ3" s="6"/>
      <c r="AK3" s="7"/>
      <c r="AL3" s="6"/>
      <c r="AM3" s="7"/>
    </row>
    <row r="4" spans="1:39" ht="15.75" customHeight="1" x14ac:dyDescent="0.25">
      <c r="A4" s="1" t="s">
        <v>94</v>
      </c>
      <c r="B4" s="5" t="s">
        <v>95</v>
      </c>
      <c r="C4" s="1" t="s">
        <v>15</v>
      </c>
      <c r="D4" s="231">
        <v>2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22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22" si="2">AVERAGE(N4:P4)</f>
        <v>0</v>
      </c>
      <c r="R4" s="132">
        <v>0</v>
      </c>
      <c r="S4" s="132">
        <v>0</v>
      </c>
      <c r="T4" s="132">
        <v>0</v>
      </c>
      <c r="U4" s="84">
        <f t="shared" ref="U4:U22" si="3">AVERAGE(R4:T4)</f>
        <v>0</v>
      </c>
      <c r="V4" s="132">
        <v>0</v>
      </c>
      <c r="W4" s="132">
        <v>0</v>
      </c>
      <c r="X4" s="132">
        <v>0</v>
      </c>
      <c r="Y4" s="84">
        <f t="shared" ref="Y4:Y22" si="4">AVERAGE(V4:X4)</f>
        <v>0</v>
      </c>
      <c r="Z4" s="132">
        <v>0</v>
      </c>
      <c r="AA4" s="132">
        <v>0</v>
      </c>
      <c r="AB4" s="132">
        <v>0</v>
      </c>
      <c r="AC4" s="84">
        <f t="shared" ref="AC4:AC22" si="5">AVERAGE(Z4:AB4)</f>
        <v>0</v>
      </c>
      <c r="AD4" s="132">
        <v>0</v>
      </c>
      <c r="AE4" s="132">
        <v>0</v>
      </c>
      <c r="AF4" s="132">
        <v>0</v>
      </c>
      <c r="AG4" s="84">
        <f t="shared" ref="AG4:AG22" si="6">AVERAGE(AD4:AF4)</f>
        <v>0</v>
      </c>
      <c r="AH4" s="64">
        <f t="shared" ref="AH4:AH22" si="7">AVERAGE(I4,M4,Q4,U4,Y4,AC4,AG4)</f>
        <v>0</v>
      </c>
      <c r="AI4" s="7"/>
      <c r="AJ4" s="7"/>
      <c r="AK4" s="7"/>
      <c r="AL4" s="7"/>
      <c r="AM4" s="7"/>
    </row>
    <row r="5" spans="1:39" ht="15.75" customHeight="1" x14ac:dyDescent="0.25">
      <c r="A5" s="1" t="s">
        <v>68</v>
      </c>
      <c r="B5" s="5" t="s">
        <v>69</v>
      </c>
      <c r="C5" s="1" t="s">
        <v>15</v>
      </c>
      <c r="D5" s="231">
        <v>2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64">
        <f t="shared" si="7"/>
        <v>0</v>
      </c>
      <c r="AI5" s="7"/>
      <c r="AJ5" s="7"/>
      <c r="AK5" s="7"/>
      <c r="AL5" s="9"/>
      <c r="AM5" s="7"/>
    </row>
    <row r="6" spans="1:39" ht="15.75" customHeight="1" x14ac:dyDescent="0.25">
      <c r="A6" s="1" t="s">
        <v>76</v>
      </c>
      <c r="B6" s="5" t="s">
        <v>77</v>
      </c>
      <c r="C6" s="1" t="s">
        <v>15</v>
      </c>
      <c r="D6" s="231">
        <v>2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64">
        <f t="shared" si="7"/>
        <v>0</v>
      </c>
      <c r="AI6" s="7"/>
      <c r="AJ6" s="7"/>
      <c r="AK6" s="7"/>
      <c r="AL6" s="9"/>
      <c r="AM6" s="7"/>
    </row>
    <row r="7" spans="1:39" ht="15.75" customHeight="1" x14ac:dyDescent="0.25">
      <c r="A7" s="1" t="s">
        <v>54</v>
      </c>
      <c r="B7" s="5" t="s">
        <v>55</v>
      </c>
      <c r="C7" s="1" t="s">
        <v>15</v>
      </c>
      <c r="D7" s="231">
        <v>2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64">
        <f t="shared" si="7"/>
        <v>0</v>
      </c>
      <c r="AI7" s="10"/>
      <c r="AJ7" s="10"/>
      <c r="AK7" s="6"/>
      <c r="AL7" s="6"/>
      <c r="AM7" s="7"/>
    </row>
    <row r="8" spans="1:39" ht="15.75" customHeight="1" x14ac:dyDescent="0.25">
      <c r="A8" s="1" t="s">
        <v>58</v>
      </c>
      <c r="B8" s="8" t="s">
        <v>59</v>
      </c>
      <c r="C8" s="1" t="s">
        <v>15</v>
      </c>
      <c r="D8" s="231">
        <v>2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64">
        <f t="shared" si="7"/>
        <v>0</v>
      </c>
      <c r="AI8" s="7"/>
      <c r="AJ8" s="7"/>
      <c r="AK8" s="6"/>
      <c r="AL8" s="6"/>
      <c r="AM8" s="7"/>
    </row>
    <row r="9" spans="1:39" ht="15.75" customHeight="1" x14ac:dyDescent="0.25">
      <c r="A9" s="1" t="s">
        <v>88</v>
      </c>
      <c r="B9" s="5" t="s">
        <v>89</v>
      </c>
      <c r="C9" s="1" t="s">
        <v>15</v>
      </c>
      <c r="D9" s="231">
        <v>2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64">
        <f t="shared" si="7"/>
        <v>0</v>
      </c>
      <c r="AI9" s="6"/>
      <c r="AJ9" s="6"/>
      <c r="AK9" s="11"/>
      <c r="AL9" s="9"/>
      <c r="AM9" s="7"/>
    </row>
    <row r="10" spans="1:39" ht="15.75" customHeight="1" x14ac:dyDescent="0.25">
      <c r="A10" s="1" t="s">
        <v>82</v>
      </c>
      <c r="B10" s="5" t="s">
        <v>83</v>
      </c>
      <c r="C10" s="1" t="s">
        <v>15</v>
      </c>
      <c r="D10" s="231">
        <v>2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64">
        <f t="shared" si="7"/>
        <v>0</v>
      </c>
      <c r="AI10" s="7"/>
      <c r="AJ10" s="7"/>
      <c r="AK10" s="7"/>
      <c r="AL10" s="7"/>
      <c r="AM10" s="7"/>
    </row>
    <row r="11" spans="1:39" ht="15.75" customHeight="1" x14ac:dyDescent="0.25">
      <c r="A11" s="1" t="s">
        <v>60</v>
      </c>
      <c r="B11" s="8" t="s">
        <v>61</v>
      </c>
      <c r="C11" s="1" t="s">
        <v>15</v>
      </c>
      <c r="D11" s="231">
        <v>2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64">
        <f t="shared" si="7"/>
        <v>0</v>
      </c>
      <c r="AI11" s="9"/>
      <c r="AJ11" s="9"/>
      <c r="AK11" s="6"/>
      <c r="AL11" s="6"/>
      <c r="AM11" s="7"/>
    </row>
    <row r="12" spans="1:39" ht="15.75" customHeight="1" x14ac:dyDescent="0.25">
      <c r="A12" s="1" t="s">
        <v>74</v>
      </c>
      <c r="B12" s="5" t="s">
        <v>75</v>
      </c>
      <c r="C12" s="1" t="s">
        <v>15</v>
      </c>
      <c r="D12" s="231">
        <v>2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64">
        <f t="shared" si="7"/>
        <v>0</v>
      </c>
      <c r="AI12" s="9"/>
      <c r="AJ12" s="6"/>
      <c r="AK12" s="6"/>
      <c r="AL12" s="11"/>
      <c r="AM12" s="7"/>
    </row>
    <row r="13" spans="1:39" ht="15.75" customHeight="1" x14ac:dyDescent="0.25">
      <c r="A13" s="1" t="s">
        <v>86</v>
      </c>
      <c r="B13" s="5" t="s">
        <v>87</v>
      </c>
      <c r="C13" s="1" t="s">
        <v>15</v>
      </c>
      <c r="D13" s="231">
        <v>2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64">
        <f t="shared" si="7"/>
        <v>0</v>
      </c>
      <c r="AI13" s="9"/>
      <c r="AJ13" s="7"/>
      <c r="AK13" s="7"/>
      <c r="AL13" s="9"/>
      <c r="AM13" s="7"/>
    </row>
    <row r="14" spans="1:39" ht="15.75" customHeight="1" x14ac:dyDescent="0.25">
      <c r="A14" s="1" t="s">
        <v>90</v>
      </c>
      <c r="B14" s="5" t="s">
        <v>91</v>
      </c>
      <c r="C14" s="1" t="s">
        <v>15</v>
      </c>
      <c r="D14" s="231">
        <v>2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64">
        <f t="shared" si="7"/>
        <v>0</v>
      </c>
      <c r="AI14" s="9"/>
      <c r="AJ14" s="9"/>
      <c r="AK14" s="7"/>
      <c r="AL14" s="7"/>
      <c r="AM14" s="7"/>
    </row>
    <row r="15" spans="1:39" ht="15.75" customHeight="1" x14ac:dyDescent="0.25">
      <c r="A15" s="1" t="s">
        <v>70</v>
      </c>
      <c r="B15" s="5" t="s">
        <v>71</v>
      </c>
      <c r="C15" s="1" t="s">
        <v>15</v>
      </c>
      <c r="D15" s="231">
        <v>2</v>
      </c>
      <c r="E15" s="25" t="s">
        <v>41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64">
        <f t="shared" si="7"/>
        <v>0</v>
      </c>
      <c r="AI15" s="6"/>
      <c r="AJ15" s="6"/>
      <c r="AK15" s="7"/>
      <c r="AL15" s="7"/>
      <c r="AM15" s="7"/>
    </row>
    <row r="16" spans="1:39" ht="15.75" customHeight="1" x14ac:dyDescent="0.25">
      <c r="A16" s="1" t="s">
        <v>52</v>
      </c>
      <c r="B16" s="8" t="s">
        <v>53</v>
      </c>
      <c r="C16" s="1" t="s">
        <v>15</v>
      </c>
      <c r="D16" s="231">
        <v>2</v>
      </c>
      <c r="E16" s="25" t="s">
        <v>41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64">
        <f t="shared" si="7"/>
        <v>0</v>
      </c>
      <c r="AI16" s="6"/>
      <c r="AJ16" s="6"/>
      <c r="AK16" s="6"/>
      <c r="AL16" s="6"/>
      <c r="AM16" s="7"/>
    </row>
    <row r="17" spans="1:34" ht="15.75" customHeight="1" x14ac:dyDescent="0.25">
      <c r="A17" s="1" t="s">
        <v>66</v>
      </c>
      <c r="B17" s="5" t="s">
        <v>67</v>
      </c>
      <c r="C17" s="1" t="s">
        <v>15</v>
      </c>
      <c r="D17" s="231">
        <v>2</v>
      </c>
      <c r="E17" s="25" t="s">
        <v>41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64">
        <f t="shared" si="7"/>
        <v>0</v>
      </c>
    </row>
    <row r="18" spans="1:34" ht="15.75" customHeight="1" x14ac:dyDescent="0.25">
      <c r="A18" s="1" t="s">
        <v>50</v>
      </c>
      <c r="B18" s="8" t="s">
        <v>51</v>
      </c>
      <c r="C18" s="1" t="s">
        <v>15</v>
      </c>
      <c r="D18" s="231">
        <v>2</v>
      </c>
      <c r="E18" s="25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64">
        <f t="shared" si="7"/>
        <v>0</v>
      </c>
    </row>
    <row r="19" spans="1:34" ht="15.75" customHeight="1" x14ac:dyDescent="0.25">
      <c r="A19" s="1" t="s">
        <v>84</v>
      </c>
      <c r="B19" s="5" t="s">
        <v>85</v>
      </c>
      <c r="C19" s="1" t="s">
        <v>15</v>
      </c>
      <c r="D19" s="231">
        <v>2</v>
      </c>
      <c r="E19" s="25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64">
        <f t="shared" si="7"/>
        <v>0</v>
      </c>
    </row>
    <row r="20" spans="1:34" ht="15.75" customHeight="1" x14ac:dyDescent="0.25">
      <c r="A20" s="1" t="s">
        <v>72</v>
      </c>
      <c r="B20" s="5" t="s">
        <v>73</v>
      </c>
      <c r="C20" s="1" t="s">
        <v>15</v>
      </c>
      <c r="D20" s="231">
        <v>2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64">
        <f t="shared" si="7"/>
        <v>0</v>
      </c>
    </row>
    <row r="21" spans="1:34" ht="15.75" customHeight="1" x14ac:dyDescent="0.25">
      <c r="A21" s="1" t="s">
        <v>48</v>
      </c>
      <c r="B21" s="8" t="s">
        <v>49</v>
      </c>
      <c r="C21" s="1" t="s">
        <v>15</v>
      </c>
      <c r="D21" s="231">
        <v>2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64">
        <f t="shared" si="7"/>
        <v>0</v>
      </c>
    </row>
    <row r="22" spans="1:34" ht="15.75" customHeight="1" x14ac:dyDescent="0.25">
      <c r="A22" s="1" t="s">
        <v>64</v>
      </c>
      <c r="B22" s="5" t="s">
        <v>65</v>
      </c>
      <c r="C22" s="1" t="s">
        <v>15</v>
      </c>
      <c r="D22" s="231">
        <v>2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64">
        <f t="shared" si="7"/>
        <v>0</v>
      </c>
    </row>
    <row r="23" spans="1:34" ht="15.75" customHeight="1" x14ac:dyDescent="0.25">
      <c r="A23" s="1" t="s">
        <v>92</v>
      </c>
      <c r="B23" s="5" t="s">
        <v>93</v>
      </c>
      <c r="C23" s="1" t="s">
        <v>15</v>
      </c>
      <c r="D23" s="231">
        <v>2</v>
      </c>
      <c r="E23" s="25" t="s">
        <v>41</v>
      </c>
      <c r="F23" s="132">
        <v>0</v>
      </c>
      <c r="G23" s="132">
        <v>0</v>
      </c>
      <c r="H23" s="132">
        <v>0</v>
      </c>
      <c r="I23" s="84">
        <f t="shared" ref="I23:I26" si="8">AVERAGE(F23:H23)</f>
        <v>0</v>
      </c>
      <c r="J23" s="132">
        <v>0</v>
      </c>
      <c r="K23" s="132">
        <v>0</v>
      </c>
      <c r="L23" s="132">
        <v>0</v>
      </c>
      <c r="M23" s="84">
        <f t="shared" ref="M23:M26" si="9">AVERAGE(J23:L23)</f>
        <v>0</v>
      </c>
      <c r="N23" s="132">
        <v>0</v>
      </c>
      <c r="O23" s="132">
        <v>0</v>
      </c>
      <c r="P23" s="132">
        <v>0</v>
      </c>
      <c r="Q23" s="84">
        <f t="shared" ref="Q23:Q26" si="10">AVERAGE(N23:P23)</f>
        <v>0</v>
      </c>
      <c r="R23" s="132">
        <v>0</v>
      </c>
      <c r="S23" s="132">
        <v>0</v>
      </c>
      <c r="T23" s="132">
        <v>0</v>
      </c>
      <c r="U23" s="84">
        <f t="shared" ref="U23:U26" si="11">AVERAGE(R23:T23)</f>
        <v>0</v>
      </c>
      <c r="V23" s="132">
        <v>0</v>
      </c>
      <c r="W23" s="132">
        <v>0</v>
      </c>
      <c r="X23" s="132">
        <v>0</v>
      </c>
      <c r="Y23" s="84">
        <f t="shared" ref="Y23:Y26" si="12">AVERAGE(V23:X23)</f>
        <v>0</v>
      </c>
      <c r="Z23" s="132">
        <v>0</v>
      </c>
      <c r="AA23" s="132">
        <v>0</v>
      </c>
      <c r="AB23" s="132">
        <v>0</v>
      </c>
      <c r="AC23" s="84">
        <f t="shared" ref="AC23:AC26" si="13">AVERAGE(Z23:AB23)</f>
        <v>0</v>
      </c>
      <c r="AD23" s="132">
        <v>0</v>
      </c>
      <c r="AE23" s="132">
        <v>0</v>
      </c>
      <c r="AF23" s="132">
        <v>0</v>
      </c>
      <c r="AG23" s="84">
        <f t="shared" ref="AG23:AG26" si="14">AVERAGE(AD23:AF23)</f>
        <v>0</v>
      </c>
      <c r="AH23" s="64">
        <f t="shared" ref="AH23:AH26" si="15">AVERAGE(I23,M23,Q23,U23,Y23,AC23,AG23)</f>
        <v>0</v>
      </c>
    </row>
    <row r="24" spans="1:34" ht="15.75" customHeight="1" x14ac:dyDescent="0.25">
      <c r="A24" s="1" t="s">
        <v>80</v>
      </c>
      <c r="B24" s="5" t="s">
        <v>81</v>
      </c>
      <c r="C24" s="1" t="s">
        <v>15</v>
      </c>
      <c r="D24" s="231">
        <v>2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8"/>
        <v>0</v>
      </c>
      <c r="J24" s="132">
        <v>0</v>
      </c>
      <c r="K24" s="132">
        <v>0</v>
      </c>
      <c r="L24" s="132">
        <v>0</v>
      </c>
      <c r="M24" s="84">
        <f t="shared" si="9"/>
        <v>0</v>
      </c>
      <c r="N24" s="132">
        <v>0</v>
      </c>
      <c r="O24" s="132">
        <v>0</v>
      </c>
      <c r="P24" s="132">
        <v>0</v>
      </c>
      <c r="Q24" s="84">
        <f t="shared" si="10"/>
        <v>0</v>
      </c>
      <c r="R24" s="132">
        <v>0</v>
      </c>
      <c r="S24" s="132">
        <v>0</v>
      </c>
      <c r="T24" s="132">
        <v>0</v>
      </c>
      <c r="U24" s="84">
        <f t="shared" si="11"/>
        <v>0</v>
      </c>
      <c r="V24" s="132">
        <v>0</v>
      </c>
      <c r="W24" s="132">
        <v>0</v>
      </c>
      <c r="X24" s="132">
        <v>0</v>
      </c>
      <c r="Y24" s="84">
        <f t="shared" si="12"/>
        <v>0</v>
      </c>
      <c r="Z24" s="132">
        <v>0</v>
      </c>
      <c r="AA24" s="132">
        <v>0</v>
      </c>
      <c r="AB24" s="132">
        <v>0</v>
      </c>
      <c r="AC24" s="84">
        <f t="shared" si="13"/>
        <v>0</v>
      </c>
      <c r="AD24" s="132">
        <v>0</v>
      </c>
      <c r="AE24" s="132">
        <v>0</v>
      </c>
      <c r="AF24" s="132">
        <v>0</v>
      </c>
      <c r="AG24" s="84">
        <f t="shared" si="14"/>
        <v>0</v>
      </c>
      <c r="AH24" s="64">
        <f t="shared" si="15"/>
        <v>0</v>
      </c>
    </row>
    <row r="25" spans="1:34" ht="15.75" customHeight="1" x14ac:dyDescent="0.25">
      <c r="A25" s="1" t="s">
        <v>56</v>
      </c>
      <c r="B25" s="8" t="s">
        <v>57</v>
      </c>
      <c r="C25" s="1" t="s">
        <v>15</v>
      </c>
      <c r="D25" s="231">
        <v>2</v>
      </c>
      <c r="E25" s="25" t="s">
        <v>41</v>
      </c>
      <c r="F25" s="132">
        <v>0</v>
      </c>
      <c r="G25" s="132">
        <v>0</v>
      </c>
      <c r="H25" s="132">
        <v>0</v>
      </c>
      <c r="I25" s="84">
        <f t="shared" si="8"/>
        <v>0</v>
      </c>
      <c r="J25" s="132">
        <v>0</v>
      </c>
      <c r="K25" s="132">
        <v>0</v>
      </c>
      <c r="L25" s="132">
        <v>0</v>
      </c>
      <c r="M25" s="84">
        <f t="shared" si="9"/>
        <v>0</v>
      </c>
      <c r="N25" s="132">
        <v>0</v>
      </c>
      <c r="O25" s="132">
        <v>0</v>
      </c>
      <c r="P25" s="132">
        <v>0</v>
      </c>
      <c r="Q25" s="84">
        <f t="shared" si="10"/>
        <v>0</v>
      </c>
      <c r="R25" s="132">
        <v>0</v>
      </c>
      <c r="S25" s="132">
        <v>0</v>
      </c>
      <c r="T25" s="132">
        <v>0</v>
      </c>
      <c r="U25" s="84">
        <f t="shared" si="11"/>
        <v>0</v>
      </c>
      <c r="V25" s="132">
        <v>0</v>
      </c>
      <c r="W25" s="132">
        <v>0</v>
      </c>
      <c r="X25" s="132">
        <v>0</v>
      </c>
      <c r="Y25" s="84">
        <f t="shared" si="12"/>
        <v>0</v>
      </c>
      <c r="Z25" s="132">
        <v>0</v>
      </c>
      <c r="AA25" s="132">
        <v>0</v>
      </c>
      <c r="AB25" s="132">
        <v>0</v>
      </c>
      <c r="AC25" s="84">
        <f t="shared" si="13"/>
        <v>0</v>
      </c>
      <c r="AD25" s="132">
        <v>0</v>
      </c>
      <c r="AE25" s="132">
        <v>0</v>
      </c>
      <c r="AF25" s="132">
        <v>0</v>
      </c>
      <c r="AG25" s="84">
        <f t="shared" si="14"/>
        <v>0</v>
      </c>
      <c r="AH25" s="64">
        <f t="shared" si="15"/>
        <v>0</v>
      </c>
    </row>
    <row r="26" spans="1:34" ht="15.75" customHeight="1" x14ac:dyDescent="0.25">
      <c r="A26" s="1" t="s">
        <v>78</v>
      </c>
      <c r="B26" s="5" t="s">
        <v>79</v>
      </c>
      <c r="C26" s="1" t="s">
        <v>15</v>
      </c>
      <c r="D26" s="231">
        <v>2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8"/>
        <v>0</v>
      </c>
      <c r="J26" s="132">
        <v>0</v>
      </c>
      <c r="K26" s="132">
        <v>0</v>
      </c>
      <c r="L26" s="132">
        <v>0</v>
      </c>
      <c r="M26" s="84">
        <f t="shared" si="9"/>
        <v>0</v>
      </c>
      <c r="N26" s="132">
        <v>0</v>
      </c>
      <c r="O26" s="132">
        <v>0</v>
      </c>
      <c r="P26" s="132">
        <v>0</v>
      </c>
      <c r="Q26" s="84">
        <f t="shared" si="10"/>
        <v>0</v>
      </c>
      <c r="R26" s="132">
        <v>0</v>
      </c>
      <c r="S26" s="132">
        <v>0</v>
      </c>
      <c r="T26" s="132">
        <v>0</v>
      </c>
      <c r="U26" s="84">
        <f t="shared" si="11"/>
        <v>0</v>
      </c>
      <c r="V26" s="132">
        <v>0</v>
      </c>
      <c r="W26" s="132">
        <v>0</v>
      </c>
      <c r="X26" s="132">
        <v>0</v>
      </c>
      <c r="Y26" s="84">
        <f t="shared" si="12"/>
        <v>0</v>
      </c>
      <c r="Z26" s="132">
        <v>0</v>
      </c>
      <c r="AA26" s="132">
        <v>0</v>
      </c>
      <c r="AB26" s="132">
        <v>0</v>
      </c>
      <c r="AC26" s="84">
        <f t="shared" si="13"/>
        <v>0</v>
      </c>
      <c r="AD26" s="132">
        <v>0</v>
      </c>
      <c r="AE26" s="132">
        <v>0</v>
      </c>
      <c r="AF26" s="132">
        <v>0</v>
      </c>
      <c r="AG26" s="84">
        <f t="shared" si="14"/>
        <v>0</v>
      </c>
      <c r="AH26" s="64">
        <f t="shared" si="15"/>
        <v>0</v>
      </c>
    </row>
  </sheetData>
  <sortState xmlns:xlrd2="http://schemas.microsoft.com/office/spreadsheetml/2017/richdata2" ref="A3:AH26">
    <sortCondition ref="E1:E26"/>
  </sortState>
  <mergeCells count="7">
    <mergeCell ref="Z1:AC1"/>
    <mergeCell ref="AD1:AG1"/>
    <mergeCell ref="F1:I1"/>
    <mergeCell ref="J1:M1"/>
    <mergeCell ref="N1:Q1"/>
    <mergeCell ref="R1:U1"/>
    <mergeCell ref="V1:Y1"/>
  </mergeCells>
  <conditionalFormatting sqref="F3:H26">
    <cfRule type="cellIs" dxfId="3586" priority="19" operator="lessThan">
      <formula>7.9</formula>
    </cfRule>
  </conditionalFormatting>
  <conditionalFormatting sqref="F3:H26">
    <cfRule type="cellIs" dxfId="3585" priority="20" operator="lessThan">
      <formula>7.4</formula>
    </cfRule>
  </conditionalFormatting>
  <conditionalFormatting sqref="F5:H6">
    <cfRule type="cellIs" dxfId="3584" priority="21" operator="lessThan">
      <formula>6.9</formula>
    </cfRule>
  </conditionalFormatting>
  <conditionalFormatting sqref="I3:I26">
    <cfRule type="cellIs" dxfId="3583" priority="22" operator="lessThan">
      <formula>7.9</formula>
    </cfRule>
    <cfRule type="cellIs" dxfId="3582" priority="31" operator="lessThan">
      <formula>6.9</formula>
    </cfRule>
    <cfRule type="cellIs" dxfId="3581" priority="32" operator="lessThan">
      <formula>7.4</formula>
    </cfRule>
    <cfRule type="cellIs" dxfId="3580" priority="33" operator="lessThan">
      <formula>7.9</formula>
    </cfRule>
  </conditionalFormatting>
  <conditionalFormatting sqref="I3:I26">
    <cfRule type="cellIs" dxfId="3579" priority="23" operator="lessThan">
      <formula>6.9</formula>
    </cfRule>
    <cfRule type="cellIs" dxfId="3578" priority="24" operator="lessThan">
      <formula>7.4</formula>
    </cfRule>
    <cfRule type="cellIs" dxfId="3577" priority="25" operator="lessThan">
      <formula>7.9</formula>
    </cfRule>
    <cfRule type="cellIs" dxfId="3576" priority="26" operator="lessThan">
      <formula>6.9</formula>
    </cfRule>
    <cfRule type="cellIs" dxfId="3575" priority="27" operator="lessThan">
      <formula>7.9</formula>
    </cfRule>
    <cfRule type="cellIs" dxfId="3574" priority="28" operator="lessThan">
      <formula>7.4</formula>
    </cfRule>
    <cfRule type="cellIs" dxfId="3573" priority="29" operator="lessThan">
      <formula>6.9</formula>
    </cfRule>
    <cfRule type="cellIs" dxfId="3572" priority="30" operator="lessThan">
      <formula>7.9</formula>
    </cfRule>
  </conditionalFormatting>
  <conditionalFormatting sqref="M3:M26">
    <cfRule type="cellIs" dxfId="3571" priority="34" operator="lessThan">
      <formula>7.9</formula>
    </cfRule>
    <cfRule type="cellIs" dxfId="3570" priority="35" operator="lessThan">
      <formula>6.9</formula>
    </cfRule>
    <cfRule type="cellIs" dxfId="3569" priority="36" operator="lessThan">
      <formula>7.4</formula>
    </cfRule>
    <cfRule type="cellIs" dxfId="3568" priority="37" operator="lessThan">
      <formula>7.9</formula>
    </cfRule>
    <cfRule type="cellIs" dxfId="3567" priority="38" operator="lessThan">
      <formula>6.9</formula>
    </cfRule>
    <cfRule type="cellIs" dxfId="3566" priority="39" operator="lessThan">
      <formula>7.9</formula>
    </cfRule>
    <cfRule type="cellIs" dxfId="3565" priority="40" operator="lessThan">
      <formula>7.4</formula>
    </cfRule>
    <cfRule type="cellIs" dxfId="3564" priority="41" operator="lessThan">
      <formula>6.9</formula>
    </cfRule>
    <cfRule type="cellIs" dxfId="3563" priority="42" operator="lessThan">
      <formula>7.9</formula>
    </cfRule>
    <cfRule type="cellIs" dxfId="3562" priority="43" operator="lessThan">
      <formula>6.9</formula>
    </cfRule>
    <cfRule type="cellIs" dxfId="3561" priority="44" operator="lessThan">
      <formula>7.4</formula>
    </cfRule>
    <cfRule type="cellIs" dxfId="3560" priority="45" operator="lessThan">
      <formula>6.9</formula>
    </cfRule>
    <cfRule type="cellIs" dxfId="3559" priority="46" operator="lessThan">
      <formula>7.4</formula>
    </cfRule>
    <cfRule type="cellIs" dxfId="3558" priority="47" operator="lessThan">
      <formula>7.9</formula>
    </cfRule>
  </conditionalFormatting>
  <conditionalFormatting sqref="Q3:Q26">
    <cfRule type="cellIs" dxfId="3557" priority="59" operator="lessThan">
      <formula>7.9</formula>
    </cfRule>
  </conditionalFormatting>
  <conditionalFormatting sqref="Q3:Q26">
    <cfRule type="cellIs" dxfId="3556" priority="57" operator="lessThan">
      <formula>7.9</formula>
    </cfRule>
    <cfRule type="cellIs" dxfId="3555" priority="58" operator="lessThan">
      <formula>6.9</formula>
    </cfRule>
    <cfRule type="cellIs" dxfId="3554" priority="63" operator="lessThan">
      <formula>7.4</formula>
    </cfRule>
    <cfRule type="cellIs" dxfId="3553" priority="100" operator="lessThan">
      <formula>6.9</formula>
    </cfRule>
    <cfRule type="cellIs" dxfId="3552" priority="101" operator="lessThan">
      <formula>7.9</formula>
    </cfRule>
    <cfRule type="cellIs" dxfId="3551" priority="102" operator="lessThan">
      <formula>7.4</formula>
    </cfRule>
    <cfRule type="cellIs" dxfId="3550" priority="103" operator="lessThan">
      <formula>6.9</formula>
    </cfRule>
    <cfRule type="cellIs" dxfId="3549" priority="104" operator="lessThan">
      <formula>7.9</formula>
    </cfRule>
    <cfRule type="cellIs" dxfId="3548" priority="105" operator="lessThan">
      <formula>6.9</formula>
    </cfRule>
    <cfRule type="cellIs" dxfId="3547" priority="106" operator="lessThan">
      <formula>7.4</formula>
    </cfRule>
    <cfRule type="cellIs" dxfId="3546" priority="107" operator="lessThan">
      <formula>7.9</formula>
    </cfRule>
  </conditionalFormatting>
  <conditionalFormatting sqref="U3:U26">
    <cfRule type="cellIs" dxfId="3545" priority="54" operator="lessThan">
      <formula>7.9</formula>
    </cfRule>
    <cfRule type="cellIs" dxfId="3544" priority="55" operator="lessThan">
      <formula>6.9</formula>
    </cfRule>
    <cfRule type="cellIs" dxfId="3543" priority="56" operator="lessThan">
      <formula>7.9</formula>
    </cfRule>
  </conditionalFormatting>
  <conditionalFormatting sqref="U3:U26">
    <cfRule type="cellIs" dxfId="3542" priority="62" operator="lessThan">
      <formula>7.4</formula>
    </cfRule>
    <cfRule type="cellIs" dxfId="3541" priority="92" operator="lessThan">
      <formula>6.9</formula>
    </cfRule>
    <cfRule type="cellIs" dxfId="3540" priority="93" operator="lessThan">
      <formula>7.9</formula>
    </cfRule>
    <cfRule type="cellIs" dxfId="3539" priority="94" operator="lessThan">
      <formula>7.4</formula>
    </cfRule>
    <cfRule type="cellIs" dxfId="3538" priority="95" operator="lessThan">
      <formula>6.9</formula>
    </cfRule>
    <cfRule type="cellIs" dxfId="3537" priority="96" operator="lessThan">
      <formula>7.9</formula>
    </cfRule>
    <cfRule type="cellIs" dxfId="3536" priority="97" operator="lessThan">
      <formula>6.9</formula>
    </cfRule>
    <cfRule type="cellIs" dxfId="3535" priority="98" operator="lessThan">
      <formula>7.4</formula>
    </cfRule>
    <cfRule type="cellIs" dxfId="3534" priority="99" operator="lessThan">
      <formula>7.9</formula>
    </cfRule>
  </conditionalFormatting>
  <conditionalFormatting sqref="Y3:Y26">
    <cfRule type="cellIs" dxfId="3533" priority="51" operator="lessThan">
      <formula>7.9</formula>
    </cfRule>
    <cfRule type="cellIs" dxfId="3532" priority="52" operator="lessThan">
      <formula>6.9</formula>
    </cfRule>
    <cfRule type="cellIs" dxfId="3531" priority="53" operator="lessThan">
      <formula>7.9</formula>
    </cfRule>
    <cfRule type="cellIs" dxfId="3530" priority="61" operator="lessThan">
      <formula>7.4</formula>
    </cfRule>
  </conditionalFormatting>
  <conditionalFormatting sqref="Y3:Y26">
    <cfRule type="cellIs" dxfId="3529" priority="84" operator="lessThan">
      <formula>6.9</formula>
    </cfRule>
    <cfRule type="cellIs" dxfId="3528" priority="85" operator="lessThan">
      <formula>7.9</formula>
    </cfRule>
    <cfRule type="cellIs" dxfId="3527" priority="86" operator="lessThan">
      <formula>7.4</formula>
    </cfRule>
    <cfRule type="cellIs" dxfId="3526" priority="87" operator="lessThan">
      <formula>6.9</formula>
    </cfRule>
    <cfRule type="cellIs" dxfId="3525" priority="88" operator="lessThan">
      <formula>7.9</formula>
    </cfRule>
    <cfRule type="cellIs" dxfId="3524" priority="89" operator="lessThan">
      <formula>6.9</formula>
    </cfRule>
    <cfRule type="cellIs" dxfId="3523" priority="90" operator="lessThan">
      <formula>7.4</formula>
    </cfRule>
    <cfRule type="cellIs" dxfId="3522" priority="91" operator="lessThan">
      <formula>7.9</formula>
    </cfRule>
  </conditionalFormatting>
  <conditionalFormatting sqref="AC3:AC26">
    <cfRule type="cellIs" dxfId="3521" priority="48" operator="lessThan">
      <formula>7.9</formula>
    </cfRule>
    <cfRule type="cellIs" dxfId="3520" priority="49" operator="lessThan">
      <formula>6.9</formula>
    </cfRule>
    <cfRule type="cellIs" dxfId="3519" priority="50" operator="lessThan">
      <formula>7.4</formula>
    </cfRule>
    <cfRule type="cellIs" dxfId="3518" priority="60" operator="lessThan">
      <formula>7.9</formula>
    </cfRule>
  </conditionalFormatting>
  <conditionalFormatting sqref="AC3:AC26">
    <cfRule type="cellIs" dxfId="3517" priority="76" operator="lessThan">
      <formula>6.9</formula>
    </cfRule>
    <cfRule type="cellIs" dxfId="3516" priority="77" operator="lessThan">
      <formula>7.9</formula>
    </cfRule>
    <cfRule type="cellIs" dxfId="3515" priority="78" operator="lessThan">
      <formula>7.4</formula>
    </cfRule>
    <cfRule type="cellIs" dxfId="3514" priority="79" operator="lessThan">
      <formula>6.9</formula>
    </cfRule>
    <cfRule type="cellIs" dxfId="3513" priority="80" operator="lessThan">
      <formula>7.9</formula>
    </cfRule>
    <cfRule type="cellIs" dxfId="3512" priority="81" operator="lessThan">
      <formula>6.9</formula>
    </cfRule>
    <cfRule type="cellIs" dxfId="3511" priority="82" operator="lessThan">
      <formula>7.4</formula>
    </cfRule>
    <cfRule type="cellIs" dxfId="3510" priority="83" operator="lessThan">
      <formula>7.9</formula>
    </cfRule>
  </conditionalFormatting>
  <conditionalFormatting sqref="AG3:AG26">
    <cfRule type="cellIs" dxfId="3509" priority="64" operator="lessThan">
      <formula>7.9</formula>
    </cfRule>
    <cfRule type="cellIs" dxfId="3508" priority="65" operator="lessThan">
      <formula>6.9</formula>
    </cfRule>
    <cfRule type="cellIs" dxfId="3507" priority="66" operator="lessThan">
      <formula>7.4</formula>
    </cfRule>
    <cfRule type="cellIs" dxfId="3506" priority="67" operator="lessThan">
      <formula>7.9</formula>
    </cfRule>
    <cfRule type="cellIs" dxfId="3505" priority="68" operator="lessThan">
      <formula>6.9</formula>
    </cfRule>
    <cfRule type="cellIs" dxfId="3504" priority="69" operator="lessThan">
      <formula>7.9</formula>
    </cfRule>
    <cfRule type="cellIs" dxfId="3503" priority="70" operator="lessThan">
      <formula>7.4</formula>
    </cfRule>
    <cfRule type="cellIs" dxfId="3502" priority="71" operator="lessThan">
      <formula>6.9</formula>
    </cfRule>
    <cfRule type="cellIs" dxfId="3501" priority="72" operator="lessThan">
      <formula>7.9</formula>
    </cfRule>
    <cfRule type="cellIs" dxfId="3500" priority="73" operator="lessThan">
      <formula>6.9</formula>
    </cfRule>
    <cfRule type="cellIs" dxfId="3499" priority="74" operator="lessThan">
      <formula>7.4</formula>
    </cfRule>
    <cfRule type="cellIs" dxfId="3498" priority="75" operator="lessThan">
      <formula>7.9</formula>
    </cfRule>
  </conditionalFormatting>
  <conditionalFormatting sqref="J3:L26">
    <cfRule type="cellIs" dxfId="3497" priority="16" operator="lessThan">
      <formula>7.9</formula>
    </cfRule>
  </conditionalFormatting>
  <conditionalFormatting sqref="J3:L26">
    <cfRule type="cellIs" dxfId="3496" priority="17" operator="lessThan">
      <formula>7.4</formula>
    </cfRule>
  </conditionalFormatting>
  <conditionalFormatting sqref="J5:L6">
    <cfRule type="cellIs" dxfId="3495" priority="18" operator="lessThan">
      <formula>6.9</formula>
    </cfRule>
  </conditionalFormatting>
  <conditionalFormatting sqref="N3:P26">
    <cfRule type="cellIs" dxfId="3494" priority="13" operator="lessThan">
      <formula>7.9</formula>
    </cfRule>
  </conditionalFormatting>
  <conditionalFormatting sqref="N3:P26">
    <cfRule type="cellIs" dxfId="3493" priority="14" operator="lessThan">
      <formula>7.4</formula>
    </cfRule>
  </conditionalFormatting>
  <conditionalFormatting sqref="N5:P6">
    <cfRule type="cellIs" dxfId="3492" priority="15" operator="lessThan">
      <formula>6.9</formula>
    </cfRule>
  </conditionalFormatting>
  <conditionalFormatting sqref="R3:T26">
    <cfRule type="cellIs" dxfId="3491" priority="10" operator="lessThan">
      <formula>7.9</formula>
    </cfRule>
  </conditionalFormatting>
  <conditionalFormatting sqref="R3:T26">
    <cfRule type="cellIs" dxfId="3490" priority="11" operator="lessThan">
      <formula>7.4</formula>
    </cfRule>
  </conditionalFormatting>
  <conditionalFormatting sqref="R5:T6">
    <cfRule type="cellIs" dxfId="3489" priority="12" operator="lessThan">
      <formula>6.9</formula>
    </cfRule>
  </conditionalFormatting>
  <conditionalFormatting sqref="V3:X26">
    <cfRule type="cellIs" dxfId="3488" priority="7" operator="lessThan">
      <formula>7.9</formula>
    </cfRule>
  </conditionalFormatting>
  <conditionalFormatting sqref="V3:X26">
    <cfRule type="cellIs" dxfId="3487" priority="8" operator="lessThan">
      <formula>7.4</formula>
    </cfRule>
  </conditionalFormatting>
  <conditionalFormatting sqref="V5:X6">
    <cfRule type="cellIs" dxfId="3486" priority="9" operator="lessThan">
      <formula>6.9</formula>
    </cfRule>
  </conditionalFormatting>
  <conditionalFormatting sqref="Z3:AB26">
    <cfRule type="cellIs" dxfId="3485" priority="4" operator="lessThan">
      <formula>7.9</formula>
    </cfRule>
  </conditionalFormatting>
  <conditionalFormatting sqref="Z3:AB26">
    <cfRule type="cellIs" dxfId="3484" priority="5" operator="lessThan">
      <formula>7.4</formula>
    </cfRule>
  </conditionalFormatting>
  <conditionalFormatting sqref="Z5:AB6">
    <cfRule type="cellIs" dxfId="3483" priority="6" operator="lessThan">
      <formula>6.9</formula>
    </cfRule>
  </conditionalFormatting>
  <conditionalFormatting sqref="AD3:AF26">
    <cfRule type="cellIs" dxfId="3482" priority="1" operator="lessThan">
      <formula>7.9</formula>
    </cfRule>
  </conditionalFormatting>
  <conditionalFormatting sqref="AD3:AF26">
    <cfRule type="cellIs" dxfId="3481" priority="2" operator="lessThan">
      <formula>7.4</formula>
    </cfRule>
  </conditionalFormatting>
  <conditionalFormatting sqref="AD5:AF6">
    <cfRule type="cellIs" dxfId="3480" priority="3" operator="lessThan">
      <formula>6.9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22"/>
  <sheetViews>
    <sheetView topLeftCell="C1" workbookViewId="0">
      <selection activeCell="F2" sqref="F1:AH1048576"/>
    </sheetView>
  </sheetViews>
  <sheetFormatPr baseColWidth="10" defaultColWidth="12.5703125" defaultRowHeight="15.75" customHeight="1" x14ac:dyDescent="0.2"/>
  <cols>
    <col min="1" max="1" width="10.140625" customWidth="1"/>
    <col min="2" max="2" width="44.425781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</cols>
  <sheetData>
    <row r="1" spans="1:34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888</v>
      </c>
      <c r="O1" s="195"/>
      <c r="P1" s="195"/>
      <c r="Q1" s="196"/>
      <c r="R1" s="194" t="s">
        <v>1</v>
      </c>
      <c r="S1" s="195"/>
      <c r="T1" s="195"/>
      <c r="U1" s="196"/>
      <c r="V1" s="194" t="s">
        <v>0</v>
      </c>
      <c r="W1" s="195"/>
      <c r="X1" s="195"/>
      <c r="Y1" s="196"/>
      <c r="Z1" s="194" t="s">
        <v>873</v>
      </c>
      <c r="AA1" s="195"/>
      <c r="AB1" s="195"/>
      <c r="AC1" s="196"/>
      <c r="AD1" s="194" t="s">
        <v>874</v>
      </c>
      <c r="AE1" s="195"/>
      <c r="AF1" s="195"/>
      <c r="AG1" s="196"/>
      <c r="AH1" s="71" t="s">
        <v>2</v>
      </c>
    </row>
    <row r="2" spans="1:34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1" t="s">
        <v>12</v>
      </c>
    </row>
    <row r="3" spans="1:34" ht="15.75" customHeight="1" x14ac:dyDescent="0.25">
      <c r="A3" s="1" t="s">
        <v>120</v>
      </c>
      <c r="B3" s="5" t="s">
        <v>121</v>
      </c>
      <c r="C3" s="1" t="s">
        <v>15</v>
      </c>
      <c r="D3" s="231">
        <v>3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22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64">
        <f>AVERAGE(I3,M3,Q3,U3,Y3,AC3,AG3)</f>
        <v>0</v>
      </c>
    </row>
    <row r="4" spans="1:34" ht="15.75" customHeight="1" x14ac:dyDescent="0.25">
      <c r="A4" s="1" t="s">
        <v>122</v>
      </c>
      <c r="B4" s="5" t="s">
        <v>123</v>
      </c>
      <c r="C4" s="1" t="s">
        <v>15</v>
      </c>
      <c r="D4" s="231">
        <v>3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22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22" si="2">AVERAGE(N4:P4)</f>
        <v>0</v>
      </c>
      <c r="R4" s="132">
        <v>0</v>
      </c>
      <c r="S4" s="132">
        <v>0</v>
      </c>
      <c r="T4" s="132">
        <v>0</v>
      </c>
      <c r="U4" s="84">
        <f t="shared" ref="U4:U22" si="3">AVERAGE(R4:T4)</f>
        <v>0</v>
      </c>
      <c r="V4" s="132">
        <v>0</v>
      </c>
      <c r="W4" s="132">
        <v>0</v>
      </c>
      <c r="X4" s="132">
        <v>0</v>
      </c>
      <c r="Y4" s="84">
        <f t="shared" ref="Y4:Y22" si="4">AVERAGE(V4:X4)</f>
        <v>0</v>
      </c>
      <c r="Z4" s="132">
        <v>0</v>
      </c>
      <c r="AA4" s="132">
        <v>0</v>
      </c>
      <c r="AB4" s="132">
        <v>0</v>
      </c>
      <c r="AC4" s="84">
        <f t="shared" ref="AC4:AC22" si="5">AVERAGE(Z4:AB4)</f>
        <v>0</v>
      </c>
      <c r="AD4" s="132">
        <v>0</v>
      </c>
      <c r="AE4" s="132">
        <v>0</v>
      </c>
      <c r="AF4" s="132">
        <v>0</v>
      </c>
      <c r="AG4" s="84">
        <f t="shared" ref="AG4:AG22" si="6">AVERAGE(AD4:AF4)</f>
        <v>0</v>
      </c>
      <c r="AH4" s="64">
        <f t="shared" ref="AH4:AH22" si="7">AVERAGE(I4,M4,Q4,U4,Y4,AC4,AG4)</f>
        <v>0</v>
      </c>
    </row>
    <row r="5" spans="1:34" ht="15.75" customHeight="1" x14ac:dyDescent="0.25">
      <c r="A5" s="1" t="s">
        <v>114</v>
      </c>
      <c r="B5" s="8" t="s">
        <v>115</v>
      </c>
      <c r="C5" s="1" t="s">
        <v>15</v>
      </c>
      <c r="D5" s="231">
        <v>3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64">
        <f t="shared" si="7"/>
        <v>0</v>
      </c>
    </row>
    <row r="6" spans="1:34" ht="15.75" customHeight="1" x14ac:dyDescent="0.25">
      <c r="A6" s="1" t="s">
        <v>128</v>
      </c>
      <c r="B6" s="5" t="s">
        <v>129</v>
      </c>
      <c r="C6" s="1" t="s">
        <v>15</v>
      </c>
      <c r="D6" s="231">
        <v>3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64">
        <f t="shared" si="7"/>
        <v>0</v>
      </c>
    </row>
    <row r="7" spans="1:34" ht="15.75" customHeight="1" x14ac:dyDescent="0.25">
      <c r="A7" s="1" t="s">
        <v>126</v>
      </c>
      <c r="B7" s="5" t="s">
        <v>127</v>
      </c>
      <c r="C7" s="1" t="s">
        <v>15</v>
      </c>
      <c r="D7" s="231">
        <v>3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64">
        <f t="shared" si="7"/>
        <v>0</v>
      </c>
    </row>
    <row r="8" spans="1:34" ht="15.75" customHeight="1" x14ac:dyDescent="0.25">
      <c r="A8" s="1" t="s">
        <v>102</v>
      </c>
      <c r="B8" s="8" t="s">
        <v>103</v>
      </c>
      <c r="C8" s="1" t="s">
        <v>15</v>
      </c>
      <c r="D8" s="231">
        <v>3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64">
        <f t="shared" si="7"/>
        <v>0</v>
      </c>
    </row>
    <row r="9" spans="1:34" ht="15.75" customHeight="1" x14ac:dyDescent="0.25">
      <c r="A9" s="1" t="s">
        <v>108</v>
      </c>
      <c r="B9" s="8" t="s">
        <v>109</v>
      </c>
      <c r="C9" s="1" t="s">
        <v>15</v>
      </c>
      <c r="D9" s="231">
        <v>3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64">
        <f t="shared" si="7"/>
        <v>0</v>
      </c>
    </row>
    <row r="10" spans="1:34" ht="15.75" customHeight="1" x14ac:dyDescent="0.25">
      <c r="A10" s="1" t="s">
        <v>100</v>
      </c>
      <c r="B10" s="8" t="s">
        <v>101</v>
      </c>
      <c r="C10" s="1" t="s">
        <v>15</v>
      </c>
      <c r="D10" s="231">
        <v>3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64">
        <f t="shared" si="7"/>
        <v>0</v>
      </c>
    </row>
    <row r="11" spans="1:34" ht="15.75" customHeight="1" x14ac:dyDescent="0.25">
      <c r="A11" s="1" t="s">
        <v>132</v>
      </c>
      <c r="B11" s="5" t="s">
        <v>133</v>
      </c>
      <c r="C11" s="1" t="s">
        <v>15</v>
      </c>
      <c r="D11" s="231">
        <v>3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64">
        <f t="shared" si="7"/>
        <v>0</v>
      </c>
    </row>
    <row r="12" spans="1:34" ht="15.75" customHeight="1" x14ac:dyDescent="0.25">
      <c r="A12" s="1" t="s">
        <v>110</v>
      </c>
      <c r="B12" s="8" t="s">
        <v>111</v>
      </c>
      <c r="C12" s="1" t="s">
        <v>15</v>
      </c>
      <c r="D12" s="231">
        <v>3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64">
        <f t="shared" si="7"/>
        <v>0</v>
      </c>
    </row>
    <row r="13" spans="1:34" ht="15.75" customHeight="1" x14ac:dyDescent="0.25">
      <c r="A13" s="1" t="s">
        <v>112</v>
      </c>
      <c r="B13" s="8" t="s">
        <v>113</v>
      </c>
      <c r="C13" s="1" t="s">
        <v>15</v>
      </c>
      <c r="D13" s="231">
        <v>3</v>
      </c>
      <c r="E13" s="25" t="s">
        <v>41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64">
        <f t="shared" si="7"/>
        <v>0</v>
      </c>
    </row>
    <row r="14" spans="1:34" ht="15.75" customHeight="1" x14ac:dyDescent="0.25">
      <c r="A14" s="1" t="s">
        <v>134</v>
      </c>
      <c r="B14" s="5" t="s">
        <v>135</v>
      </c>
      <c r="C14" s="1" t="s">
        <v>15</v>
      </c>
      <c r="D14" s="231">
        <v>3</v>
      </c>
      <c r="E14" s="25" t="s">
        <v>41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64">
        <f t="shared" si="7"/>
        <v>0</v>
      </c>
    </row>
    <row r="15" spans="1:34" ht="15.75" customHeight="1" x14ac:dyDescent="0.25">
      <c r="A15" s="1" t="s">
        <v>96</v>
      </c>
      <c r="B15" s="5" t="s">
        <v>97</v>
      </c>
      <c r="C15" s="1" t="s">
        <v>15</v>
      </c>
      <c r="D15" s="231">
        <v>3</v>
      </c>
      <c r="E15" s="25" t="s">
        <v>41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64">
        <f t="shared" si="7"/>
        <v>0</v>
      </c>
    </row>
    <row r="16" spans="1:34" ht="15.75" customHeight="1" x14ac:dyDescent="0.25">
      <c r="A16" s="1" t="s">
        <v>98</v>
      </c>
      <c r="B16" s="5" t="s">
        <v>99</v>
      </c>
      <c r="C16" s="1" t="s">
        <v>15</v>
      </c>
      <c r="D16" s="231">
        <v>3</v>
      </c>
      <c r="E16" s="25" t="s">
        <v>41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64">
        <f t="shared" si="7"/>
        <v>0</v>
      </c>
    </row>
    <row r="17" spans="1:34" ht="15.75" customHeight="1" x14ac:dyDescent="0.25">
      <c r="A17" s="1" t="s">
        <v>106</v>
      </c>
      <c r="B17" s="5" t="s">
        <v>107</v>
      </c>
      <c r="C17" s="1" t="s">
        <v>15</v>
      </c>
      <c r="D17" s="231">
        <v>3</v>
      </c>
      <c r="E17" s="25" t="s">
        <v>41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64">
        <f t="shared" si="7"/>
        <v>0</v>
      </c>
    </row>
    <row r="18" spans="1:34" ht="15.75" customHeight="1" x14ac:dyDescent="0.25">
      <c r="A18" s="1" t="s">
        <v>116</v>
      </c>
      <c r="B18" s="8" t="s">
        <v>117</v>
      </c>
      <c r="C18" s="1" t="s">
        <v>15</v>
      </c>
      <c r="D18" s="231">
        <v>3</v>
      </c>
      <c r="E18" s="25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64">
        <f t="shared" si="7"/>
        <v>0</v>
      </c>
    </row>
    <row r="19" spans="1:34" ht="15.75" customHeight="1" x14ac:dyDescent="0.25">
      <c r="A19" s="1" t="s">
        <v>118</v>
      </c>
      <c r="B19" s="5" t="s">
        <v>119</v>
      </c>
      <c r="C19" s="1" t="s">
        <v>15</v>
      </c>
      <c r="D19" s="231">
        <v>3</v>
      </c>
      <c r="E19" s="25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64">
        <f t="shared" si="7"/>
        <v>0</v>
      </c>
    </row>
    <row r="20" spans="1:34" ht="15.75" customHeight="1" x14ac:dyDescent="0.25">
      <c r="A20" s="1" t="s">
        <v>124</v>
      </c>
      <c r="B20" s="5" t="s">
        <v>125</v>
      </c>
      <c r="C20" s="1" t="s">
        <v>15</v>
      </c>
      <c r="D20" s="231">
        <v>3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64">
        <f t="shared" si="7"/>
        <v>0</v>
      </c>
    </row>
    <row r="21" spans="1:34" ht="15.75" customHeight="1" x14ac:dyDescent="0.25">
      <c r="A21" s="1" t="s">
        <v>104</v>
      </c>
      <c r="B21" s="5" t="s">
        <v>105</v>
      </c>
      <c r="C21" s="1" t="s">
        <v>15</v>
      </c>
      <c r="D21" s="231">
        <v>3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64">
        <f t="shared" si="7"/>
        <v>0</v>
      </c>
    </row>
    <row r="22" spans="1:34" ht="15.75" customHeight="1" x14ac:dyDescent="0.25">
      <c r="A22" s="1" t="s">
        <v>130</v>
      </c>
      <c r="B22" s="5" t="s">
        <v>131</v>
      </c>
      <c r="C22" s="1" t="s">
        <v>15</v>
      </c>
      <c r="D22" s="231">
        <v>3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64">
        <f t="shared" si="7"/>
        <v>0</v>
      </c>
    </row>
  </sheetData>
  <sortState xmlns:xlrd2="http://schemas.microsoft.com/office/spreadsheetml/2017/richdata2" ref="A3:U22">
    <sortCondition ref="E1:E22"/>
  </sortState>
  <mergeCells count="7">
    <mergeCell ref="V1:Y1"/>
    <mergeCell ref="Z1:AC1"/>
    <mergeCell ref="AD1:AG1"/>
    <mergeCell ref="R1:U1"/>
    <mergeCell ref="F1:I1"/>
    <mergeCell ref="J1:M1"/>
    <mergeCell ref="N1:Q1"/>
  </mergeCells>
  <conditionalFormatting sqref="F3:H22">
    <cfRule type="cellIs" dxfId="3479" priority="34" operator="lessThan">
      <formula>7.9</formula>
    </cfRule>
  </conditionalFormatting>
  <conditionalFormatting sqref="F3:H22">
    <cfRule type="cellIs" dxfId="3478" priority="35" operator="lessThan">
      <formula>7.4</formula>
    </cfRule>
  </conditionalFormatting>
  <conditionalFormatting sqref="F5:H6">
    <cfRule type="cellIs" dxfId="3477" priority="36" operator="lessThan">
      <formula>6.9</formula>
    </cfRule>
  </conditionalFormatting>
  <conditionalFormatting sqref="I3:I22">
    <cfRule type="cellIs" dxfId="3476" priority="37" operator="lessThan">
      <formula>7.9</formula>
    </cfRule>
    <cfRule type="cellIs" dxfId="3475" priority="46" operator="lessThan">
      <formula>6.9</formula>
    </cfRule>
    <cfRule type="cellIs" dxfId="3474" priority="47" operator="lessThan">
      <formula>7.4</formula>
    </cfRule>
    <cfRule type="cellIs" dxfId="3473" priority="48" operator="lessThan">
      <formula>7.9</formula>
    </cfRule>
  </conditionalFormatting>
  <conditionalFormatting sqref="I3:I22">
    <cfRule type="cellIs" dxfId="3472" priority="38" operator="lessThan">
      <formula>6.9</formula>
    </cfRule>
    <cfRule type="cellIs" dxfId="3471" priority="39" operator="lessThan">
      <formula>7.4</formula>
    </cfRule>
    <cfRule type="cellIs" dxfId="3470" priority="40" operator="lessThan">
      <formula>7.9</formula>
    </cfRule>
    <cfRule type="cellIs" dxfId="3469" priority="41" operator="lessThan">
      <formula>6.9</formula>
    </cfRule>
    <cfRule type="cellIs" dxfId="3468" priority="42" operator="lessThan">
      <formula>7.9</formula>
    </cfRule>
    <cfRule type="cellIs" dxfId="3467" priority="43" operator="lessThan">
      <formula>7.4</formula>
    </cfRule>
    <cfRule type="cellIs" dxfId="3466" priority="44" operator="lessThan">
      <formula>6.9</formula>
    </cfRule>
    <cfRule type="cellIs" dxfId="3465" priority="45" operator="lessThan">
      <formula>7.9</formula>
    </cfRule>
  </conditionalFormatting>
  <conditionalFormatting sqref="M3:M22">
    <cfRule type="cellIs" dxfId="3464" priority="49" operator="lessThan">
      <formula>7.9</formula>
    </cfRule>
    <cfRule type="cellIs" dxfId="3463" priority="50" operator="lessThan">
      <formula>6.9</formula>
    </cfRule>
    <cfRule type="cellIs" dxfId="3462" priority="51" operator="lessThan">
      <formula>7.4</formula>
    </cfRule>
    <cfRule type="cellIs" dxfId="3461" priority="52" operator="lessThan">
      <formula>7.9</formula>
    </cfRule>
    <cfRule type="cellIs" dxfId="3460" priority="53" operator="lessThan">
      <formula>6.9</formula>
    </cfRule>
    <cfRule type="cellIs" dxfId="3459" priority="54" operator="lessThan">
      <formula>7.9</formula>
    </cfRule>
    <cfRule type="cellIs" dxfId="3458" priority="55" operator="lessThan">
      <formula>7.4</formula>
    </cfRule>
    <cfRule type="cellIs" dxfId="3457" priority="56" operator="lessThan">
      <formula>6.9</formula>
    </cfRule>
    <cfRule type="cellIs" dxfId="3456" priority="57" operator="lessThan">
      <formula>7.9</formula>
    </cfRule>
    <cfRule type="cellIs" dxfId="3455" priority="58" operator="lessThan">
      <formula>6.9</formula>
    </cfRule>
    <cfRule type="cellIs" dxfId="3454" priority="59" operator="lessThan">
      <formula>7.4</formula>
    </cfRule>
    <cfRule type="cellIs" dxfId="3453" priority="60" operator="lessThan">
      <formula>6.9</formula>
    </cfRule>
    <cfRule type="cellIs" dxfId="3452" priority="61" operator="lessThan">
      <formula>7.4</formula>
    </cfRule>
    <cfRule type="cellIs" dxfId="3451" priority="62" operator="lessThan">
      <formula>7.9</formula>
    </cfRule>
  </conditionalFormatting>
  <conditionalFormatting sqref="Q3:Q22">
    <cfRule type="cellIs" dxfId="3450" priority="83" operator="lessThan">
      <formula>7.9</formula>
    </cfRule>
  </conditionalFormatting>
  <conditionalFormatting sqref="Q3:Q22">
    <cfRule type="cellIs" dxfId="3449" priority="81" operator="lessThan">
      <formula>7.9</formula>
    </cfRule>
    <cfRule type="cellIs" dxfId="3448" priority="82" operator="lessThan">
      <formula>6.9</formula>
    </cfRule>
    <cfRule type="cellIs" dxfId="3447" priority="96" operator="lessThan">
      <formula>7.4</formula>
    </cfRule>
    <cfRule type="cellIs" dxfId="3446" priority="159" operator="lessThan">
      <formula>6.9</formula>
    </cfRule>
    <cfRule type="cellIs" dxfId="3445" priority="160" operator="lessThan">
      <formula>7.9</formula>
    </cfRule>
    <cfRule type="cellIs" dxfId="3444" priority="161" operator="lessThan">
      <formula>7.4</formula>
    </cfRule>
    <cfRule type="cellIs" dxfId="3443" priority="162" operator="lessThan">
      <formula>6.9</formula>
    </cfRule>
    <cfRule type="cellIs" dxfId="3442" priority="163" operator="lessThan">
      <formula>7.9</formula>
    </cfRule>
    <cfRule type="cellIs" dxfId="3441" priority="164" operator="lessThan">
      <formula>6.9</formula>
    </cfRule>
    <cfRule type="cellIs" dxfId="3440" priority="165" operator="lessThan">
      <formula>7.4</formula>
    </cfRule>
    <cfRule type="cellIs" dxfId="3439" priority="166" operator="lessThan">
      <formula>7.9</formula>
    </cfRule>
  </conditionalFormatting>
  <conditionalFormatting sqref="U3:U22">
    <cfRule type="cellIs" dxfId="3438" priority="78" operator="lessThan">
      <formula>7.9</formula>
    </cfRule>
    <cfRule type="cellIs" dxfId="3437" priority="79" operator="lessThan">
      <formula>6.9</formula>
    </cfRule>
    <cfRule type="cellIs" dxfId="3436" priority="80" operator="lessThan">
      <formula>7.9</formula>
    </cfRule>
  </conditionalFormatting>
  <conditionalFormatting sqref="U3:U22">
    <cfRule type="cellIs" dxfId="3435" priority="95" operator="lessThan">
      <formula>7.4</formula>
    </cfRule>
    <cfRule type="cellIs" dxfId="3434" priority="151" operator="lessThan">
      <formula>6.9</formula>
    </cfRule>
    <cfRule type="cellIs" dxfId="3433" priority="152" operator="lessThan">
      <formula>7.9</formula>
    </cfRule>
    <cfRule type="cellIs" dxfId="3432" priority="153" operator="lessThan">
      <formula>7.4</formula>
    </cfRule>
    <cfRule type="cellIs" dxfId="3431" priority="154" operator="lessThan">
      <formula>6.9</formula>
    </cfRule>
    <cfRule type="cellIs" dxfId="3430" priority="155" operator="lessThan">
      <formula>7.9</formula>
    </cfRule>
    <cfRule type="cellIs" dxfId="3429" priority="156" operator="lessThan">
      <formula>6.9</formula>
    </cfRule>
    <cfRule type="cellIs" dxfId="3428" priority="157" operator="lessThan">
      <formula>7.4</formula>
    </cfRule>
    <cfRule type="cellIs" dxfId="3427" priority="158" operator="lessThan">
      <formula>7.9</formula>
    </cfRule>
  </conditionalFormatting>
  <conditionalFormatting sqref="Y3:Y22">
    <cfRule type="cellIs" dxfId="3426" priority="66" operator="lessThan">
      <formula>7.9</formula>
    </cfRule>
    <cfRule type="cellIs" dxfId="3425" priority="67" operator="lessThan">
      <formula>6.9</formula>
    </cfRule>
    <cfRule type="cellIs" dxfId="3424" priority="68" operator="lessThan">
      <formula>7.9</formula>
    </cfRule>
    <cfRule type="cellIs" dxfId="3423" priority="91" operator="lessThan">
      <formula>7.4</formula>
    </cfRule>
  </conditionalFormatting>
  <conditionalFormatting sqref="Y3:Y22">
    <cfRule type="cellIs" dxfId="3422" priority="119" operator="lessThan">
      <formula>6.9</formula>
    </cfRule>
    <cfRule type="cellIs" dxfId="3421" priority="120" operator="lessThan">
      <formula>7.9</formula>
    </cfRule>
    <cfRule type="cellIs" dxfId="3420" priority="121" operator="lessThan">
      <formula>7.4</formula>
    </cfRule>
    <cfRule type="cellIs" dxfId="3419" priority="122" operator="lessThan">
      <formula>6.9</formula>
    </cfRule>
    <cfRule type="cellIs" dxfId="3418" priority="123" operator="lessThan">
      <formula>7.9</formula>
    </cfRule>
    <cfRule type="cellIs" dxfId="3417" priority="124" operator="lessThan">
      <formula>6.9</formula>
    </cfRule>
    <cfRule type="cellIs" dxfId="3416" priority="125" operator="lessThan">
      <formula>7.4</formula>
    </cfRule>
    <cfRule type="cellIs" dxfId="3415" priority="126" operator="lessThan">
      <formula>7.9</formula>
    </cfRule>
  </conditionalFormatting>
  <conditionalFormatting sqref="AC3:AC22">
    <cfRule type="cellIs" dxfId="3414" priority="63" operator="lessThan">
      <formula>7.9</formula>
    </cfRule>
    <cfRule type="cellIs" dxfId="3413" priority="64" operator="lessThan">
      <formula>6.9</formula>
    </cfRule>
    <cfRule type="cellIs" dxfId="3412" priority="65" operator="lessThan">
      <formula>7.4</formula>
    </cfRule>
    <cfRule type="cellIs" dxfId="3411" priority="90" operator="lessThan">
      <formula>7.9</formula>
    </cfRule>
  </conditionalFormatting>
  <conditionalFormatting sqref="AC3:AC22">
    <cfRule type="cellIs" dxfId="3410" priority="111" operator="lessThan">
      <formula>6.9</formula>
    </cfRule>
    <cfRule type="cellIs" dxfId="3409" priority="112" operator="lessThan">
      <formula>7.9</formula>
    </cfRule>
    <cfRule type="cellIs" dxfId="3408" priority="113" operator="lessThan">
      <formula>7.4</formula>
    </cfRule>
    <cfRule type="cellIs" dxfId="3407" priority="114" operator="lessThan">
      <formula>6.9</formula>
    </cfRule>
    <cfRule type="cellIs" dxfId="3406" priority="115" operator="lessThan">
      <formula>7.9</formula>
    </cfRule>
    <cfRule type="cellIs" dxfId="3405" priority="116" operator="lessThan">
      <formula>6.9</formula>
    </cfRule>
    <cfRule type="cellIs" dxfId="3404" priority="117" operator="lessThan">
      <formula>7.4</formula>
    </cfRule>
    <cfRule type="cellIs" dxfId="3403" priority="118" operator="lessThan">
      <formula>7.9</formula>
    </cfRule>
  </conditionalFormatting>
  <conditionalFormatting sqref="AG3:AG22">
    <cfRule type="cellIs" dxfId="3402" priority="99" operator="lessThan">
      <formula>7.9</formula>
    </cfRule>
    <cfRule type="cellIs" dxfId="3401" priority="100" operator="lessThan">
      <formula>6.9</formula>
    </cfRule>
    <cfRule type="cellIs" dxfId="3400" priority="101" operator="lessThan">
      <formula>7.4</formula>
    </cfRule>
    <cfRule type="cellIs" dxfId="3399" priority="102" operator="lessThan">
      <formula>7.9</formula>
    </cfRule>
    <cfRule type="cellIs" dxfId="3398" priority="103" operator="lessThan">
      <formula>6.9</formula>
    </cfRule>
    <cfRule type="cellIs" dxfId="3397" priority="104" operator="lessThan">
      <formula>7.9</formula>
    </cfRule>
    <cfRule type="cellIs" dxfId="3396" priority="105" operator="lessThan">
      <formula>7.4</formula>
    </cfRule>
    <cfRule type="cellIs" dxfId="3395" priority="106" operator="lessThan">
      <formula>6.9</formula>
    </cfRule>
    <cfRule type="cellIs" dxfId="3394" priority="107" operator="lessThan">
      <formula>7.9</formula>
    </cfRule>
    <cfRule type="cellIs" dxfId="3393" priority="108" operator="lessThan">
      <formula>6.9</formula>
    </cfRule>
    <cfRule type="cellIs" dxfId="3392" priority="109" operator="lessThan">
      <formula>7.4</formula>
    </cfRule>
    <cfRule type="cellIs" dxfId="3391" priority="110" operator="lessThan">
      <formula>7.9</formula>
    </cfRule>
  </conditionalFormatting>
  <conditionalFormatting sqref="J3:L22">
    <cfRule type="cellIs" dxfId="3390" priority="31" operator="lessThan">
      <formula>7.9</formula>
    </cfRule>
  </conditionalFormatting>
  <conditionalFormatting sqref="J3:L22">
    <cfRule type="cellIs" dxfId="3389" priority="32" operator="lessThan">
      <formula>7.4</formula>
    </cfRule>
  </conditionalFormatting>
  <conditionalFormatting sqref="J5:L6">
    <cfRule type="cellIs" dxfId="3388" priority="33" operator="lessThan">
      <formula>6.9</formula>
    </cfRule>
  </conditionalFormatting>
  <conditionalFormatting sqref="N3:P22">
    <cfRule type="cellIs" dxfId="3387" priority="22" operator="lessThan">
      <formula>7.9</formula>
    </cfRule>
  </conditionalFormatting>
  <conditionalFormatting sqref="N3:P22">
    <cfRule type="cellIs" dxfId="3386" priority="23" operator="lessThan">
      <formula>7.4</formula>
    </cfRule>
  </conditionalFormatting>
  <conditionalFormatting sqref="N5:P6">
    <cfRule type="cellIs" dxfId="3385" priority="24" operator="lessThan">
      <formula>6.9</formula>
    </cfRule>
  </conditionalFormatting>
  <conditionalFormatting sqref="R3:T22">
    <cfRule type="cellIs" dxfId="3384" priority="19" operator="lessThan">
      <formula>7.9</formula>
    </cfRule>
  </conditionalFormatting>
  <conditionalFormatting sqref="R3:T22">
    <cfRule type="cellIs" dxfId="3383" priority="20" operator="lessThan">
      <formula>7.4</formula>
    </cfRule>
  </conditionalFormatting>
  <conditionalFormatting sqref="R5:T6">
    <cfRule type="cellIs" dxfId="3382" priority="21" operator="lessThan">
      <formula>6.9</formula>
    </cfRule>
  </conditionalFormatting>
  <conditionalFormatting sqref="V3:X22">
    <cfRule type="cellIs" dxfId="3381" priority="7" operator="lessThan">
      <formula>7.9</formula>
    </cfRule>
  </conditionalFormatting>
  <conditionalFormatting sqref="V3:X22">
    <cfRule type="cellIs" dxfId="3380" priority="8" operator="lessThan">
      <formula>7.4</formula>
    </cfRule>
  </conditionalFormatting>
  <conditionalFormatting sqref="V5:X6">
    <cfRule type="cellIs" dxfId="3379" priority="9" operator="lessThan">
      <formula>6.9</formula>
    </cfRule>
  </conditionalFormatting>
  <conditionalFormatting sqref="Z3:AB22">
    <cfRule type="cellIs" dxfId="3378" priority="4" operator="lessThan">
      <formula>7.9</formula>
    </cfRule>
  </conditionalFormatting>
  <conditionalFormatting sqref="Z3:AB22">
    <cfRule type="cellIs" dxfId="3377" priority="5" operator="lessThan">
      <formula>7.4</formula>
    </cfRule>
  </conditionalFormatting>
  <conditionalFormatting sqref="Z5:AB6">
    <cfRule type="cellIs" dxfId="3376" priority="6" operator="lessThan">
      <formula>6.9</formula>
    </cfRule>
  </conditionalFormatting>
  <conditionalFormatting sqref="AD3:AF22">
    <cfRule type="cellIs" dxfId="3375" priority="1" operator="lessThan">
      <formula>7.9</formula>
    </cfRule>
  </conditionalFormatting>
  <conditionalFormatting sqref="AD3:AF22">
    <cfRule type="cellIs" dxfId="3374" priority="2" operator="lessThan">
      <formula>7.4</formula>
    </cfRule>
  </conditionalFormatting>
  <conditionalFormatting sqref="AD5:AF6">
    <cfRule type="cellIs" dxfId="3373" priority="3" operator="lessThan">
      <formula>6.9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J40"/>
  <sheetViews>
    <sheetView topLeftCell="A7" zoomScale="80" zoomScaleNormal="80" workbookViewId="0">
      <selection activeCell="E10" sqref="E10"/>
    </sheetView>
  </sheetViews>
  <sheetFormatPr baseColWidth="10" defaultColWidth="12.5703125" defaultRowHeight="15.75" customHeight="1" x14ac:dyDescent="0.2"/>
  <cols>
    <col min="1" max="1" width="10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  <col min="58" max="58" width="7.28515625" bestFit="1" customWidth="1"/>
    <col min="59" max="59" width="7.5703125" bestFit="1" customWidth="1"/>
    <col min="60" max="60" width="7.5703125" customWidth="1"/>
    <col min="61" max="61" width="5.5703125" bestFit="1" customWidth="1"/>
  </cols>
  <sheetData>
    <row r="1" spans="1:62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194" t="s">
        <v>139</v>
      </c>
      <c r="BC1" s="195"/>
      <c r="BD1" s="195"/>
      <c r="BE1" s="196"/>
      <c r="BF1" s="194" t="s">
        <v>140</v>
      </c>
      <c r="BG1" s="195"/>
      <c r="BH1" s="195"/>
      <c r="BI1" s="196"/>
      <c r="BJ1" s="71" t="s">
        <v>2</v>
      </c>
    </row>
    <row r="2" spans="1:62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5" t="s">
        <v>8</v>
      </c>
      <c r="BG2" s="75" t="s">
        <v>9</v>
      </c>
      <c r="BH2" s="75" t="s">
        <v>10</v>
      </c>
      <c r="BI2" s="68" t="s">
        <v>11</v>
      </c>
      <c r="BJ2" s="71" t="s">
        <v>12</v>
      </c>
    </row>
    <row r="3" spans="1:62" ht="15.75" customHeight="1" x14ac:dyDescent="0.25">
      <c r="A3" s="1" t="s">
        <v>167</v>
      </c>
      <c r="B3" s="5" t="s">
        <v>168</v>
      </c>
      <c r="C3" s="1" t="s">
        <v>15</v>
      </c>
      <c r="D3" s="231">
        <v>1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0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132">
        <v>0</v>
      </c>
      <c r="BC3" s="132">
        <v>0</v>
      </c>
      <c r="BD3" s="132">
        <v>0</v>
      </c>
      <c r="BE3" s="84">
        <f>AVERAGE(BB3:BD3)</f>
        <v>0</v>
      </c>
      <c r="BF3" s="132">
        <v>0</v>
      </c>
      <c r="BG3" s="132">
        <v>0</v>
      </c>
      <c r="BH3" s="132">
        <v>0</v>
      </c>
      <c r="BI3" s="84">
        <f>AVERAGE(BF3:BH3)</f>
        <v>0</v>
      </c>
      <c r="BJ3" s="64">
        <f>AVERAGE(I3,M3,Q3,U3,Y3,AC3,AG3,AK3,AO3,AS3,AW3,BA3,BE3,BI3)</f>
        <v>0</v>
      </c>
    </row>
    <row r="4" spans="1:62" ht="15.75" customHeight="1" x14ac:dyDescent="0.25">
      <c r="A4" s="1" t="s">
        <v>145</v>
      </c>
      <c r="B4" s="5" t="s">
        <v>146</v>
      </c>
      <c r="C4" s="1" t="s">
        <v>15</v>
      </c>
      <c r="D4" s="231">
        <v>1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30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0" si="2">AVERAGE(N4:P4)</f>
        <v>0</v>
      </c>
      <c r="R4" s="132">
        <v>0</v>
      </c>
      <c r="S4" s="132">
        <v>0</v>
      </c>
      <c r="T4" s="132">
        <v>0</v>
      </c>
      <c r="U4" s="84">
        <f t="shared" ref="U4:U30" si="3">AVERAGE(R4:T4)</f>
        <v>0</v>
      </c>
      <c r="V4" s="132">
        <v>0</v>
      </c>
      <c r="W4" s="132">
        <v>0</v>
      </c>
      <c r="X4" s="132">
        <v>0</v>
      </c>
      <c r="Y4" s="84">
        <f t="shared" ref="Y4:Y30" si="4">AVERAGE(V4:X4)</f>
        <v>0</v>
      </c>
      <c r="Z4" s="132">
        <v>0</v>
      </c>
      <c r="AA4" s="132">
        <v>0</v>
      </c>
      <c r="AB4" s="132">
        <v>0</v>
      </c>
      <c r="AC4" s="84">
        <f t="shared" ref="AC4:AC30" si="5">AVERAGE(Z4:AB4)</f>
        <v>0</v>
      </c>
      <c r="AD4" s="132">
        <v>0</v>
      </c>
      <c r="AE4" s="132">
        <v>0</v>
      </c>
      <c r="AF4" s="132">
        <v>0</v>
      </c>
      <c r="AG4" s="84">
        <f t="shared" ref="AG4:AG30" si="6">AVERAGE(AD4:AF4)</f>
        <v>0</v>
      </c>
      <c r="AH4" s="132">
        <v>0</v>
      </c>
      <c r="AI4" s="132">
        <v>0</v>
      </c>
      <c r="AJ4" s="132">
        <v>0</v>
      </c>
      <c r="AK4" s="84">
        <f t="shared" ref="AK4:AK30" si="7">AVERAGE(AH4:AJ4)</f>
        <v>0</v>
      </c>
      <c r="AL4" s="132">
        <v>0</v>
      </c>
      <c r="AM4" s="132">
        <v>0</v>
      </c>
      <c r="AN4" s="132">
        <v>0</v>
      </c>
      <c r="AO4" s="84">
        <f t="shared" ref="AO4:AO30" si="8">AVERAGE(AL4:AN4)</f>
        <v>0</v>
      </c>
      <c r="AP4" s="132">
        <v>0</v>
      </c>
      <c r="AQ4" s="132">
        <v>0</v>
      </c>
      <c r="AR4" s="132">
        <v>0</v>
      </c>
      <c r="AS4" s="84">
        <f t="shared" ref="AS4:AS30" si="9">AVERAGE(AP4:AR4)</f>
        <v>0</v>
      </c>
      <c r="AT4" s="132">
        <v>0</v>
      </c>
      <c r="AU4" s="132">
        <v>0</v>
      </c>
      <c r="AV4" s="132">
        <v>0</v>
      </c>
      <c r="AW4" s="84">
        <f t="shared" ref="AW4:AW30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0" si="11">AVERAGE(AX4:AZ4)</f>
        <v>0</v>
      </c>
      <c r="BB4" s="132">
        <v>0</v>
      </c>
      <c r="BC4" s="132">
        <v>0</v>
      </c>
      <c r="BD4" s="132">
        <v>0</v>
      </c>
      <c r="BE4" s="84">
        <f t="shared" ref="BE4:BE30" si="12">AVERAGE(BB4:BD4)</f>
        <v>0</v>
      </c>
      <c r="BF4" s="132">
        <v>0</v>
      </c>
      <c r="BG4" s="132">
        <v>0</v>
      </c>
      <c r="BH4" s="132">
        <v>0</v>
      </c>
      <c r="BI4" s="84">
        <f t="shared" ref="BI4:BI30" si="13">AVERAGE(BF4:BH4)</f>
        <v>0</v>
      </c>
      <c r="BJ4" s="64">
        <f t="shared" ref="BJ4:BJ30" si="14">AVERAGE(I4,M4,Q4,U4,Y4,AC4,AG4,AK4,AO4,AS4,AW4,BA4,BE4,BI4)</f>
        <v>0</v>
      </c>
    </row>
    <row r="5" spans="1:62" ht="15.75" customHeight="1" x14ac:dyDescent="0.25">
      <c r="A5" s="1" t="s">
        <v>161</v>
      </c>
      <c r="B5" s="5" t="s">
        <v>162</v>
      </c>
      <c r="C5" s="1" t="s">
        <v>15</v>
      </c>
      <c r="D5" s="231">
        <v>1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132">
        <v>0</v>
      </c>
      <c r="BC5" s="132">
        <v>0</v>
      </c>
      <c r="BD5" s="132">
        <v>0</v>
      </c>
      <c r="BE5" s="84">
        <f t="shared" si="12"/>
        <v>0</v>
      </c>
      <c r="BF5" s="132">
        <v>0</v>
      </c>
      <c r="BG5" s="132">
        <v>0</v>
      </c>
      <c r="BH5" s="132">
        <v>0</v>
      </c>
      <c r="BI5" s="84">
        <f t="shared" si="13"/>
        <v>0</v>
      </c>
      <c r="BJ5" s="64">
        <f t="shared" si="14"/>
        <v>0</v>
      </c>
    </row>
    <row r="6" spans="1:62" ht="15.75" customHeight="1" x14ac:dyDescent="0.25">
      <c r="A6" s="1" t="s">
        <v>203</v>
      </c>
      <c r="B6" s="5" t="s">
        <v>204</v>
      </c>
      <c r="C6" s="1" t="s">
        <v>15</v>
      </c>
      <c r="D6" s="231">
        <v>1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132">
        <v>0</v>
      </c>
      <c r="BC6" s="132">
        <v>0</v>
      </c>
      <c r="BD6" s="132">
        <v>0</v>
      </c>
      <c r="BE6" s="84">
        <f t="shared" si="12"/>
        <v>0</v>
      </c>
      <c r="BF6" s="132">
        <v>0</v>
      </c>
      <c r="BG6" s="132">
        <v>0</v>
      </c>
      <c r="BH6" s="132">
        <v>0</v>
      </c>
      <c r="BI6" s="84">
        <f t="shared" si="13"/>
        <v>0</v>
      </c>
      <c r="BJ6" s="64">
        <f t="shared" si="14"/>
        <v>0</v>
      </c>
    </row>
    <row r="7" spans="1:62" ht="15.75" customHeight="1" x14ac:dyDescent="0.25">
      <c r="A7" s="1" t="s">
        <v>151</v>
      </c>
      <c r="B7" s="8" t="s">
        <v>152</v>
      </c>
      <c r="C7" s="1" t="s">
        <v>15</v>
      </c>
      <c r="D7" s="231">
        <v>1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132">
        <v>0</v>
      </c>
      <c r="BC7" s="132">
        <v>0</v>
      </c>
      <c r="BD7" s="132">
        <v>0</v>
      </c>
      <c r="BE7" s="84">
        <f t="shared" si="12"/>
        <v>0</v>
      </c>
      <c r="BF7" s="132">
        <v>0</v>
      </c>
      <c r="BG7" s="132">
        <v>0</v>
      </c>
      <c r="BH7" s="132">
        <v>0</v>
      </c>
      <c r="BI7" s="84">
        <f t="shared" si="13"/>
        <v>0</v>
      </c>
      <c r="BJ7" s="64">
        <f t="shared" si="14"/>
        <v>0</v>
      </c>
    </row>
    <row r="8" spans="1:62" ht="15.75" customHeight="1" x14ac:dyDescent="0.25">
      <c r="A8" s="1" t="s">
        <v>141</v>
      </c>
      <c r="B8" s="5" t="s">
        <v>142</v>
      </c>
      <c r="C8" s="1" t="s">
        <v>15</v>
      </c>
      <c r="D8" s="231">
        <v>1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132">
        <v>0</v>
      </c>
      <c r="BC8" s="132">
        <v>0</v>
      </c>
      <c r="BD8" s="132">
        <v>0</v>
      </c>
      <c r="BE8" s="84">
        <f t="shared" si="12"/>
        <v>0</v>
      </c>
      <c r="BF8" s="132">
        <v>0</v>
      </c>
      <c r="BG8" s="132">
        <v>0</v>
      </c>
      <c r="BH8" s="132">
        <v>0</v>
      </c>
      <c r="BI8" s="84">
        <f t="shared" si="13"/>
        <v>0</v>
      </c>
      <c r="BJ8" s="64">
        <f t="shared" si="14"/>
        <v>0</v>
      </c>
    </row>
    <row r="9" spans="1:62" ht="15.75" customHeight="1" x14ac:dyDescent="0.25">
      <c r="A9" s="1" t="s">
        <v>165</v>
      </c>
      <c r="B9" s="5" t="s">
        <v>166</v>
      </c>
      <c r="C9" s="1" t="s">
        <v>15</v>
      </c>
      <c r="D9" s="231">
        <v>1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132">
        <v>0</v>
      </c>
      <c r="BC9" s="132">
        <v>0</v>
      </c>
      <c r="BD9" s="132">
        <v>0</v>
      </c>
      <c r="BE9" s="84">
        <f t="shared" si="12"/>
        <v>0</v>
      </c>
      <c r="BF9" s="132">
        <v>0</v>
      </c>
      <c r="BG9" s="132">
        <v>0</v>
      </c>
      <c r="BH9" s="132">
        <v>0</v>
      </c>
      <c r="BI9" s="84">
        <f t="shared" si="13"/>
        <v>0</v>
      </c>
      <c r="BJ9" s="64">
        <f t="shared" si="14"/>
        <v>0</v>
      </c>
    </row>
    <row r="10" spans="1:62" ht="15.75" customHeight="1" x14ac:dyDescent="0.25">
      <c r="A10" s="1" t="s">
        <v>199</v>
      </c>
      <c r="B10" s="5" t="s">
        <v>200</v>
      </c>
      <c r="C10" s="1" t="s">
        <v>15</v>
      </c>
      <c r="D10" s="231">
        <v>1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132">
        <v>0</v>
      </c>
      <c r="BC10" s="132">
        <v>0</v>
      </c>
      <c r="BD10" s="132">
        <v>0</v>
      </c>
      <c r="BE10" s="84">
        <f t="shared" si="12"/>
        <v>0</v>
      </c>
      <c r="BF10" s="132">
        <v>0</v>
      </c>
      <c r="BG10" s="132">
        <v>0</v>
      </c>
      <c r="BH10" s="132">
        <v>0</v>
      </c>
      <c r="BI10" s="84">
        <f t="shared" si="13"/>
        <v>0</v>
      </c>
      <c r="BJ10" s="64">
        <f t="shared" si="14"/>
        <v>0</v>
      </c>
    </row>
    <row r="11" spans="1:62" ht="15.75" customHeight="1" x14ac:dyDescent="0.25">
      <c r="A11" s="1" t="s">
        <v>147</v>
      </c>
      <c r="B11" s="5" t="s">
        <v>148</v>
      </c>
      <c r="C11" s="1" t="s">
        <v>15</v>
      </c>
      <c r="D11" s="231">
        <v>1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132">
        <v>0</v>
      </c>
      <c r="BC11" s="132">
        <v>0</v>
      </c>
      <c r="BD11" s="132">
        <v>0</v>
      </c>
      <c r="BE11" s="84">
        <f t="shared" si="12"/>
        <v>0</v>
      </c>
      <c r="BF11" s="132">
        <v>0</v>
      </c>
      <c r="BG11" s="132">
        <v>0</v>
      </c>
      <c r="BH11" s="132">
        <v>0</v>
      </c>
      <c r="BI11" s="84">
        <f t="shared" si="13"/>
        <v>0</v>
      </c>
      <c r="BJ11" s="64">
        <f t="shared" si="14"/>
        <v>0</v>
      </c>
    </row>
    <row r="12" spans="1:62" ht="15.75" customHeight="1" x14ac:dyDescent="0.25">
      <c r="A12" s="1" t="s">
        <v>213</v>
      </c>
      <c r="B12" s="5" t="s">
        <v>214</v>
      </c>
      <c r="C12" s="1" t="s">
        <v>15</v>
      </c>
      <c r="D12" s="231">
        <v>1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132">
        <v>0</v>
      </c>
      <c r="BC12" s="132">
        <v>0</v>
      </c>
      <c r="BD12" s="132">
        <v>0</v>
      </c>
      <c r="BE12" s="84">
        <f t="shared" si="12"/>
        <v>0</v>
      </c>
      <c r="BF12" s="132">
        <v>0</v>
      </c>
      <c r="BG12" s="132">
        <v>0</v>
      </c>
      <c r="BH12" s="132">
        <v>0</v>
      </c>
      <c r="BI12" s="84">
        <f t="shared" si="13"/>
        <v>0</v>
      </c>
      <c r="BJ12" s="64">
        <f t="shared" si="14"/>
        <v>0</v>
      </c>
    </row>
    <row r="13" spans="1:62" ht="15.75" customHeight="1" x14ac:dyDescent="0.25">
      <c r="A13" s="1" t="s">
        <v>155</v>
      </c>
      <c r="B13" s="12" t="s">
        <v>156</v>
      </c>
      <c r="C13" s="1" t="s">
        <v>15</v>
      </c>
      <c r="D13" s="231">
        <v>1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132">
        <v>0</v>
      </c>
      <c r="BC13" s="132">
        <v>0</v>
      </c>
      <c r="BD13" s="132">
        <v>0</v>
      </c>
      <c r="BE13" s="84">
        <f t="shared" si="12"/>
        <v>0</v>
      </c>
      <c r="BF13" s="132">
        <v>0</v>
      </c>
      <c r="BG13" s="132">
        <v>0</v>
      </c>
      <c r="BH13" s="132">
        <v>0</v>
      </c>
      <c r="BI13" s="84">
        <f t="shared" si="13"/>
        <v>0</v>
      </c>
      <c r="BJ13" s="64">
        <f t="shared" si="14"/>
        <v>0</v>
      </c>
    </row>
    <row r="14" spans="1:62" ht="15.75" customHeight="1" x14ac:dyDescent="0.25">
      <c r="A14" s="1" t="s">
        <v>195</v>
      </c>
      <c r="B14" s="5" t="s">
        <v>196</v>
      </c>
      <c r="C14" s="1" t="s">
        <v>15</v>
      </c>
      <c r="D14" s="231">
        <v>1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132">
        <v>0</v>
      </c>
      <c r="BC14" s="132">
        <v>0</v>
      </c>
      <c r="BD14" s="132">
        <v>0</v>
      </c>
      <c r="BE14" s="84">
        <f t="shared" si="12"/>
        <v>0</v>
      </c>
      <c r="BF14" s="132">
        <v>0</v>
      </c>
      <c r="BG14" s="132">
        <v>0</v>
      </c>
      <c r="BH14" s="132">
        <v>0</v>
      </c>
      <c r="BI14" s="84">
        <f t="shared" si="13"/>
        <v>0</v>
      </c>
      <c r="BJ14" s="64">
        <f t="shared" si="14"/>
        <v>0</v>
      </c>
    </row>
    <row r="15" spans="1:62" ht="15.75" customHeight="1" x14ac:dyDescent="0.25">
      <c r="A15" s="1" t="s">
        <v>157</v>
      </c>
      <c r="B15" s="8" t="s">
        <v>158</v>
      </c>
      <c r="C15" s="1" t="s">
        <v>15</v>
      </c>
      <c r="D15" s="231">
        <v>1</v>
      </c>
      <c r="E15" s="25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132">
        <v>0</v>
      </c>
      <c r="BC15" s="132">
        <v>0</v>
      </c>
      <c r="BD15" s="132">
        <v>0</v>
      </c>
      <c r="BE15" s="84">
        <f t="shared" si="12"/>
        <v>0</v>
      </c>
      <c r="BF15" s="132">
        <v>0</v>
      </c>
      <c r="BG15" s="132">
        <v>0</v>
      </c>
      <c r="BH15" s="132">
        <v>0</v>
      </c>
      <c r="BI15" s="84">
        <f t="shared" si="13"/>
        <v>0</v>
      </c>
      <c r="BJ15" s="64">
        <f t="shared" si="14"/>
        <v>0</v>
      </c>
    </row>
    <row r="16" spans="1:62" ht="15.75" customHeight="1" x14ac:dyDescent="0.25">
      <c r="A16" s="1" t="s">
        <v>197</v>
      </c>
      <c r="B16" s="5" t="s">
        <v>198</v>
      </c>
      <c r="C16" s="1" t="s">
        <v>15</v>
      </c>
      <c r="D16" s="231">
        <v>1</v>
      </c>
      <c r="E16" s="25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132">
        <v>0</v>
      </c>
      <c r="BC16" s="132">
        <v>0</v>
      </c>
      <c r="BD16" s="132">
        <v>0</v>
      </c>
      <c r="BE16" s="84">
        <f t="shared" si="12"/>
        <v>0</v>
      </c>
      <c r="BF16" s="132">
        <v>0</v>
      </c>
      <c r="BG16" s="132">
        <v>0</v>
      </c>
      <c r="BH16" s="132">
        <v>0</v>
      </c>
      <c r="BI16" s="84">
        <f t="shared" si="13"/>
        <v>0</v>
      </c>
      <c r="BJ16" s="64">
        <f t="shared" si="14"/>
        <v>0</v>
      </c>
    </row>
    <row r="17" spans="1:62" ht="15.75" customHeight="1" x14ac:dyDescent="0.25">
      <c r="A17" s="1" t="s">
        <v>149</v>
      </c>
      <c r="B17" s="8" t="s">
        <v>150</v>
      </c>
      <c r="C17" s="1" t="s">
        <v>15</v>
      </c>
      <c r="D17" s="231">
        <v>1</v>
      </c>
      <c r="E17" s="25" t="s">
        <v>16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132">
        <v>0</v>
      </c>
      <c r="BC17" s="132">
        <v>0</v>
      </c>
      <c r="BD17" s="132">
        <v>0</v>
      </c>
      <c r="BE17" s="84">
        <f t="shared" si="12"/>
        <v>0</v>
      </c>
      <c r="BF17" s="132">
        <v>0</v>
      </c>
      <c r="BG17" s="132">
        <v>0</v>
      </c>
      <c r="BH17" s="132">
        <v>0</v>
      </c>
      <c r="BI17" s="84">
        <f t="shared" si="13"/>
        <v>0</v>
      </c>
      <c r="BJ17" s="64">
        <f t="shared" si="14"/>
        <v>0</v>
      </c>
    </row>
    <row r="18" spans="1:62" ht="15.75" customHeight="1" x14ac:dyDescent="0.25">
      <c r="A18" s="1" t="s">
        <v>209</v>
      </c>
      <c r="B18" s="5" t="s">
        <v>210</v>
      </c>
      <c r="C18" s="1" t="s">
        <v>15</v>
      </c>
      <c r="D18" s="231">
        <v>1</v>
      </c>
      <c r="E18" s="25" t="s">
        <v>16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132">
        <v>0</v>
      </c>
      <c r="BC18" s="132">
        <v>0</v>
      </c>
      <c r="BD18" s="132">
        <v>0</v>
      </c>
      <c r="BE18" s="103">
        <f t="shared" si="12"/>
        <v>0</v>
      </c>
      <c r="BF18" s="132">
        <v>0</v>
      </c>
      <c r="BG18" s="132">
        <v>0</v>
      </c>
      <c r="BH18" s="132">
        <v>0</v>
      </c>
      <c r="BI18" s="103">
        <f t="shared" si="13"/>
        <v>0</v>
      </c>
      <c r="BJ18" s="64">
        <f t="shared" si="14"/>
        <v>0</v>
      </c>
    </row>
    <row r="19" spans="1:62" ht="15.75" customHeight="1" x14ac:dyDescent="0.25">
      <c r="A19" s="1" t="s">
        <v>217</v>
      </c>
      <c r="B19" s="5" t="s">
        <v>218</v>
      </c>
      <c r="C19" s="1" t="s">
        <v>15</v>
      </c>
      <c r="D19" s="231">
        <v>1</v>
      </c>
      <c r="E19" s="25" t="s">
        <v>16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132">
        <v>0</v>
      </c>
      <c r="BC19" s="132">
        <v>0</v>
      </c>
      <c r="BD19" s="132">
        <v>0</v>
      </c>
      <c r="BE19" s="84">
        <f t="shared" si="12"/>
        <v>0</v>
      </c>
      <c r="BF19" s="132">
        <v>0</v>
      </c>
      <c r="BG19" s="132">
        <v>0</v>
      </c>
      <c r="BH19" s="132">
        <v>0</v>
      </c>
      <c r="BI19" s="84">
        <f t="shared" si="13"/>
        <v>0</v>
      </c>
      <c r="BJ19" s="64">
        <f t="shared" si="14"/>
        <v>0</v>
      </c>
    </row>
    <row r="20" spans="1:62" ht="15.75" customHeight="1" x14ac:dyDescent="0.25">
      <c r="A20" s="1" t="s">
        <v>201</v>
      </c>
      <c r="B20" s="5" t="s">
        <v>202</v>
      </c>
      <c r="C20" s="1" t="s">
        <v>15</v>
      </c>
      <c r="D20" s="231">
        <v>1</v>
      </c>
      <c r="E20" s="25" t="s">
        <v>16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132">
        <v>0</v>
      </c>
      <c r="BC20" s="132">
        <v>0</v>
      </c>
      <c r="BD20" s="132">
        <v>0</v>
      </c>
      <c r="BE20" s="84">
        <f t="shared" si="12"/>
        <v>0</v>
      </c>
      <c r="BF20" s="132">
        <v>0</v>
      </c>
      <c r="BG20" s="132">
        <v>0</v>
      </c>
      <c r="BH20" s="132">
        <v>0</v>
      </c>
      <c r="BI20" s="84">
        <f t="shared" si="13"/>
        <v>0</v>
      </c>
      <c r="BJ20" s="64">
        <f t="shared" si="14"/>
        <v>0</v>
      </c>
    </row>
    <row r="21" spans="1:62" ht="15.75" customHeight="1" x14ac:dyDescent="0.25">
      <c r="A21" s="1" t="s">
        <v>207</v>
      </c>
      <c r="B21" s="5" t="s">
        <v>208</v>
      </c>
      <c r="C21" s="1" t="s">
        <v>15</v>
      </c>
      <c r="D21" s="231">
        <v>1</v>
      </c>
      <c r="E21" s="25" t="s">
        <v>16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132">
        <v>0</v>
      </c>
      <c r="BC21" s="132">
        <v>0</v>
      </c>
      <c r="BD21" s="132">
        <v>0</v>
      </c>
      <c r="BE21" s="84">
        <f t="shared" si="12"/>
        <v>0</v>
      </c>
      <c r="BF21" s="132">
        <v>0</v>
      </c>
      <c r="BG21" s="132">
        <v>0</v>
      </c>
      <c r="BH21" s="132">
        <v>0</v>
      </c>
      <c r="BI21" s="84">
        <f t="shared" si="13"/>
        <v>0</v>
      </c>
      <c r="BJ21" s="64">
        <f t="shared" si="14"/>
        <v>0</v>
      </c>
    </row>
    <row r="22" spans="1:62" ht="15.75" customHeight="1" x14ac:dyDescent="0.25">
      <c r="A22" s="1" t="s">
        <v>205</v>
      </c>
      <c r="B22" s="5" t="s">
        <v>206</v>
      </c>
      <c r="C22" s="1" t="s">
        <v>15</v>
      </c>
      <c r="D22" s="231">
        <v>1</v>
      </c>
      <c r="E22" s="25" t="s">
        <v>16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132">
        <v>0</v>
      </c>
      <c r="BC22" s="132">
        <v>0</v>
      </c>
      <c r="BD22" s="132">
        <v>0</v>
      </c>
      <c r="BE22" s="84">
        <f t="shared" si="12"/>
        <v>0</v>
      </c>
      <c r="BF22" s="132">
        <v>0</v>
      </c>
      <c r="BG22" s="132">
        <v>0</v>
      </c>
      <c r="BH22" s="132">
        <v>0</v>
      </c>
      <c r="BI22" s="84">
        <f t="shared" si="13"/>
        <v>0</v>
      </c>
      <c r="BJ22" s="64">
        <f t="shared" si="14"/>
        <v>0</v>
      </c>
    </row>
    <row r="23" spans="1:62" ht="15.75" customHeight="1" x14ac:dyDescent="0.25">
      <c r="A23" s="1" t="s">
        <v>211</v>
      </c>
      <c r="B23" s="5" t="s">
        <v>212</v>
      </c>
      <c r="C23" s="1" t="s">
        <v>15</v>
      </c>
      <c r="D23" s="231">
        <v>1</v>
      </c>
      <c r="E23" s="25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132">
        <v>0</v>
      </c>
      <c r="BC23" s="132">
        <v>0</v>
      </c>
      <c r="BD23" s="132">
        <v>0</v>
      </c>
      <c r="BE23" s="108">
        <f t="shared" si="12"/>
        <v>0</v>
      </c>
      <c r="BF23" s="132">
        <v>0</v>
      </c>
      <c r="BG23" s="132">
        <v>0</v>
      </c>
      <c r="BH23" s="132">
        <v>0</v>
      </c>
      <c r="BI23" s="108">
        <f t="shared" si="13"/>
        <v>0</v>
      </c>
      <c r="BJ23" s="64">
        <f t="shared" si="14"/>
        <v>0</v>
      </c>
    </row>
    <row r="24" spans="1:62" ht="15.75" customHeight="1" x14ac:dyDescent="0.25">
      <c r="A24" s="1" t="s">
        <v>181</v>
      </c>
      <c r="B24" s="5" t="s">
        <v>182</v>
      </c>
      <c r="C24" s="1" t="s">
        <v>15</v>
      </c>
      <c r="D24" s="231">
        <v>1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132">
        <v>0</v>
      </c>
      <c r="BC24" s="132">
        <v>0</v>
      </c>
      <c r="BD24" s="132">
        <v>0</v>
      </c>
      <c r="BE24" s="84">
        <f t="shared" si="12"/>
        <v>0</v>
      </c>
      <c r="BF24" s="132">
        <v>0</v>
      </c>
      <c r="BG24" s="132">
        <v>0</v>
      </c>
      <c r="BH24" s="132">
        <v>0</v>
      </c>
      <c r="BI24" s="84">
        <f t="shared" si="13"/>
        <v>0</v>
      </c>
      <c r="BJ24" s="64">
        <f t="shared" si="14"/>
        <v>0</v>
      </c>
    </row>
    <row r="25" spans="1:62" ht="15.75" customHeight="1" x14ac:dyDescent="0.25">
      <c r="A25" s="1" t="s">
        <v>177</v>
      </c>
      <c r="B25" s="5" t="s">
        <v>178</v>
      </c>
      <c r="C25" s="1" t="s">
        <v>15</v>
      </c>
      <c r="D25" s="231">
        <v>1</v>
      </c>
      <c r="E25" s="25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132">
        <v>0</v>
      </c>
      <c r="BC25" s="132">
        <v>0</v>
      </c>
      <c r="BD25" s="132">
        <v>0</v>
      </c>
      <c r="BE25" s="108">
        <f t="shared" si="12"/>
        <v>0</v>
      </c>
      <c r="BF25" s="132">
        <v>0</v>
      </c>
      <c r="BG25" s="132">
        <v>0</v>
      </c>
      <c r="BH25" s="132">
        <v>0</v>
      </c>
      <c r="BI25" s="108">
        <f t="shared" si="13"/>
        <v>0</v>
      </c>
      <c r="BJ25" s="64">
        <f t="shared" si="14"/>
        <v>0</v>
      </c>
    </row>
    <row r="26" spans="1:62" ht="15.75" customHeight="1" x14ac:dyDescent="0.25">
      <c r="A26" s="1" t="s">
        <v>183</v>
      </c>
      <c r="B26" s="5" t="s">
        <v>184</v>
      </c>
      <c r="C26" s="1" t="s">
        <v>15</v>
      </c>
      <c r="D26" s="231">
        <v>1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132">
        <v>0</v>
      </c>
      <c r="BC26" s="132">
        <v>0</v>
      </c>
      <c r="BD26" s="132">
        <v>0</v>
      </c>
      <c r="BE26" s="84">
        <f t="shared" si="12"/>
        <v>0</v>
      </c>
      <c r="BF26" s="132">
        <v>0</v>
      </c>
      <c r="BG26" s="132">
        <v>0</v>
      </c>
      <c r="BH26" s="132">
        <v>0</v>
      </c>
      <c r="BI26" s="84">
        <f t="shared" si="13"/>
        <v>0</v>
      </c>
      <c r="BJ26" s="64">
        <f t="shared" si="14"/>
        <v>0</v>
      </c>
    </row>
    <row r="27" spans="1:62" ht="15.75" customHeight="1" x14ac:dyDescent="0.25">
      <c r="A27" s="1" t="s">
        <v>187</v>
      </c>
      <c r="B27" s="5" t="s">
        <v>188</v>
      </c>
      <c r="C27" s="1" t="s">
        <v>15</v>
      </c>
      <c r="D27" s="231">
        <v>1</v>
      </c>
      <c r="E27" s="25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132">
        <v>0</v>
      </c>
      <c r="BC27" s="132">
        <v>0</v>
      </c>
      <c r="BD27" s="132">
        <v>0</v>
      </c>
      <c r="BE27" s="84">
        <f t="shared" si="12"/>
        <v>0</v>
      </c>
      <c r="BF27" s="132">
        <v>0</v>
      </c>
      <c r="BG27" s="132">
        <v>0</v>
      </c>
      <c r="BH27" s="132">
        <v>0</v>
      </c>
      <c r="BI27" s="84">
        <f t="shared" si="13"/>
        <v>0</v>
      </c>
      <c r="BJ27" s="64">
        <f t="shared" si="14"/>
        <v>0</v>
      </c>
    </row>
    <row r="28" spans="1:62" ht="15.75" customHeight="1" x14ac:dyDescent="0.25">
      <c r="A28" s="1" t="s">
        <v>215</v>
      </c>
      <c r="B28" s="5" t="s">
        <v>216</v>
      </c>
      <c r="C28" s="1" t="s">
        <v>15</v>
      </c>
      <c r="D28" s="231">
        <v>1</v>
      </c>
      <c r="E28" s="25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132">
        <v>0</v>
      </c>
      <c r="BC28" s="132">
        <v>0</v>
      </c>
      <c r="BD28" s="132">
        <v>0</v>
      </c>
      <c r="BE28" s="84">
        <f t="shared" si="12"/>
        <v>0</v>
      </c>
      <c r="BF28" s="132">
        <v>0</v>
      </c>
      <c r="BG28" s="132">
        <v>0</v>
      </c>
      <c r="BH28" s="132">
        <v>0</v>
      </c>
      <c r="BI28" s="84">
        <f t="shared" si="13"/>
        <v>0</v>
      </c>
      <c r="BJ28" s="64">
        <f t="shared" si="14"/>
        <v>0</v>
      </c>
    </row>
    <row r="29" spans="1:62" ht="15.75" customHeight="1" x14ac:dyDescent="0.25">
      <c r="A29" s="1" t="s">
        <v>153</v>
      </c>
      <c r="B29" s="8" t="s">
        <v>154</v>
      </c>
      <c r="C29" s="1" t="s">
        <v>15</v>
      </c>
      <c r="D29" s="231">
        <v>1</v>
      </c>
      <c r="E29" s="25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132">
        <v>0</v>
      </c>
      <c r="BC29" s="132">
        <v>0</v>
      </c>
      <c r="BD29" s="132">
        <v>0</v>
      </c>
      <c r="BE29" s="84">
        <f t="shared" si="12"/>
        <v>0</v>
      </c>
      <c r="BF29" s="132">
        <v>0</v>
      </c>
      <c r="BG29" s="132">
        <v>0</v>
      </c>
      <c r="BH29" s="132">
        <v>0</v>
      </c>
      <c r="BI29" s="84">
        <f t="shared" si="13"/>
        <v>0</v>
      </c>
      <c r="BJ29" s="64">
        <f t="shared" si="14"/>
        <v>0</v>
      </c>
    </row>
    <row r="30" spans="1:62" ht="15.75" customHeight="1" x14ac:dyDescent="0.25">
      <c r="A30" s="1" t="s">
        <v>163</v>
      </c>
      <c r="B30" s="5" t="s">
        <v>164</v>
      </c>
      <c r="C30" s="1" t="s">
        <v>15</v>
      </c>
      <c r="D30" s="231">
        <v>1</v>
      </c>
      <c r="E30" s="25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132">
        <v>0</v>
      </c>
      <c r="BC30" s="132">
        <v>0</v>
      </c>
      <c r="BD30" s="132">
        <v>0</v>
      </c>
      <c r="BE30" s="84">
        <f t="shared" si="12"/>
        <v>0</v>
      </c>
      <c r="BF30" s="132">
        <v>0</v>
      </c>
      <c r="BG30" s="132">
        <v>0</v>
      </c>
      <c r="BH30" s="132">
        <v>0</v>
      </c>
      <c r="BI30" s="84">
        <f t="shared" si="13"/>
        <v>0</v>
      </c>
      <c r="BJ30" s="64">
        <f t="shared" si="14"/>
        <v>0</v>
      </c>
    </row>
    <row r="31" spans="1:62" ht="15.75" customHeight="1" x14ac:dyDescent="0.25">
      <c r="A31" s="1" t="s">
        <v>191</v>
      </c>
      <c r="B31" s="5" t="s">
        <v>192</v>
      </c>
      <c r="C31" s="1" t="s">
        <v>15</v>
      </c>
      <c r="D31" s="231">
        <v>1</v>
      </c>
      <c r="E31" s="25" t="s">
        <v>41</v>
      </c>
      <c r="F31" s="132">
        <v>0</v>
      </c>
      <c r="G31" s="132">
        <v>0</v>
      </c>
      <c r="H31" s="132">
        <v>0</v>
      </c>
      <c r="I31" s="84">
        <f t="shared" ref="I31:I40" si="15">AVERAGE(F31:H31)</f>
        <v>0</v>
      </c>
      <c r="J31" s="132">
        <v>0</v>
      </c>
      <c r="K31" s="132">
        <v>0</v>
      </c>
      <c r="L31" s="132">
        <v>0</v>
      </c>
      <c r="M31" s="84">
        <f t="shared" ref="M31:M40" si="16">AVERAGE(J31:L31)</f>
        <v>0</v>
      </c>
      <c r="N31" s="132">
        <v>0</v>
      </c>
      <c r="O31" s="132">
        <v>0</v>
      </c>
      <c r="P31" s="132">
        <v>0</v>
      </c>
      <c r="Q31" s="84">
        <f t="shared" ref="Q31:Q40" si="17">AVERAGE(N31:P31)</f>
        <v>0</v>
      </c>
      <c r="R31" s="132">
        <v>0</v>
      </c>
      <c r="S31" s="132">
        <v>0</v>
      </c>
      <c r="T31" s="132">
        <v>0</v>
      </c>
      <c r="U31" s="84">
        <f t="shared" ref="U31:U40" si="18">AVERAGE(R31:T31)</f>
        <v>0</v>
      </c>
      <c r="V31" s="132">
        <v>0</v>
      </c>
      <c r="W31" s="132">
        <v>0</v>
      </c>
      <c r="X31" s="132">
        <v>0</v>
      </c>
      <c r="Y31" s="84">
        <f t="shared" ref="Y31:Y40" si="19">AVERAGE(V31:X31)</f>
        <v>0</v>
      </c>
      <c r="Z31" s="132">
        <v>0</v>
      </c>
      <c r="AA31" s="132">
        <v>0</v>
      </c>
      <c r="AB31" s="132">
        <v>0</v>
      </c>
      <c r="AC31" s="84">
        <f t="shared" ref="AC31:AC40" si="20">AVERAGE(Z31:AB31)</f>
        <v>0</v>
      </c>
      <c r="AD31" s="132">
        <v>0</v>
      </c>
      <c r="AE31" s="132">
        <v>0</v>
      </c>
      <c r="AF31" s="132">
        <v>0</v>
      </c>
      <c r="AG31" s="84">
        <f t="shared" ref="AG31:AG40" si="21">AVERAGE(AD31:AF31)</f>
        <v>0</v>
      </c>
      <c r="AH31" s="132">
        <v>0</v>
      </c>
      <c r="AI31" s="132">
        <v>0</v>
      </c>
      <c r="AJ31" s="132">
        <v>0</v>
      </c>
      <c r="AK31" s="84">
        <f t="shared" ref="AK31:AK40" si="22">AVERAGE(AH31:AJ31)</f>
        <v>0</v>
      </c>
      <c r="AL31" s="132">
        <v>0</v>
      </c>
      <c r="AM31" s="132">
        <v>0</v>
      </c>
      <c r="AN31" s="132">
        <v>0</v>
      </c>
      <c r="AO31" s="84">
        <f t="shared" ref="AO31:AO40" si="23">AVERAGE(AL31:AN31)</f>
        <v>0</v>
      </c>
      <c r="AP31" s="132">
        <v>0</v>
      </c>
      <c r="AQ31" s="132">
        <v>0</v>
      </c>
      <c r="AR31" s="132">
        <v>0</v>
      </c>
      <c r="AS31" s="84">
        <f t="shared" ref="AS31:AS40" si="24">AVERAGE(AP31:AR31)</f>
        <v>0</v>
      </c>
      <c r="AT31" s="132">
        <v>0</v>
      </c>
      <c r="AU31" s="132">
        <v>0</v>
      </c>
      <c r="AV31" s="132">
        <v>0</v>
      </c>
      <c r="AW31" s="84">
        <f t="shared" ref="AW31:AW40" si="25">AVERAGE(AT31:AV31)</f>
        <v>0</v>
      </c>
      <c r="AX31" s="132">
        <v>0</v>
      </c>
      <c r="AY31" s="132">
        <v>0</v>
      </c>
      <c r="AZ31" s="132">
        <v>0</v>
      </c>
      <c r="BA31" s="84">
        <f t="shared" ref="BA31:BA40" si="26">AVERAGE(AX31:AZ31)</f>
        <v>0</v>
      </c>
      <c r="BB31" s="132">
        <v>0</v>
      </c>
      <c r="BC31" s="132">
        <v>0</v>
      </c>
      <c r="BD31" s="132">
        <v>0</v>
      </c>
      <c r="BE31" s="84">
        <f t="shared" ref="BE31:BE40" si="27">AVERAGE(BB31:BD31)</f>
        <v>0</v>
      </c>
      <c r="BF31" s="132">
        <v>0</v>
      </c>
      <c r="BG31" s="132">
        <v>0</v>
      </c>
      <c r="BH31" s="132">
        <v>0</v>
      </c>
      <c r="BI31" s="84">
        <f t="shared" ref="BI31:BI40" si="28">AVERAGE(BF31:BH31)</f>
        <v>0</v>
      </c>
      <c r="BJ31" s="64">
        <f t="shared" ref="BJ31:BJ40" si="29">AVERAGE(I31,M31,Q31,U31,Y31,AC31,AG31,AK31,AO31,AS31,AW31,BA31,BE31,BI31)</f>
        <v>0</v>
      </c>
    </row>
    <row r="32" spans="1:62" ht="15.75" customHeight="1" x14ac:dyDescent="0.25">
      <c r="A32" s="1" t="s">
        <v>189</v>
      </c>
      <c r="B32" s="5" t="s">
        <v>190</v>
      </c>
      <c r="C32" s="1" t="s">
        <v>15</v>
      </c>
      <c r="D32" s="231">
        <v>1</v>
      </c>
      <c r="E32" s="25" t="s">
        <v>41</v>
      </c>
      <c r="F32" s="132">
        <v>0</v>
      </c>
      <c r="G32" s="132">
        <v>0</v>
      </c>
      <c r="H32" s="132">
        <v>0</v>
      </c>
      <c r="I32" s="84">
        <f t="shared" si="15"/>
        <v>0</v>
      </c>
      <c r="J32" s="132">
        <v>0</v>
      </c>
      <c r="K32" s="132">
        <v>0</v>
      </c>
      <c r="L32" s="132">
        <v>0</v>
      </c>
      <c r="M32" s="84">
        <f t="shared" si="16"/>
        <v>0</v>
      </c>
      <c r="N32" s="132">
        <v>0</v>
      </c>
      <c r="O32" s="132">
        <v>0</v>
      </c>
      <c r="P32" s="132">
        <v>0</v>
      </c>
      <c r="Q32" s="84">
        <f t="shared" si="17"/>
        <v>0</v>
      </c>
      <c r="R32" s="132">
        <v>0</v>
      </c>
      <c r="S32" s="132">
        <v>0</v>
      </c>
      <c r="T32" s="132">
        <v>0</v>
      </c>
      <c r="U32" s="84">
        <f t="shared" si="18"/>
        <v>0</v>
      </c>
      <c r="V32" s="132">
        <v>0</v>
      </c>
      <c r="W32" s="132">
        <v>0</v>
      </c>
      <c r="X32" s="132">
        <v>0</v>
      </c>
      <c r="Y32" s="84">
        <f t="shared" si="19"/>
        <v>0</v>
      </c>
      <c r="Z32" s="132">
        <v>0</v>
      </c>
      <c r="AA32" s="132">
        <v>0</v>
      </c>
      <c r="AB32" s="132">
        <v>0</v>
      </c>
      <c r="AC32" s="84">
        <f t="shared" si="20"/>
        <v>0</v>
      </c>
      <c r="AD32" s="132">
        <v>0</v>
      </c>
      <c r="AE32" s="132">
        <v>0</v>
      </c>
      <c r="AF32" s="132">
        <v>0</v>
      </c>
      <c r="AG32" s="84">
        <f t="shared" si="21"/>
        <v>0</v>
      </c>
      <c r="AH32" s="132">
        <v>0</v>
      </c>
      <c r="AI32" s="132">
        <v>0</v>
      </c>
      <c r="AJ32" s="132">
        <v>0</v>
      </c>
      <c r="AK32" s="84">
        <f t="shared" si="22"/>
        <v>0</v>
      </c>
      <c r="AL32" s="132">
        <v>0</v>
      </c>
      <c r="AM32" s="132">
        <v>0</v>
      </c>
      <c r="AN32" s="132">
        <v>0</v>
      </c>
      <c r="AO32" s="84">
        <f t="shared" si="23"/>
        <v>0</v>
      </c>
      <c r="AP32" s="132">
        <v>0</v>
      </c>
      <c r="AQ32" s="132">
        <v>0</v>
      </c>
      <c r="AR32" s="132">
        <v>0</v>
      </c>
      <c r="AS32" s="84">
        <f t="shared" si="24"/>
        <v>0</v>
      </c>
      <c r="AT32" s="132">
        <v>0</v>
      </c>
      <c r="AU32" s="132">
        <v>0</v>
      </c>
      <c r="AV32" s="132">
        <v>0</v>
      </c>
      <c r="AW32" s="84">
        <f t="shared" si="25"/>
        <v>0</v>
      </c>
      <c r="AX32" s="132">
        <v>0</v>
      </c>
      <c r="AY32" s="132">
        <v>0</v>
      </c>
      <c r="AZ32" s="132">
        <v>0</v>
      </c>
      <c r="BA32" s="84">
        <f t="shared" si="26"/>
        <v>0</v>
      </c>
      <c r="BB32" s="132">
        <v>0</v>
      </c>
      <c r="BC32" s="132">
        <v>0</v>
      </c>
      <c r="BD32" s="132">
        <v>0</v>
      </c>
      <c r="BE32" s="84">
        <f t="shared" si="27"/>
        <v>0</v>
      </c>
      <c r="BF32" s="132">
        <v>0</v>
      </c>
      <c r="BG32" s="132">
        <v>0</v>
      </c>
      <c r="BH32" s="132">
        <v>0</v>
      </c>
      <c r="BI32" s="84">
        <f t="shared" si="28"/>
        <v>0</v>
      </c>
      <c r="BJ32" s="64">
        <f t="shared" si="29"/>
        <v>0</v>
      </c>
    </row>
    <row r="33" spans="1:62" ht="15.75" customHeight="1" x14ac:dyDescent="0.25">
      <c r="A33" s="1" t="s">
        <v>193</v>
      </c>
      <c r="B33" s="5" t="s">
        <v>194</v>
      </c>
      <c r="C33" s="1" t="s">
        <v>15</v>
      </c>
      <c r="D33" s="231">
        <v>1</v>
      </c>
      <c r="E33" s="25" t="s">
        <v>41</v>
      </c>
      <c r="F33" s="132">
        <v>0</v>
      </c>
      <c r="G33" s="132">
        <v>0</v>
      </c>
      <c r="H33" s="132">
        <v>0</v>
      </c>
      <c r="I33" s="84">
        <f t="shared" si="15"/>
        <v>0</v>
      </c>
      <c r="J33" s="132">
        <v>0</v>
      </c>
      <c r="K33" s="132">
        <v>0</v>
      </c>
      <c r="L33" s="132">
        <v>0</v>
      </c>
      <c r="M33" s="84">
        <f t="shared" si="16"/>
        <v>0</v>
      </c>
      <c r="N33" s="132">
        <v>0</v>
      </c>
      <c r="O33" s="132">
        <v>0</v>
      </c>
      <c r="P33" s="132">
        <v>0</v>
      </c>
      <c r="Q33" s="84">
        <f t="shared" si="17"/>
        <v>0</v>
      </c>
      <c r="R33" s="132">
        <v>0</v>
      </c>
      <c r="S33" s="132">
        <v>0</v>
      </c>
      <c r="T33" s="132">
        <v>0</v>
      </c>
      <c r="U33" s="84">
        <f t="shared" si="18"/>
        <v>0</v>
      </c>
      <c r="V33" s="132">
        <v>0</v>
      </c>
      <c r="W33" s="132">
        <v>0</v>
      </c>
      <c r="X33" s="132">
        <v>0</v>
      </c>
      <c r="Y33" s="84">
        <f t="shared" si="19"/>
        <v>0</v>
      </c>
      <c r="Z33" s="132">
        <v>0</v>
      </c>
      <c r="AA33" s="132">
        <v>0</v>
      </c>
      <c r="AB33" s="132">
        <v>0</v>
      </c>
      <c r="AC33" s="84">
        <f t="shared" si="20"/>
        <v>0</v>
      </c>
      <c r="AD33" s="132">
        <v>0</v>
      </c>
      <c r="AE33" s="132">
        <v>0</v>
      </c>
      <c r="AF33" s="132">
        <v>0</v>
      </c>
      <c r="AG33" s="84">
        <f t="shared" si="21"/>
        <v>0</v>
      </c>
      <c r="AH33" s="132">
        <v>0</v>
      </c>
      <c r="AI33" s="132">
        <v>0</v>
      </c>
      <c r="AJ33" s="132">
        <v>0</v>
      </c>
      <c r="AK33" s="84">
        <f t="shared" si="22"/>
        <v>0</v>
      </c>
      <c r="AL33" s="132">
        <v>0</v>
      </c>
      <c r="AM33" s="132">
        <v>0</v>
      </c>
      <c r="AN33" s="132">
        <v>0</v>
      </c>
      <c r="AO33" s="84">
        <f t="shared" si="23"/>
        <v>0</v>
      </c>
      <c r="AP33" s="132">
        <v>0</v>
      </c>
      <c r="AQ33" s="132">
        <v>0</v>
      </c>
      <c r="AR33" s="132">
        <v>0</v>
      </c>
      <c r="AS33" s="84">
        <f t="shared" si="24"/>
        <v>0</v>
      </c>
      <c r="AT33" s="132">
        <v>0</v>
      </c>
      <c r="AU33" s="132">
        <v>0</v>
      </c>
      <c r="AV33" s="132">
        <v>0</v>
      </c>
      <c r="AW33" s="84">
        <f t="shared" si="25"/>
        <v>0</v>
      </c>
      <c r="AX33" s="132">
        <v>0</v>
      </c>
      <c r="AY33" s="132">
        <v>0</v>
      </c>
      <c r="AZ33" s="132">
        <v>0</v>
      </c>
      <c r="BA33" s="84">
        <f t="shared" si="26"/>
        <v>0</v>
      </c>
      <c r="BB33" s="132">
        <v>0</v>
      </c>
      <c r="BC33" s="132">
        <v>0</v>
      </c>
      <c r="BD33" s="132">
        <v>0</v>
      </c>
      <c r="BE33" s="84">
        <f t="shared" si="27"/>
        <v>0</v>
      </c>
      <c r="BF33" s="132">
        <v>0</v>
      </c>
      <c r="BG33" s="132">
        <v>0</v>
      </c>
      <c r="BH33" s="132">
        <v>0</v>
      </c>
      <c r="BI33" s="84">
        <f t="shared" si="28"/>
        <v>0</v>
      </c>
      <c r="BJ33" s="64">
        <f t="shared" si="29"/>
        <v>0</v>
      </c>
    </row>
    <row r="34" spans="1:62" ht="15.75" customHeight="1" x14ac:dyDescent="0.25">
      <c r="A34" s="24" t="s">
        <v>179</v>
      </c>
      <c r="B34" s="25" t="s">
        <v>180</v>
      </c>
      <c r="C34" s="1" t="s">
        <v>15</v>
      </c>
      <c r="D34" s="231">
        <v>1</v>
      </c>
      <c r="E34" s="25" t="s">
        <v>41</v>
      </c>
      <c r="F34" s="132">
        <v>0</v>
      </c>
      <c r="G34" s="132">
        <v>0</v>
      </c>
      <c r="H34" s="132">
        <v>0</v>
      </c>
      <c r="I34" s="84">
        <f t="shared" si="15"/>
        <v>0</v>
      </c>
      <c r="J34" s="132">
        <v>0</v>
      </c>
      <c r="K34" s="132">
        <v>0</v>
      </c>
      <c r="L34" s="132">
        <v>0</v>
      </c>
      <c r="M34" s="84">
        <f t="shared" si="16"/>
        <v>0</v>
      </c>
      <c r="N34" s="132">
        <v>0</v>
      </c>
      <c r="O34" s="132">
        <v>0</v>
      </c>
      <c r="P34" s="132">
        <v>0</v>
      </c>
      <c r="Q34" s="84">
        <f t="shared" si="17"/>
        <v>0</v>
      </c>
      <c r="R34" s="132">
        <v>0</v>
      </c>
      <c r="S34" s="132">
        <v>0</v>
      </c>
      <c r="T34" s="132">
        <v>0</v>
      </c>
      <c r="U34" s="84">
        <f t="shared" si="18"/>
        <v>0</v>
      </c>
      <c r="V34" s="132">
        <v>0</v>
      </c>
      <c r="W34" s="132">
        <v>0</v>
      </c>
      <c r="X34" s="132">
        <v>0</v>
      </c>
      <c r="Y34" s="84">
        <f t="shared" si="19"/>
        <v>0</v>
      </c>
      <c r="Z34" s="132">
        <v>0</v>
      </c>
      <c r="AA34" s="132">
        <v>0</v>
      </c>
      <c r="AB34" s="132">
        <v>0</v>
      </c>
      <c r="AC34" s="84">
        <f t="shared" si="20"/>
        <v>0</v>
      </c>
      <c r="AD34" s="132">
        <v>0</v>
      </c>
      <c r="AE34" s="132">
        <v>0</v>
      </c>
      <c r="AF34" s="132">
        <v>0</v>
      </c>
      <c r="AG34" s="84">
        <f t="shared" si="21"/>
        <v>0</v>
      </c>
      <c r="AH34" s="132">
        <v>0</v>
      </c>
      <c r="AI34" s="132">
        <v>0</v>
      </c>
      <c r="AJ34" s="132">
        <v>0</v>
      </c>
      <c r="AK34" s="84">
        <f t="shared" si="22"/>
        <v>0</v>
      </c>
      <c r="AL34" s="132">
        <v>0</v>
      </c>
      <c r="AM34" s="132">
        <v>0</v>
      </c>
      <c r="AN34" s="132">
        <v>0</v>
      </c>
      <c r="AO34" s="84">
        <f t="shared" si="23"/>
        <v>0</v>
      </c>
      <c r="AP34" s="132">
        <v>0</v>
      </c>
      <c r="AQ34" s="132">
        <v>0</v>
      </c>
      <c r="AR34" s="132">
        <v>0</v>
      </c>
      <c r="AS34" s="84">
        <f t="shared" si="24"/>
        <v>0</v>
      </c>
      <c r="AT34" s="132">
        <v>0</v>
      </c>
      <c r="AU34" s="132">
        <v>0</v>
      </c>
      <c r="AV34" s="132">
        <v>0</v>
      </c>
      <c r="AW34" s="84">
        <f t="shared" si="25"/>
        <v>0</v>
      </c>
      <c r="AX34" s="132">
        <v>0</v>
      </c>
      <c r="AY34" s="132">
        <v>0</v>
      </c>
      <c r="AZ34" s="132">
        <v>0</v>
      </c>
      <c r="BA34" s="84">
        <f t="shared" si="26"/>
        <v>0</v>
      </c>
      <c r="BB34" s="132">
        <v>0</v>
      </c>
      <c r="BC34" s="132">
        <v>0</v>
      </c>
      <c r="BD34" s="132">
        <v>0</v>
      </c>
      <c r="BE34" s="84">
        <f t="shared" si="27"/>
        <v>0</v>
      </c>
      <c r="BF34" s="132">
        <v>0</v>
      </c>
      <c r="BG34" s="132">
        <v>0</v>
      </c>
      <c r="BH34" s="132">
        <v>0</v>
      </c>
      <c r="BI34" s="84">
        <f t="shared" si="28"/>
        <v>0</v>
      </c>
      <c r="BJ34" s="64">
        <f t="shared" si="29"/>
        <v>0</v>
      </c>
    </row>
    <row r="35" spans="1:62" x14ac:dyDescent="0.25">
      <c r="A35" s="1" t="s">
        <v>173</v>
      </c>
      <c r="B35" s="5" t="s">
        <v>174</v>
      </c>
      <c r="C35" s="1" t="s">
        <v>15</v>
      </c>
      <c r="D35" s="231">
        <v>1</v>
      </c>
      <c r="E35" s="25" t="s">
        <v>41</v>
      </c>
      <c r="F35" s="132">
        <v>0</v>
      </c>
      <c r="G35" s="132">
        <v>0</v>
      </c>
      <c r="H35" s="132">
        <v>0</v>
      </c>
      <c r="I35" s="84">
        <f t="shared" si="15"/>
        <v>0</v>
      </c>
      <c r="J35" s="132">
        <v>0</v>
      </c>
      <c r="K35" s="132">
        <v>0</v>
      </c>
      <c r="L35" s="132">
        <v>0</v>
      </c>
      <c r="M35" s="84">
        <f t="shared" si="16"/>
        <v>0</v>
      </c>
      <c r="N35" s="132">
        <v>0</v>
      </c>
      <c r="O35" s="132">
        <v>0</v>
      </c>
      <c r="P35" s="132">
        <v>0</v>
      </c>
      <c r="Q35" s="84">
        <f t="shared" si="17"/>
        <v>0</v>
      </c>
      <c r="R35" s="132">
        <v>0</v>
      </c>
      <c r="S35" s="132">
        <v>0</v>
      </c>
      <c r="T35" s="132">
        <v>0</v>
      </c>
      <c r="U35" s="84">
        <f t="shared" si="18"/>
        <v>0</v>
      </c>
      <c r="V35" s="132">
        <v>0</v>
      </c>
      <c r="W35" s="132">
        <v>0</v>
      </c>
      <c r="X35" s="132">
        <v>0</v>
      </c>
      <c r="Y35" s="84">
        <f t="shared" si="19"/>
        <v>0</v>
      </c>
      <c r="Z35" s="132">
        <v>0</v>
      </c>
      <c r="AA35" s="132">
        <v>0</v>
      </c>
      <c r="AB35" s="132">
        <v>0</v>
      </c>
      <c r="AC35" s="84">
        <f t="shared" si="20"/>
        <v>0</v>
      </c>
      <c r="AD35" s="132">
        <v>0</v>
      </c>
      <c r="AE35" s="132">
        <v>0</v>
      </c>
      <c r="AF35" s="132">
        <v>0</v>
      </c>
      <c r="AG35" s="84">
        <f t="shared" si="21"/>
        <v>0</v>
      </c>
      <c r="AH35" s="132">
        <v>0</v>
      </c>
      <c r="AI35" s="132">
        <v>0</v>
      </c>
      <c r="AJ35" s="132">
        <v>0</v>
      </c>
      <c r="AK35" s="84">
        <f t="shared" si="22"/>
        <v>0</v>
      </c>
      <c r="AL35" s="132">
        <v>0</v>
      </c>
      <c r="AM35" s="132">
        <v>0</v>
      </c>
      <c r="AN35" s="132">
        <v>0</v>
      </c>
      <c r="AO35" s="84">
        <f t="shared" si="23"/>
        <v>0</v>
      </c>
      <c r="AP35" s="132">
        <v>0</v>
      </c>
      <c r="AQ35" s="132">
        <v>0</v>
      </c>
      <c r="AR35" s="132">
        <v>0</v>
      </c>
      <c r="AS35" s="84">
        <f t="shared" si="24"/>
        <v>0</v>
      </c>
      <c r="AT35" s="132">
        <v>0</v>
      </c>
      <c r="AU35" s="132">
        <v>0</v>
      </c>
      <c r="AV35" s="132">
        <v>0</v>
      </c>
      <c r="AW35" s="84">
        <f t="shared" si="25"/>
        <v>0</v>
      </c>
      <c r="AX35" s="132">
        <v>0</v>
      </c>
      <c r="AY35" s="132">
        <v>0</v>
      </c>
      <c r="AZ35" s="132">
        <v>0</v>
      </c>
      <c r="BA35" s="84">
        <f t="shared" si="26"/>
        <v>0</v>
      </c>
      <c r="BB35" s="132">
        <v>0</v>
      </c>
      <c r="BC35" s="132">
        <v>0</v>
      </c>
      <c r="BD35" s="132">
        <v>0</v>
      </c>
      <c r="BE35" s="84">
        <f t="shared" si="27"/>
        <v>0</v>
      </c>
      <c r="BF35" s="132">
        <v>0</v>
      </c>
      <c r="BG35" s="132">
        <v>0</v>
      </c>
      <c r="BH35" s="132">
        <v>0</v>
      </c>
      <c r="BI35" s="84">
        <f t="shared" si="28"/>
        <v>0</v>
      </c>
      <c r="BJ35" s="64">
        <f t="shared" si="29"/>
        <v>0</v>
      </c>
    </row>
    <row r="36" spans="1:62" x14ac:dyDescent="0.25">
      <c r="A36" s="1" t="s">
        <v>175</v>
      </c>
      <c r="B36" s="5" t="s">
        <v>176</v>
      </c>
      <c r="C36" s="1" t="s">
        <v>15</v>
      </c>
      <c r="D36" s="231">
        <v>1</v>
      </c>
      <c r="E36" s="25" t="s">
        <v>41</v>
      </c>
      <c r="F36" s="132">
        <v>0</v>
      </c>
      <c r="G36" s="132">
        <v>0</v>
      </c>
      <c r="H36" s="132">
        <v>0</v>
      </c>
      <c r="I36" s="84">
        <f t="shared" si="15"/>
        <v>0</v>
      </c>
      <c r="J36" s="132">
        <v>0</v>
      </c>
      <c r="K36" s="132">
        <v>0</v>
      </c>
      <c r="L36" s="132">
        <v>0</v>
      </c>
      <c r="M36" s="84">
        <f t="shared" si="16"/>
        <v>0</v>
      </c>
      <c r="N36" s="132">
        <v>0</v>
      </c>
      <c r="O36" s="132">
        <v>0</v>
      </c>
      <c r="P36" s="132">
        <v>0</v>
      </c>
      <c r="Q36" s="84">
        <f t="shared" si="17"/>
        <v>0</v>
      </c>
      <c r="R36" s="132">
        <v>0</v>
      </c>
      <c r="S36" s="132">
        <v>0</v>
      </c>
      <c r="T36" s="132">
        <v>0</v>
      </c>
      <c r="U36" s="84">
        <f t="shared" si="18"/>
        <v>0</v>
      </c>
      <c r="V36" s="132">
        <v>0</v>
      </c>
      <c r="W36" s="132">
        <v>0</v>
      </c>
      <c r="X36" s="132">
        <v>0</v>
      </c>
      <c r="Y36" s="84">
        <f t="shared" si="19"/>
        <v>0</v>
      </c>
      <c r="Z36" s="132">
        <v>0</v>
      </c>
      <c r="AA36" s="132">
        <v>0</v>
      </c>
      <c r="AB36" s="132">
        <v>0</v>
      </c>
      <c r="AC36" s="84">
        <f t="shared" si="20"/>
        <v>0</v>
      </c>
      <c r="AD36" s="132">
        <v>0</v>
      </c>
      <c r="AE36" s="132">
        <v>0</v>
      </c>
      <c r="AF36" s="132">
        <v>0</v>
      </c>
      <c r="AG36" s="84">
        <f t="shared" si="21"/>
        <v>0</v>
      </c>
      <c r="AH36" s="132">
        <v>0</v>
      </c>
      <c r="AI36" s="132">
        <v>0</v>
      </c>
      <c r="AJ36" s="132">
        <v>0</v>
      </c>
      <c r="AK36" s="84">
        <f t="shared" si="22"/>
        <v>0</v>
      </c>
      <c r="AL36" s="132">
        <v>0</v>
      </c>
      <c r="AM36" s="132">
        <v>0</v>
      </c>
      <c r="AN36" s="132">
        <v>0</v>
      </c>
      <c r="AO36" s="84">
        <f t="shared" si="23"/>
        <v>0</v>
      </c>
      <c r="AP36" s="132">
        <v>0</v>
      </c>
      <c r="AQ36" s="132">
        <v>0</v>
      </c>
      <c r="AR36" s="132">
        <v>0</v>
      </c>
      <c r="AS36" s="84">
        <f t="shared" si="24"/>
        <v>0</v>
      </c>
      <c r="AT36" s="132">
        <v>0</v>
      </c>
      <c r="AU36" s="132">
        <v>0</v>
      </c>
      <c r="AV36" s="132">
        <v>0</v>
      </c>
      <c r="AW36" s="84">
        <f t="shared" si="25"/>
        <v>0</v>
      </c>
      <c r="AX36" s="132">
        <v>0</v>
      </c>
      <c r="AY36" s="132">
        <v>0</v>
      </c>
      <c r="AZ36" s="132">
        <v>0</v>
      </c>
      <c r="BA36" s="84">
        <f t="shared" si="26"/>
        <v>0</v>
      </c>
      <c r="BB36" s="132">
        <v>0</v>
      </c>
      <c r="BC36" s="132">
        <v>0</v>
      </c>
      <c r="BD36" s="132">
        <v>0</v>
      </c>
      <c r="BE36" s="84">
        <f t="shared" si="27"/>
        <v>0</v>
      </c>
      <c r="BF36" s="132">
        <v>0</v>
      </c>
      <c r="BG36" s="132">
        <v>0</v>
      </c>
      <c r="BH36" s="132">
        <v>0</v>
      </c>
      <c r="BI36" s="84">
        <f t="shared" si="28"/>
        <v>0</v>
      </c>
      <c r="BJ36" s="64">
        <f t="shared" si="29"/>
        <v>0</v>
      </c>
    </row>
    <row r="37" spans="1:62" x14ac:dyDescent="0.25">
      <c r="A37" s="1" t="s">
        <v>171</v>
      </c>
      <c r="B37" s="5" t="s">
        <v>172</v>
      </c>
      <c r="C37" s="1" t="s">
        <v>15</v>
      </c>
      <c r="D37" s="231">
        <v>1</v>
      </c>
      <c r="E37" s="25" t="s">
        <v>41</v>
      </c>
      <c r="F37" s="132">
        <v>0</v>
      </c>
      <c r="G37" s="132">
        <v>0</v>
      </c>
      <c r="H37" s="132">
        <v>0</v>
      </c>
      <c r="I37" s="84">
        <f t="shared" si="15"/>
        <v>0</v>
      </c>
      <c r="J37" s="132">
        <v>0</v>
      </c>
      <c r="K37" s="132">
        <v>0</v>
      </c>
      <c r="L37" s="132">
        <v>0</v>
      </c>
      <c r="M37" s="84">
        <f t="shared" si="16"/>
        <v>0</v>
      </c>
      <c r="N37" s="132">
        <v>0</v>
      </c>
      <c r="O37" s="132">
        <v>0</v>
      </c>
      <c r="P37" s="132">
        <v>0</v>
      </c>
      <c r="Q37" s="84">
        <f t="shared" si="17"/>
        <v>0</v>
      </c>
      <c r="R37" s="132">
        <v>0</v>
      </c>
      <c r="S37" s="132">
        <v>0</v>
      </c>
      <c r="T37" s="132">
        <v>0</v>
      </c>
      <c r="U37" s="84">
        <f t="shared" si="18"/>
        <v>0</v>
      </c>
      <c r="V37" s="132">
        <v>0</v>
      </c>
      <c r="W37" s="132">
        <v>0</v>
      </c>
      <c r="X37" s="132">
        <v>0</v>
      </c>
      <c r="Y37" s="84">
        <f t="shared" si="19"/>
        <v>0</v>
      </c>
      <c r="Z37" s="132">
        <v>0</v>
      </c>
      <c r="AA37" s="132">
        <v>0</v>
      </c>
      <c r="AB37" s="132">
        <v>0</v>
      </c>
      <c r="AC37" s="84">
        <f t="shared" si="20"/>
        <v>0</v>
      </c>
      <c r="AD37" s="132">
        <v>0</v>
      </c>
      <c r="AE37" s="132">
        <v>0</v>
      </c>
      <c r="AF37" s="132">
        <v>0</v>
      </c>
      <c r="AG37" s="84">
        <f t="shared" si="21"/>
        <v>0</v>
      </c>
      <c r="AH37" s="132">
        <v>0</v>
      </c>
      <c r="AI37" s="132">
        <v>0</v>
      </c>
      <c r="AJ37" s="132">
        <v>0</v>
      </c>
      <c r="AK37" s="84">
        <f t="shared" si="22"/>
        <v>0</v>
      </c>
      <c r="AL37" s="132">
        <v>0</v>
      </c>
      <c r="AM37" s="132">
        <v>0</v>
      </c>
      <c r="AN37" s="132">
        <v>0</v>
      </c>
      <c r="AO37" s="84">
        <f t="shared" si="23"/>
        <v>0</v>
      </c>
      <c r="AP37" s="132">
        <v>0</v>
      </c>
      <c r="AQ37" s="132">
        <v>0</v>
      </c>
      <c r="AR37" s="132">
        <v>0</v>
      </c>
      <c r="AS37" s="84">
        <f t="shared" si="24"/>
        <v>0</v>
      </c>
      <c r="AT37" s="132">
        <v>0</v>
      </c>
      <c r="AU37" s="132">
        <v>0</v>
      </c>
      <c r="AV37" s="132">
        <v>0</v>
      </c>
      <c r="AW37" s="84">
        <f t="shared" si="25"/>
        <v>0</v>
      </c>
      <c r="AX37" s="132">
        <v>0</v>
      </c>
      <c r="AY37" s="132">
        <v>0</v>
      </c>
      <c r="AZ37" s="132">
        <v>0</v>
      </c>
      <c r="BA37" s="84">
        <f t="shared" si="26"/>
        <v>0</v>
      </c>
      <c r="BB37" s="132">
        <v>0</v>
      </c>
      <c r="BC37" s="132">
        <v>0</v>
      </c>
      <c r="BD37" s="132">
        <v>0</v>
      </c>
      <c r="BE37" s="84">
        <f t="shared" si="27"/>
        <v>0</v>
      </c>
      <c r="BF37" s="132">
        <v>0</v>
      </c>
      <c r="BG37" s="132">
        <v>0</v>
      </c>
      <c r="BH37" s="132">
        <v>0</v>
      </c>
      <c r="BI37" s="84">
        <f t="shared" si="28"/>
        <v>0</v>
      </c>
      <c r="BJ37" s="64">
        <f t="shared" si="29"/>
        <v>0</v>
      </c>
    </row>
    <row r="38" spans="1:62" x14ac:dyDescent="0.25">
      <c r="A38" s="1" t="s">
        <v>159</v>
      </c>
      <c r="B38" s="5" t="s">
        <v>160</v>
      </c>
      <c r="C38" s="1" t="s">
        <v>15</v>
      </c>
      <c r="D38" s="231">
        <v>1</v>
      </c>
      <c r="E38" s="25" t="s">
        <v>41</v>
      </c>
      <c r="F38" s="132">
        <v>0</v>
      </c>
      <c r="G38" s="132">
        <v>0</v>
      </c>
      <c r="H38" s="132">
        <v>0</v>
      </c>
      <c r="I38" s="84">
        <f t="shared" si="15"/>
        <v>0</v>
      </c>
      <c r="J38" s="132">
        <v>0</v>
      </c>
      <c r="K38" s="132">
        <v>0</v>
      </c>
      <c r="L38" s="132">
        <v>0</v>
      </c>
      <c r="M38" s="84">
        <f t="shared" si="16"/>
        <v>0</v>
      </c>
      <c r="N38" s="132">
        <v>0</v>
      </c>
      <c r="O38" s="132">
        <v>0</v>
      </c>
      <c r="P38" s="132">
        <v>0</v>
      </c>
      <c r="Q38" s="84">
        <f t="shared" si="17"/>
        <v>0</v>
      </c>
      <c r="R38" s="132">
        <v>0</v>
      </c>
      <c r="S38" s="132">
        <v>0</v>
      </c>
      <c r="T38" s="132">
        <v>0</v>
      </c>
      <c r="U38" s="84">
        <f t="shared" si="18"/>
        <v>0</v>
      </c>
      <c r="V38" s="132">
        <v>0</v>
      </c>
      <c r="W38" s="132">
        <v>0</v>
      </c>
      <c r="X38" s="132">
        <v>0</v>
      </c>
      <c r="Y38" s="84">
        <f t="shared" si="19"/>
        <v>0</v>
      </c>
      <c r="Z38" s="132">
        <v>0</v>
      </c>
      <c r="AA38" s="132">
        <v>0</v>
      </c>
      <c r="AB38" s="132">
        <v>0</v>
      </c>
      <c r="AC38" s="84">
        <f t="shared" si="20"/>
        <v>0</v>
      </c>
      <c r="AD38" s="132">
        <v>0</v>
      </c>
      <c r="AE38" s="132">
        <v>0</v>
      </c>
      <c r="AF38" s="132">
        <v>0</v>
      </c>
      <c r="AG38" s="84">
        <f t="shared" si="21"/>
        <v>0</v>
      </c>
      <c r="AH38" s="132">
        <v>0</v>
      </c>
      <c r="AI38" s="132">
        <v>0</v>
      </c>
      <c r="AJ38" s="132">
        <v>0</v>
      </c>
      <c r="AK38" s="84">
        <f t="shared" si="22"/>
        <v>0</v>
      </c>
      <c r="AL38" s="132">
        <v>0</v>
      </c>
      <c r="AM38" s="132">
        <v>0</v>
      </c>
      <c r="AN38" s="132">
        <v>0</v>
      </c>
      <c r="AO38" s="84">
        <f t="shared" si="23"/>
        <v>0</v>
      </c>
      <c r="AP38" s="132">
        <v>0</v>
      </c>
      <c r="AQ38" s="132">
        <v>0</v>
      </c>
      <c r="AR38" s="132">
        <v>0</v>
      </c>
      <c r="AS38" s="84">
        <f t="shared" si="24"/>
        <v>0</v>
      </c>
      <c r="AT38" s="132">
        <v>0</v>
      </c>
      <c r="AU38" s="132">
        <v>0</v>
      </c>
      <c r="AV38" s="132">
        <v>0</v>
      </c>
      <c r="AW38" s="84">
        <f t="shared" si="25"/>
        <v>0</v>
      </c>
      <c r="AX38" s="132">
        <v>0</v>
      </c>
      <c r="AY38" s="132">
        <v>0</v>
      </c>
      <c r="AZ38" s="132">
        <v>0</v>
      </c>
      <c r="BA38" s="84">
        <f t="shared" si="26"/>
        <v>0</v>
      </c>
      <c r="BB38" s="132">
        <v>0</v>
      </c>
      <c r="BC38" s="132">
        <v>0</v>
      </c>
      <c r="BD38" s="132">
        <v>0</v>
      </c>
      <c r="BE38" s="84">
        <f t="shared" si="27"/>
        <v>0</v>
      </c>
      <c r="BF38" s="132">
        <v>0</v>
      </c>
      <c r="BG38" s="132">
        <v>0</v>
      </c>
      <c r="BH38" s="132">
        <v>0</v>
      </c>
      <c r="BI38" s="84">
        <f t="shared" si="28"/>
        <v>0</v>
      </c>
      <c r="BJ38" s="64">
        <f t="shared" si="29"/>
        <v>0</v>
      </c>
    </row>
    <row r="39" spans="1:62" x14ac:dyDescent="0.25">
      <c r="A39" s="1" t="s">
        <v>169</v>
      </c>
      <c r="B39" s="5" t="s">
        <v>170</v>
      </c>
      <c r="C39" s="1" t="s">
        <v>15</v>
      </c>
      <c r="D39" s="231">
        <v>1</v>
      </c>
      <c r="E39" s="25" t="s">
        <v>41</v>
      </c>
      <c r="F39" s="132">
        <v>0</v>
      </c>
      <c r="G39" s="132">
        <v>0</v>
      </c>
      <c r="H39" s="132">
        <v>0</v>
      </c>
      <c r="I39" s="84">
        <f t="shared" si="15"/>
        <v>0</v>
      </c>
      <c r="J39" s="132">
        <v>0</v>
      </c>
      <c r="K39" s="132">
        <v>0</v>
      </c>
      <c r="L39" s="132">
        <v>0</v>
      </c>
      <c r="M39" s="84">
        <f t="shared" si="16"/>
        <v>0</v>
      </c>
      <c r="N39" s="132">
        <v>0</v>
      </c>
      <c r="O39" s="132">
        <v>0</v>
      </c>
      <c r="P39" s="132">
        <v>0</v>
      </c>
      <c r="Q39" s="84">
        <f t="shared" si="17"/>
        <v>0</v>
      </c>
      <c r="R39" s="132">
        <v>0</v>
      </c>
      <c r="S39" s="132">
        <v>0</v>
      </c>
      <c r="T39" s="132">
        <v>0</v>
      </c>
      <c r="U39" s="84">
        <f t="shared" si="18"/>
        <v>0</v>
      </c>
      <c r="V39" s="132">
        <v>0</v>
      </c>
      <c r="W39" s="132">
        <v>0</v>
      </c>
      <c r="X39" s="132">
        <v>0</v>
      </c>
      <c r="Y39" s="84">
        <f t="shared" si="19"/>
        <v>0</v>
      </c>
      <c r="Z39" s="132">
        <v>0</v>
      </c>
      <c r="AA39" s="132">
        <v>0</v>
      </c>
      <c r="AB39" s="132">
        <v>0</v>
      </c>
      <c r="AC39" s="84">
        <f t="shared" si="20"/>
        <v>0</v>
      </c>
      <c r="AD39" s="132">
        <v>0</v>
      </c>
      <c r="AE39" s="132">
        <v>0</v>
      </c>
      <c r="AF39" s="132">
        <v>0</v>
      </c>
      <c r="AG39" s="84">
        <f t="shared" si="21"/>
        <v>0</v>
      </c>
      <c r="AH39" s="132">
        <v>0</v>
      </c>
      <c r="AI39" s="132">
        <v>0</v>
      </c>
      <c r="AJ39" s="132">
        <v>0</v>
      </c>
      <c r="AK39" s="84">
        <f t="shared" si="22"/>
        <v>0</v>
      </c>
      <c r="AL39" s="132">
        <v>0</v>
      </c>
      <c r="AM39" s="132">
        <v>0</v>
      </c>
      <c r="AN39" s="132">
        <v>0</v>
      </c>
      <c r="AO39" s="84">
        <f t="shared" si="23"/>
        <v>0</v>
      </c>
      <c r="AP39" s="132">
        <v>0</v>
      </c>
      <c r="AQ39" s="132">
        <v>0</v>
      </c>
      <c r="AR39" s="132">
        <v>0</v>
      </c>
      <c r="AS39" s="84">
        <f t="shared" si="24"/>
        <v>0</v>
      </c>
      <c r="AT39" s="132">
        <v>0</v>
      </c>
      <c r="AU39" s="132">
        <v>0</v>
      </c>
      <c r="AV39" s="132">
        <v>0</v>
      </c>
      <c r="AW39" s="84">
        <f t="shared" si="25"/>
        <v>0</v>
      </c>
      <c r="AX39" s="132">
        <v>0</v>
      </c>
      <c r="AY39" s="132">
        <v>0</v>
      </c>
      <c r="AZ39" s="132">
        <v>0</v>
      </c>
      <c r="BA39" s="84">
        <f t="shared" si="26"/>
        <v>0</v>
      </c>
      <c r="BB39" s="132">
        <v>0</v>
      </c>
      <c r="BC39" s="132">
        <v>0</v>
      </c>
      <c r="BD39" s="132">
        <v>0</v>
      </c>
      <c r="BE39" s="84">
        <f t="shared" si="27"/>
        <v>0</v>
      </c>
      <c r="BF39" s="132">
        <v>0</v>
      </c>
      <c r="BG39" s="132">
        <v>0</v>
      </c>
      <c r="BH39" s="132">
        <v>0</v>
      </c>
      <c r="BI39" s="84">
        <f t="shared" si="28"/>
        <v>0</v>
      </c>
      <c r="BJ39" s="64">
        <f t="shared" si="29"/>
        <v>0</v>
      </c>
    </row>
    <row r="40" spans="1:62" x14ac:dyDescent="0.25">
      <c r="A40" s="1" t="s">
        <v>185</v>
      </c>
      <c r="B40" s="5" t="s">
        <v>186</v>
      </c>
      <c r="C40" s="1" t="s">
        <v>15</v>
      </c>
      <c r="D40" s="231">
        <v>1</v>
      </c>
      <c r="E40" s="25" t="s">
        <v>41</v>
      </c>
      <c r="F40" s="132">
        <v>0</v>
      </c>
      <c r="G40" s="132">
        <v>0</v>
      </c>
      <c r="H40" s="132">
        <v>0</v>
      </c>
      <c r="I40" s="84">
        <f t="shared" si="15"/>
        <v>0</v>
      </c>
      <c r="J40" s="132">
        <v>0</v>
      </c>
      <c r="K40" s="132">
        <v>0</v>
      </c>
      <c r="L40" s="132">
        <v>0</v>
      </c>
      <c r="M40" s="84">
        <f t="shared" si="16"/>
        <v>0</v>
      </c>
      <c r="N40" s="132">
        <v>0</v>
      </c>
      <c r="O40" s="132">
        <v>0</v>
      </c>
      <c r="P40" s="132">
        <v>0</v>
      </c>
      <c r="Q40" s="84">
        <f t="shared" si="17"/>
        <v>0</v>
      </c>
      <c r="R40" s="132">
        <v>0</v>
      </c>
      <c r="S40" s="132">
        <v>0</v>
      </c>
      <c r="T40" s="132">
        <v>0</v>
      </c>
      <c r="U40" s="84">
        <f t="shared" si="18"/>
        <v>0</v>
      </c>
      <c r="V40" s="132">
        <v>0</v>
      </c>
      <c r="W40" s="132">
        <v>0</v>
      </c>
      <c r="X40" s="132">
        <v>0</v>
      </c>
      <c r="Y40" s="84">
        <f t="shared" si="19"/>
        <v>0</v>
      </c>
      <c r="Z40" s="132">
        <v>0</v>
      </c>
      <c r="AA40" s="132">
        <v>0</v>
      </c>
      <c r="AB40" s="132">
        <v>0</v>
      </c>
      <c r="AC40" s="84">
        <f t="shared" si="20"/>
        <v>0</v>
      </c>
      <c r="AD40" s="132">
        <v>0</v>
      </c>
      <c r="AE40" s="132">
        <v>0</v>
      </c>
      <c r="AF40" s="132">
        <v>0</v>
      </c>
      <c r="AG40" s="84">
        <f t="shared" si="21"/>
        <v>0</v>
      </c>
      <c r="AH40" s="132">
        <v>0</v>
      </c>
      <c r="AI40" s="132">
        <v>0</v>
      </c>
      <c r="AJ40" s="132">
        <v>0</v>
      </c>
      <c r="AK40" s="84">
        <f t="shared" si="22"/>
        <v>0</v>
      </c>
      <c r="AL40" s="132">
        <v>0</v>
      </c>
      <c r="AM40" s="132">
        <v>0</v>
      </c>
      <c r="AN40" s="132">
        <v>0</v>
      </c>
      <c r="AO40" s="84">
        <f t="shared" si="23"/>
        <v>0</v>
      </c>
      <c r="AP40" s="132">
        <v>0</v>
      </c>
      <c r="AQ40" s="132">
        <v>0</v>
      </c>
      <c r="AR40" s="132">
        <v>0</v>
      </c>
      <c r="AS40" s="84">
        <f t="shared" si="24"/>
        <v>0</v>
      </c>
      <c r="AT40" s="132">
        <v>0</v>
      </c>
      <c r="AU40" s="132">
        <v>0</v>
      </c>
      <c r="AV40" s="132">
        <v>0</v>
      </c>
      <c r="AW40" s="84">
        <f t="shared" si="25"/>
        <v>0</v>
      </c>
      <c r="AX40" s="132">
        <v>0</v>
      </c>
      <c r="AY40" s="132">
        <v>0</v>
      </c>
      <c r="AZ40" s="132">
        <v>0</v>
      </c>
      <c r="BA40" s="84">
        <f t="shared" si="26"/>
        <v>0</v>
      </c>
      <c r="BB40" s="132">
        <v>0</v>
      </c>
      <c r="BC40" s="132">
        <v>0</v>
      </c>
      <c r="BD40" s="132">
        <v>0</v>
      </c>
      <c r="BE40" s="84">
        <f t="shared" si="27"/>
        <v>0</v>
      </c>
      <c r="BF40" s="132">
        <v>0</v>
      </c>
      <c r="BG40" s="132">
        <v>0</v>
      </c>
      <c r="BH40" s="132">
        <v>0</v>
      </c>
      <c r="BI40" s="84">
        <f t="shared" si="28"/>
        <v>0</v>
      </c>
      <c r="BJ40" s="64">
        <f t="shared" si="29"/>
        <v>0</v>
      </c>
    </row>
  </sheetData>
  <sortState xmlns:xlrd2="http://schemas.microsoft.com/office/spreadsheetml/2017/richdata2" ref="A3:BB40">
    <sortCondition ref="E1:E40"/>
  </sortState>
  <mergeCells count="14">
    <mergeCell ref="BB1:BE1"/>
    <mergeCell ref="BF1:BI1"/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F3:H40">
    <cfRule type="cellIs" dxfId="3372" priority="64" operator="lessThan">
      <formula>7.9</formula>
    </cfRule>
  </conditionalFormatting>
  <conditionalFormatting sqref="F3:H40">
    <cfRule type="cellIs" dxfId="3371" priority="65" operator="lessThan">
      <formula>7.4</formula>
    </cfRule>
  </conditionalFormatting>
  <conditionalFormatting sqref="F5:H6">
    <cfRule type="cellIs" dxfId="3370" priority="66" operator="lessThan">
      <formula>6.9</formula>
    </cfRule>
  </conditionalFormatting>
  <conditionalFormatting sqref="I3:I40">
    <cfRule type="cellIs" dxfId="3369" priority="67" operator="lessThan">
      <formula>7.9</formula>
    </cfRule>
    <cfRule type="cellIs" dxfId="3368" priority="76" operator="lessThan">
      <formula>6.9</formula>
    </cfRule>
    <cfRule type="cellIs" dxfId="3367" priority="77" operator="lessThan">
      <formula>7.4</formula>
    </cfRule>
    <cfRule type="cellIs" dxfId="3366" priority="78" operator="lessThan">
      <formula>7.9</formula>
    </cfRule>
  </conditionalFormatting>
  <conditionalFormatting sqref="I3:I40">
    <cfRule type="cellIs" dxfId="3365" priority="68" operator="lessThan">
      <formula>6.9</formula>
    </cfRule>
    <cfRule type="cellIs" dxfId="3364" priority="69" operator="lessThan">
      <formula>7.4</formula>
    </cfRule>
    <cfRule type="cellIs" dxfId="3363" priority="70" operator="lessThan">
      <formula>7.9</formula>
    </cfRule>
    <cfRule type="cellIs" dxfId="3362" priority="71" operator="lessThan">
      <formula>6.9</formula>
    </cfRule>
    <cfRule type="cellIs" dxfId="3361" priority="72" operator="lessThan">
      <formula>7.9</formula>
    </cfRule>
    <cfRule type="cellIs" dxfId="3360" priority="73" operator="lessThan">
      <formula>7.4</formula>
    </cfRule>
    <cfRule type="cellIs" dxfId="3359" priority="74" operator="lessThan">
      <formula>6.9</formula>
    </cfRule>
    <cfRule type="cellIs" dxfId="3358" priority="75" operator="lessThan">
      <formula>7.9</formula>
    </cfRule>
  </conditionalFormatting>
  <conditionalFormatting sqref="M3:M40">
    <cfRule type="cellIs" dxfId="3357" priority="79" operator="lessThan">
      <formula>7.9</formula>
    </cfRule>
    <cfRule type="cellIs" dxfId="3356" priority="80" operator="lessThan">
      <formula>6.9</formula>
    </cfRule>
    <cfRule type="cellIs" dxfId="3355" priority="81" operator="lessThan">
      <formula>7.4</formula>
    </cfRule>
    <cfRule type="cellIs" dxfId="3354" priority="82" operator="lessThan">
      <formula>7.9</formula>
    </cfRule>
    <cfRule type="cellIs" dxfId="3353" priority="83" operator="lessThan">
      <formula>6.9</formula>
    </cfRule>
    <cfRule type="cellIs" dxfId="3352" priority="84" operator="lessThan">
      <formula>7.9</formula>
    </cfRule>
    <cfRule type="cellIs" dxfId="3351" priority="85" operator="lessThan">
      <formula>7.4</formula>
    </cfRule>
    <cfRule type="cellIs" dxfId="3350" priority="86" operator="lessThan">
      <formula>6.9</formula>
    </cfRule>
    <cfRule type="cellIs" dxfId="3349" priority="87" operator="lessThan">
      <formula>7.9</formula>
    </cfRule>
    <cfRule type="cellIs" dxfId="3348" priority="88" operator="lessThan">
      <formula>6.9</formula>
    </cfRule>
    <cfRule type="cellIs" dxfId="3347" priority="89" operator="lessThan">
      <formula>7.4</formula>
    </cfRule>
    <cfRule type="cellIs" dxfId="3346" priority="90" operator="lessThan">
      <formula>6.9</formula>
    </cfRule>
    <cfRule type="cellIs" dxfId="3345" priority="91" operator="lessThan">
      <formula>7.4</formula>
    </cfRule>
    <cfRule type="cellIs" dxfId="3344" priority="92" operator="lessThan">
      <formula>7.9</formula>
    </cfRule>
  </conditionalFormatting>
  <conditionalFormatting sqref="Q3:Q40">
    <cfRule type="cellIs" dxfId="3343" priority="118" operator="lessThan">
      <formula>6.9</formula>
    </cfRule>
    <cfRule type="cellIs" dxfId="3342" priority="119" operator="lessThan">
      <formula>7.9</formula>
    </cfRule>
  </conditionalFormatting>
  <conditionalFormatting sqref="Q3:Q40">
    <cfRule type="cellIs" dxfId="3341" priority="117" operator="lessThan">
      <formula>7.9</formula>
    </cfRule>
    <cfRule type="cellIs" dxfId="3340" priority="128" operator="lessThan">
      <formula>7.4</formula>
    </cfRule>
    <cfRule type="cellIs" dxfId="3339" priority="205" operator="lessThan">
      <formula>6.9</formula>
    </cfRule>
    <cfRule type="cellIs" dxfId="3338" priority="206" operator="lessThan">
      <formula>7.9</formula>
    </cfRule>
    <cfRule type="cellIs" dxfId="3337" priority="207" operator="lessThan">
      <formula>7.4</formula>
    </cfRule>
    <cfRule type="cellIs" dxfId="3336" priority="208" operator="lessThan">
      <formula>6.9</formula>
    </cfRule>
    <cfRule type="cellIs" dxfId="3335" priority="209" operator="lessThan">
      <formula>7.9</formula>
    </cfRule>
    <cfRule type="cellIs" dxfId="3334" priority="210" operator="lessThan">
      <formula>6.9</formula>
    </cfRule>
    <cfRule type="cellIs" dxfId="3333" priority="211" operator="lessThan">
      <formula>7.4</formula>
    </cfRule>
    <cfRule type="cellIs" dxfId="3332" priority="212" operator="lessThan">
      <formula>7.9</formula>
    </cfRule>
  </conditionalFormatting>
  <conditionalFormatting sqref="U3:U40">
    <cfRule type="cellIs" dxfId="3331" priority="115" operator="lessThan">
      <formula>6.9</formula>
    </cfRule>
    <cfRule type="cellIs" dxfId="3330" priority="116" operator="lessThan">
      <formula>7.9</formula>
    </cfRule>
  </conditionalFormatting>
  <conditionalFormatting sqref="U3:U40">
    <cfRule type="cellIs" dxfId="3329" priority="114" operator="lessThan">
      <formula>7.9</formula>
    </cfRule>
    <cfRule type="cellIs" dxfId="3328" priority="127" operator="lessThan">
      <formula>7.4</formula>
    </cfRule>
    <cfRule type="cellIs" dxfId="3327" priority="197" operator="lessThan">
      <formula>6.9</formula>
    </cfRule>
    <cfRule type="cellIs" dxfId="3326" priority="198" operator="lessThan">
      <formula>7.9</formula>
    </cfRule>
    <cfRule type="cellIs" dxfId="3325" priority="199" operator="lessThan">
      <formula>7.4</formula>
    </cfRule>
    <cfRule type="cellIs" dxfId="3324" priority="200" operator="lessThan">
      <formula>6.9</formula>
    </cfRule>
    <cfRule type="cellIs" dxfId="3323" priority="201" operator="lessThan">
      <formula>7.9</formula>
    </cfRule>
    <cfRule type="cellIs" dxfId="3322" priority="202" operator="lessThan">
      <formula>6.9</formula>
    </cfRule>
    <cfRule type="cellIs" dxfId="3321" priority="203" operator="lessThan">
      <formula>7.4</formula>
    </cfRule>
    <cfRule type="cellIs" dxfId="3320" priority="204" operator="lessThan">
      <formula>7.9</formula>
    </cfRule>
  </conditionalFormatting>
  <conditionalFormatting sqref="Y3:Y40">
    <cfRule type="cellIs" dxfId="3319" priority="113" operator="lessThan">
      <formula>7.9</formula>
    </cfRule>
  </conditionalFormatting>
  <conditionalFormatting sqref="Y3:Y40">
    <cfRule type="cellIs" dxfId="3318" priority="111" operator="lessThan">
      <formula>7.9</formula>
    </cfRule>
    <cfRule type="cellIs" dxfId="3317" priority="112" operator="lessThan">
      <formula>6.9</formula>
    </cfRule>
    <cfRule type="cellIs" dxfId="3316" priority="126" operator="lessThan">
      <formula>7.4</formula>
    </cfRule>
    <cfRule type="cellIs" dxfId="3315" priority="189" operator="lessThan">
      <formula>6.9</formula>
    </cfRule>
    <cfRule type="cellIs" dxfId="3314" priority="190" operator="lessThan">
      <formula>7.9</formula>
    </cfRule>
    <cfRule type="cellIs" dxfId="3313" priority="191" operator="lessThan">
      <formula>7.4</formula>
    </cfRule>
    <cfRule type="cellIs" dxfId="3312" priority="192" operator="lessThan">
      <formula>6.9</formula>
    </cfRule>
    <cfRule type="cellIs" dxfId="3311" priority="193" operator="lessThan">
      <formula>7.9</formula>
    </cfRule>
    <cfRule type="cellIs" dxfId="3310" priority="194" operator="lessThan">
      <formula>6.9</formula>
    </cfRule>
    <cfRule type="cellIs" dxfId="3309" priority="195" operator="lessThan">
      <formula>7.4</formula>
    </cfRule>
    <cfRule type="cellIs" dxfId="3308" priority="196" operator="lessThan">
      <formula>7.9</formula>
    </cfRule>
  </conditionalFormatting>
  <conditionalFormatting sqref="AC3:AC40">
    <cfRule type="cellIs" dxfId="3307" priority="108" operator="lessThan">
      <formula>7.9</formula>
    </cfRule>
    <cfRule type="cellIs" dxfId="3306" priority="109" operator="lessThan">
      <formula>6.9</formula>
    </cfRule>
    <cfRule type="cellIs" dxfId="3305" priority="110" operator="lessThan">
      <formula>7.9</formula>
    </cfRule>
  </conditionalFormatting>
  <conditionalFormatting sqref="AC3:AC40">
    <cfRule type="cellIs" dxfId="3304" priority="125" operator="lessThan">
      <formula>7.4</formula>
    </cfRule>
    <cfRule type="cellIs" dxfId="3303" priority="181" operator="lessThan">
      <formula>6.9</formula>
    </cfRule>
    <cfRule type="cellIs" dxfId="3302" priority="182" operator="lessThan">
      <formula>7.9</formula>
    </cfRule>
    <cfRule type="cellIs" dxfId="3301" priority="183" operator="lessThan">
      <formula>7.4</formula>
    </cfRule>
    <cfRule type="cellIs" dxfId="3300" priority="184" operator="lessThan">
      <formula>6.9</formula>
    </cfRule>
    <cfRule type="cellIs" dxfId="3299" priority="185" operator="lessThan">
      <formula>7.9</formula>
    </cfRule>
    <cfRule type="cellIs" dxfId="3298" priority="186" operator="lessThan">
      <formula>6.9</formula>
    </cfRule>
    <cfRule type="cellIs" dxfId="3297" priority="187" operator="lessThan">
      <formula>7.4</formula>
    </cfRule>
    <cfRule type="cellIs" dxfId="3296" priority="188" operator="lessThan">
      <formula>7.9</formula>
    </cfRule>
  </conditionalFormatting>
  <conditionalFormatting sqref="AG3:AG40">
    <cfRule type="cellIs" dxfId="3295" priority="105" operator="lessThan">
      <formula>7.9</formula>
    </cfRule>
    <cfRule type="cellIs" dxfId="3294" priority="106" operator="lessThan">
      <formula>6.9</formula>
    </cfRule>
    <cfRule type="cellIs" dxfId="3293" priority="107" operator="lessThan">
      <formula>7.9</formula>
    </cfRule>
  </conditionalFormatting>
  <conditionalFormatting sqref="AG3:AG40">
    <cfRule type="cellIs" dxfId="3292" priority="124" operator="lessThan">
      <formula>7.4</formula>
    </cfRule>
    <cfRule type="cellIs" dxfId="3291" priority="173" operator="lessThan">
      <formula>6.9</formula>
    </cfRule>
    <cfRule type="cellIs" dxfId="3290" priority="174" operator="lessThan">
      <formula>7.9</formula>
    </cfRule>
    <cfRule type="cellIs" dxfId="3289" priority="175" operator="lessThan">
      <formula>7.4</formula>
    </cfRule>
    <cfRule type="cellIs" dxfId="3288" priority="176" operator="lessThan">
      <formula>6.9</formula>
    </cfRule>
    <cfRule type="cellIs" dxfId="3287" priority="177" operator="lessThan">
      <formula>7.9</formula>
    </cfRule>
    <cfRule type="cellIs" dxfId="3286" priority="178" operator="lessThan">
      <formula>6.9</formula>
    </cfRule>
    <cfRule type="cellIs" dxfId="3285" priority="179" operator="lessThan">
      <formula>7.4</formula>
    </cfRule>
    <cfRule type="cellIs" dxfId="3284" priority="180" operator="lessThan">
      <formula>7.9</formula>
    </cfRule>
  </conditionalFormatting>
  <conditionalFormatting sqref="AK3:AK40">
    <cfRule type="cellIs" dxfId="3283" priority="102" operator="lessThan">
      <formula>7.9</formula>
    </cfRule>
    <cfRule type="cellIs" dxfId="3282" priority="103" operator="lessThan">
      <formula>6.9</formula>
    </cfRule>
    <cfRule type="cellIs" dxfId="3281" priority="104" operator="lessThan">
      <formula>7.9</formula>
    </cfRule>
  </conditionalFormatting>
  <conditionalFormatting sqref="AK3:AK40">
    <cfRule type="cellIs" dxfId="3280" priority="123" operator="lessThan">
      <formula>7.4</formula>
    </cfRule>
    <cfRule type="cellIs" dxfId="3279" priority="165" operator="lessThan">
      <formula>6.9</formula>
    </cfRule>
    <cfRule type="cellIs" dxfId="3278" priority="166" operator="lessThan">
      <formula>7.9</formula>
    </cfRule>
    <cfRule type="cellIs" dxfId="3277" priority="167" operator="lessThan">
      <formula>7.4</formula>
    </cfRule>
    <cfRule type="cellIs" dxfId="3276" priority="168" operator="lessThan">
      <formula>6.9</formula>
    </cfRule>
    <cfRule type="cellIs" dxfId="3275" priority="169" operator="lessThan">
      <formula>7.9</formula>
    </cfRule>
    <cfRule type="cellIs" dxfId="3274" priority="170" operator="lessThan">
      <formula>6.9</formula>
    </cfRule>
    <cfRule type="cellIs" dxfId="3273" priority="171" operator="lessThan">
      <formula>7.4</formula>
    </cfRule>
    <cfRule type="cellIs" dxfId="3272" priority="172" operator="lessThan">
      <formula>7.9</formula>
    </cfRule>
  </conditionalFormatting>
  <conditionalFormatting sqref="AO3:AO40">
    <cfRule type="cellIs" dxfId="3271" priority="99" operator="lessThan">
      <formula>7.9</formula>
    </cfRule>
    <cfRule type="cellIs" dxfId="3270" priority="100" operator="lessThan">
      <formula>6.9</formula>
    </cfRule>
    <cfRule type="cellIs" dxfId="3269" priority="101" operator="lessThan">
      <formula>7.9</formula>
    </cfRule>
  </conditionalFormatting>
  <conditionalFormatting sqref="AO3:AO40">
    <cfRule type="cellIs" dxfId="3268" priority="122" operator="lessThan">
      <formula>7.4</formula>
    </cfRule>
    <cfRule type="cellIs" dxfId="3267" priority="157" operator="lessThan">
      <formula>6.9</formula>
    </cfRule>
    <cfRule type="cellIs" dxfId="3266" priority="158" operator="lessThan">
      <formula>7.9</formula>
    </cfRule>
    <cfRule type="cellIs" dxfId="3265" priority="159" operator="lessThan">
      <formula>7.4</formula>
    </cfRule>
    <cfRule type="cellIs" dxfId="3264" priority="160" operator="lessThan">
      <formula>6.9</formula>
    </cfRule>
    <cfRule type="cellIs" dxfId="3263" priority="161" operator="lessThan">
      <formula>7.9</formula>
    </cfRule>
    <cfRule type="cellIs" dxfId="3262" priority="162" operator="lessThan">
      <formula>6.9</formula>
    </cfRule>
    <cfRule type="cellIs" dxfId="3261" priority="163" operator="lessThan">
      <formula>7.4</formula>
    </cfRule>
    <cfRule type="cellIs" dxfId="3260" priority="164" operator="lessThan">
      <formula>7.9</formula>
    </cfRule>
  </conditionalFormatting>
  <conditionalFormatting sqref="AS3:AS40">
    <cfRule type="cellIs" dxfId="3259" priority="96" operator="lessThan">
      <formula>7.9</formula>
    </cfRule>
    <cfRule type="cellIs" dxfId="3258" priority="97" operator="lessThan">
      <formula>6.9</formula>
    </cfRule>
    <cfRule type="cellIs" dxfId="3257" priority="98" operator="lessThan">
      <formula>7.9</formula>
    </cfRule>
    <cfRule type="cellIs" dxfId="3256" priority="121" operator="lessThan">
      <formula>7.4</formula>
    </cfRule>
  </conditionalFormatting>
  <conditionalFormatting sqref="AS3:AS40">
    <cfRule type="cellIs" dxfId="3255" priority="149" operator="lessThan">
      <formula>6.9</formula>
    </cfRule>
    <cfRule type="cellIs" dxfId="3254" priority="150" operator="lessThan">
      <formula>7.9</formula>
    </cfRule>
    <cfRule type="cellIs" dxfId="3253" priority="151" operator="lessThan">
      <formula>7.4</formula>
    </cfRule>
    <cfRule type="cellIs" dxfId="3252" priority="152" operator="lessThan">
      <formula>6.9</formula>
    </cfRule>
    <cfRule type="cellIs" dxfId="3251" priority="153" operator="lessThan">
      <formula>7.9</formula>
    </cfRule>
    <cfRule type="cellIs" dxfId="3250" priority="154" operator="lessThan">
      <formula>6.9</formula>
    </cfRule>
    <cfRule type="cellIs" dxfId="3249" priority="155" operator="lessThan">
      <formula>7.4</formula>
    </cfRule>
    <cfRule type="cellIs" dxfId="3248" priority="156" operator="lessThan">
      <formula>7.9</formula>
    </cfRule>
  </conditionalFormatting>
  <conditionalFormatting sqref="AW3:AW40">
    <cfRule type="cellIs" dxfId="3247" priority="93" operator="lessThan">
      <formula>7.9</formula>
    </cfRule>
    <cfRule type="cellIs" dxfId="3246" priority="94" operator="lessThan">
      <formula>6.9</formula>
    </cfRule>
    <cfRule type="cellIs" dxfId="3245" priority="95" operator="lessThan">
      <formula>7.4</formula>
    </cfRule>
    <cfRule type="cellIs" dxfId="3244" priority="120" operator="lessThan">
      <formula>7.9</formula>
    </cfRule>
  </conditionalFormatting>
  <conditionalFormatting sqref="AW3:AW40">
    <cfRule type="cellIs" dxfId="3243" priority="141" operator="lessThan">
      <formula>6.9</formula>
    </cfRule>
    <cfRule type="cellIs" dxfId="3242" priority="142" operator="lessThan">
      <formula>7.9</formula>
    </cfRule>
    <cfRule type="cellIs" dxfId="3241" priority="143" operator="lessThan">
      <formula>7.4</formula>
    </cfRule>
    <cfRule type="cellIs" dxfId="3240" priority="144" operator="lessThan">
      <formula>6.9</formula>
    </cfRule>
    <cfRule type="cellIs" dxfId="3239" priority="145" operator="lessThan">
      <formula>7.9</formula>
    </cfRule>
    <cfRule type="cellIs" dxfId="3238" priority="146" operator="lessThan">
      <formula>6.9</formula>
    </cfRule>
    <cfRule type="cellIs" dxfId="3237" priority="147" operator="lessThan">
      <formula>7.4</formula>
    </cfRule>
    <cfRule type="cellIs" dxfId="3236" priority="148" operator="lessThan">
      <formula>7.9</formula>
    </cfRule>
  </conditionalFormatting>
  <conditionalFormatting sqref="BA3:BA40">
    <cfRule type="cellIs" dxfId="3235" priority="129" operator="lessThan">
      <formula>7.9</formula>
    </cfRule>
    <cfRule type="cellIs" dxfId="3234" priority="130" operator="lessThan">
      <formula>6.9</formula>
    </cfRule>
    <cfRule type="cellIs" dxfId="3233" priority="131" operator="lessThan">
      <formula>7.4</formula>
    </cfRule>
    <cfRule type="cellIs" dxfId="3232" priority="132" operator="lessThan">
      <formula>7.9</formula>
    </cfRule>
    <cfRule type="cellIs" dxfId="3231" priority="133" operator="lessThan">
      <formula>6.9</formula>
    </cfRule>
    <cfRule type="cellIs" dxfId="3230" priority="134" operator="lessThan">
      <formula>7.9</formula>
    </cfRule>
    <cfRule type="cellIs" dxfId="3229" priority="135" operator="lessThan">
      <formula>7.4</formula>
    </cfRule>
    <cfRule type="cellIs" dxfId="3228" priority="136" operator="lessThan">
      <formula>6.9</formula>
    </cfRule>
    <cfRule type="cellIs" dxfId="3227" priority="137" operator="lessThan">
      <formula>7.9</formula>
    </cfRule>
    <cfRule type="cellIs" dxfId="3226" priority="138" operator="lessThan">
      <formula>6.9</formula>
    </cfRule>
    <cfRule type="cellIs" dxfId="3225" priority="139" operator="lessThan">
      <formula>7.4</formula>
    </cfRule>
    <cfRule type="cellIs" dxfId="3224" priority="140" operator="lessThan">
      <formula>7.9</formula>
    </cfRule>
  </conditionalFormatting>
  <conditionalFormatting sqref="J3:L40">
    <cfRule type="cellIs" dxfId="3223" priority="61" operator="lessThan">
      <formula>7.9</formula>
    </cfRule>
  </conditionalFormatting>
  <conditionalFormatting sqref="J3:L40">
    <cfRule type="cellIs" dxfId="3222" priority="62" operator="lessThan">
      <formula>7.4</formula>
    </cfRule>
  </conditionalFormatting>
  <conditionalFormatting sqref="J5:L6">
    <cfRule type="cellIs" dxfId="3221" priority="63" operator="lessThan">
      <formula>6.9</formula>
    </cfRule>
  </conditionalFormatting>
  <conditionalFormatting sqref="N3:P40">
    <cfRule type="cellIs" dxfId="3220" priority="58" operator="lessThan">
      <formula>7.9</formula>
    </cfRule>
  </conditionalFormatting>
  <conditionalFormatting sqref="N3:P40">
    <cfRule type="cellIs" dxfId="3219" priority="59" operator="lessThan">
      <formula>7.4</formula>
    </cfRule>
  </conditionalFormatting>
  <conditionalFormatting sqref="N5:P6">
    <cfRule type="cellIs" dxfId="3218" priority="60" operator="lessThan">
      <formula>6.9</formula>
    </cfRule>
  </conditionalFormatting>
  <conditionalFormatting sqref="R3:T40">
    <cfRule type="cellIs" dxfId="3217" priority="55" operator="lessThan">
      <formula>7.9</formula>
    </cfRule>
  </conditionalFormatting>
  <conditionalFormatting sqref="R3:T40">
    <cfRule type="cellIs" dxfId="3216" priority="56" operator="lessThan">
      <formula>7.4</formula>
    </cfRule>
  </conditionalFormatting>
  <conditionalFormatting sqref="R5:T6">
    <cfRule type="cellIs" dxfId="3215" priority="57" operator="lessThan">
      <formula>6.9</formula>
    </cfRule>
  </conditionalFormatting>
  <conditionalFormatting sqref="V3:X40">
    <cfRule type="cellIs" dxfId="3214" priority="52" operator="lessThan">
      <formula>7.9</formula>
    </cfRule>
  </conditionalFormatting>
  <conditionalFormatting sqref="V3:X40">
    <cfRule type="cellIs" dxfId="3213" priority="53" operator="lessThan">
      <formula>7.4</formula>
    </cfRule>
  </conditionalFormatting>
  <conditionalFormatting sqref="V5:X6">
    <cfRule type="cellIs" dxfId="3212" priority="54" operator="lessThan">
      <formula>6.9</formula>
    </cfRule>
  </conditionalFormatting>
  <conditionalFormatting sqref="Z3:AB40">
    <cfRule type="cellIs" dxfId="3211" priority="49" operator="lessThan">
      <formula>7.9</formula>
    </cfRule>
  </conditionalFormatting>
  <conditionalFormatting sqref="Z3:AB40">
    <cfRule type="cellIs" dxfId="3210" priority="50" operator="lessThan">
      <formula>7.4</formula>
    </cfRule>
  </conditionalFormatting>
  <conditionalFormatting sqref="Z5:AB6">
    <cfRule type="cellIs" dxfId="3209" priority="51" operator="lessThan">
      <formula>6.9</formula>
    </cfRule>
  </conditionalFormatting>
  <conditionalFormatting sqref="AD3:AF40">
    <cfRule type="cellIs" dxfId="3208" priority="46" operator="lessThan">
      <formula>7.9</formula>
    </cfRule>
  </conditionalFormatting>
  <conditionalFormatting sqref="AD3:AF40">
    <cfRule type="cellIs" dxfId="3207" priority="47" operator="lessThan">
      <formula>7.4</formula>
    </cfRule>
  </conditionalFormatting>
  <conditionalFormatting sqref="AD5:AF6">
    <cfRule type="cellIs" dxfId="3206" priority="48" operator="lessThan">
      <formula>6.9</formula>
    </cfRule>
  </conditionalFormatting>
  <conditionalFormatting sqref="AH3:AJ40">
    <cfRule type="cellIs" dxfId="3205" priority="43" operator="lessThan">
      <formula>7.9</formula>
    </cfRule>
  </conditionalFormatting>
  <conditionalFormatting sqref="AH3:AJ40">
    <cfRule type="cellIs" dxfId="3204" priority="44" operator="lessThan">
      <formula>7.4</formula>
    </cfRule>
  </conditionalFormatting>
  <conditionalFormatting sqref="AH5:AJ6">
    <cfRule type="cellIs" dxfId="3203" priority="45" operator="lessThan">
      <formula>6.9</formula>
    </cfRule>
  </conditionalFormatting>
  <conditionalFormatting sqref="AL3:AN40">
    <cfRule type="cellIs" dxfId="3202" priority="40" operator="lessThan">
      <formula>7.9</formula>
    </cfRule>
  </conditionalFormatting>
  <conditionalFormatting sqref="AL3:AN40">
    <cfRule type="cellIs" dxfId="3201" priority="41" operator="lessThan">
      <formula>7.4</formula>
    </cfRule>
  </conditionalFormatting>
  <conditionalFormatting sqref="AL5:AN6">
    <cfRule type="cellIs" dxfId="3200" priority="42" operator="lessThan">
      <formula>6.9</formula>
    </cfRule>
  </conditionalFormatting>
  <conditionalFormatting sqref="AP3:AR40">
    <cfRule type="cellIs" dxfId="3199" priority="37" operator="lessThan">
      <formula>7.9</formula>
    </cfRule>
  </conditionalFormatting>
  <conditionalFormatting sqref="AP3:AR40">
    <cfRule type="cellIs" dxfId="3198" priority="38" operator="lessThan">
      <formula>7.4</formula>
    </cfRule>
  </conditionalFormatting>
  <conditionalFormatting sqref="AP5:AR6">
    <cfRule type="cellIs" dxfId="3197" priority="39" operator="lessThan">
      <formula>6.9</formula>
    </cfRule>
  </conditionalFormatting>
  <conditionalFormatting sqref="AT3:AV40">
    <cfRule type="cellIs" dxfId="3196" priority="34" operator="lessThan">
      <formula>7.9</formula>
    </cfRule>
  </conditionalFormatting>
  <conditionalFormatting sqref="AT3:AV40">
    <cfRule type="cellIs" dxfId="3195" priority="35" operator="lessThan">
      <formula>7.4</formula>
    </cfRule>
  </conditionalFormatting>
  <conditionalFormatting sqref="AT5:AV6">
    <cfRule type="cellIs" dxfId="3194" priority="36" operator="lessThan">
      <formula>6.9</formula>
    </cfRule>
  </conditionalFormatting>
  <conditionalFormatting sqref="AX3:AZ40">
    <cfRule type="cellIs" dxfId="3193" priority="31" operator="lessThan">
      <formula>7.9</formula>
    </cfRule>
  </conditionalFormatting>
  <conditionalFormatting sqref="AX3:AZ40">
    <cfRule type="cellIs" dxfId="3192" priority="32" operator="lessThan">
      <formula>7.4</formula>
    </cfRule>
  </conditionalFormatting>
  <conditionalFormatting sqref="AX5:AZ6">
    <cfRule type="cellIs" dxfId="3191" priority="33" operator="lessThan">
      <formula>6.9</formula>
    </cfRule>
  </conditionalFormatting>
  <conditionalFormatting sqref="BE3:BE40">
    <cfRule type="cellIs" dxfId="3190" priority="19" operator="lessThan">
      <formula>7.9</formula>
    </cfRule>
    <cfRule type="cellIs" dxfId="3189" priority="20" operator="lessThan">
      <formula>6.9</formula>
    </cfRule>
    <cfRule type="cellIs" dxfId="3188" priority="21" operator="lessThan">
      <formula>7.4</formula>
    </cfRule>
    <cfRule type="cellIs" dxfId="3187" priority="22" operator="lessThan">
      <formula>7.9</formula>
    </cfRule>
    <cfRule type="cellIs" dxfId="3186" priority="23" operator="lessThan">
      <formula>6.9</formula>
    </cfRule>
    <cfRule type="cellIs" dxfId="3185" priority="24" operator="lessThan">
      <formula>7.9</formula>
    </cfRule>
    <cfRule type="cellIs" dxfId="3184" priority="25" operator="lessThan">
      <formula>7.4</formula>
    </cfRule>
    <cfRule type="cellIs" dxfId="3183" priority="26" operator="lessThan">
      <formula>6.9</formula>
    </cfRule>
    <cfRule type="cellIs" dxfId="3182" priority="27" operator="lessThan">
      <formula>7.9</formula>
    </cfRule>
    <cfRule type="cellIs" dxfId="3181" priority="28" operator="lessThan">
      <formula>6.9</formula>
    </cfRule>
    <cfRule type="cellIs" dxfId="3180" priority="29" operator="lessThan">
      <formula>7.4</formula>
    </cfRule>
    <cfRule type="cellIs" dxfId="3179" priority="30" operator="lessThan">
      <formula>7.9</formula>
    </cfRule>
  </conditionalFormatting>
  <conditionalFormatting sqref="BB3:BD40">
    <cfRule type="cellIs" dxfId="3178" priority="16" operator="lessThan">
      <formula>7.9</formula>
    </cfRule>
  </conditionalFormatting>
  <conditionalFormatting sqref="BB3:BD40">
    <cfRule type="cellIs" dxfId="3177" priority="17" operator="lessThan">
      <formula>7.4</formula>
    </cfRule>
  </conditionalFormatting>
  <conditionalFormatting sqref="BB5:BD6">
    <cfRule type="cellIs" dxfId="3176" priority="18" operator="lessThan">
      <formula>6.9</formula>
    </cfRule>
  </conditionalFormatting>
  <conditionalFormatting sqref="BI3:BI40">
    <cfRule type="cellIs" dxfId="3175" priority="4" operator="lessThan">
      <formula>7.9</formula>
    </cfRule>
    <cfRule type="cellIs" dxfId="3174" priority="5" operator="lessThan">
      <formula>6.9</formula>
    </cfRule>
    <cfRule type="cellIs" dxfId="3173" priority="6" operator="lessThan">
      <formula>7.4</formula>
    </cfRule>
    <cfRule type="cellIs" dxfId="3172" priority="7" operator="lessThan">
      <formula>7.9</formula>
    </cfRule>
    <cfRule type="cellIs" dxfId="3171" priority="8" operator="lessThan">
      <formula>6.9</formula>
    </cfRule>
    <cfRule type="cellIs" dxfId="3170" priority="9" operator="lessThan">
      <formula>7.9</formula>
    </cfRule>
    <cfRule type="cellIs" dxfId="3169" priority="10" operator="lessThan">
      <formula>7.4</formula>
    </cfRule>
    <cfRule type="cellIs" dxfId="3168" priority="11" operator="lessThan">
      <formula>6.9</formula>
    </cfRule>
    <cfRule type="cellIs" dxfId="3167" priority="12" operator="lessThan">
      <formula>7.9</formula>
    </cfRule>
    <cfRule type="cellIs" dxfId="3166" priority="13" operator="lessThan">
      <formula>6.9</formula>
    </cfRule>
    <cfRule type="cellIs" dxfId="3165" priority="14" operator="lessThan">
      <formula>7.4</formula>
    </cfRule>
    <cfRule type="cellIs" dxfId="3164" priority="15" operator="lessThan">
      <formula>7.9</formula>
    </cfRule>
  </conditionalFormatting>
  <conditionalFormatting sqref="BF3:BH40">
    <cfRule type="cellIs" dxfId="3163" priority="1" operator="lessThan">
      <formula>7.9</formula>
    </cfRule>
  </conditionalFormatting>
  <conditionalFormatting sqref="BF3:BH40">
    <cfRule type="cellIs" dxfId="3162" priority="2" operator="lessThan">
      <formula>7.4</formula>
    </cfRule>
  </conditionalFormatting>
  <conditionalFormatting sqref="BF5:BH6">
    <cfRule type="cellIs" dxfId="3161" priority="3" operator="lessThan">
      <formula>6.9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J30"/>
  <sheetViews>
    <sheetView topLeftCell="X1" zoomScale="90" zoomScaleNormal="90" workbookViewId="0">
      <selection activeCell="F2" sqref="F1:BJ1048576"/>
    </sheetView>
  </sheetViews>
  <sheetFormatPr baseColWidth="10" defaultColWidth="12.5703125" defaultRowHeight="15.75" customHeight="1" x14ac:dyDescent="0.2"/>
  <cols>
    <col min="1" max="1" width="10.140625" customWidth="1"/>
    <col min="2" max="2" width="47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  <col min="58" max="58" width="7.28515625" bestFit="1" customWidth="1"/>
    <col min="59" max="59" width="7.5703125" bestFit="1" customWidth="1"/>
    <col min="60" max="60" width="7.5703125" customWidth="1"/>
    <col min="61" max="61" width="5.5703125" bestFit="1" customWidth="1"/>
  </cols>
  <sheetData>
    <row r="1" spans="1:62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194" t="s">
        <v>139</v>
      </c>
      <c r="BC1" s="195"/>
      <c r="BD1" s="195"/>
      <c r="BE1" s="196"/>
      <c r="BF1" s="194" t="s">
        <v>140</v>
      </c>
      <c r="BG1" s="195"/>
      <c r="BH1" s="195"/>
      <c r="BI1" s="196"/>
      <c r="BJ1" s="71" t="s">
        <v>2</v>
      </c>
    </row>
    <row r="2" spans="1:62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5" t="s">
        <v>8</v>
      </c>
      <c r="BG2" s="75" t="s">
        <v>9</v>
      </c>
      <c r="BH2" s="75" t="s">
        <v>10</v>
      </c>
      <c r="BI2" s="68" t="s">
        <v>11</v>
      </c>
      <c r="BJ2" s="71" t="s">
        <v>12</v>
      </c>
    </row>
    <row r="3" spans="1:62" ht="15.75" customHeight="1" x14ac:dyDescent="0.25">
      <c r="A3" s="1" t="s">
        <v>254</v>
      </c>
      <c r="B3" s="5" t="s">
        <v>255</v>
      </c>
      <c r="C3" s="1" t="s">
        <v>15</v>
      </c>
      <c r="D3" s="231">
        <v>2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0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132">
        <v>0</v>
      </c>
      <c r="BC3" s="132">
        <v>0</v>
      </c>
      <c r="BD3" s="132">
        <v>0</v>
      </c>
      <c r="BE3" s="84">
        <f>AVERAGE(BB3:BD3)</f>
        <v>0</v>
      </c>
      <c r="BF3" s="132">
        <v>0</v>
      </c>
      <c r="BG3" s="132">
        <v>0</v>
      </c>
      <c r="BH3" s="132">
        <v>0</v>
      </c>
      <c r="BI3" s="84">
        <f>AVERAGE(BF3:BH3)</f>
        <v>0</v>
      </c>
      <c r="BJ3" s="64">
        <f>AVERAGE(I3,M3,Q3,U3,Y3,AC3,AG3,AK3,AO3,AS3,AW3,BA3,BE3,BI3)</f>
        <v>0</v>
      </c>
    </row>
    <row r="4" spans="1:62" ht="15.75" customHeight="1" x14ac:dyDescent="0.25">
      <c r="A4" s="1" t="s">
        <v>231</v>
      </c>
      <c r="B4" s="5" t="s">
        <v>232</v>
      </c>
      <c r="C4" s="1" t="s">
        <v>15</v>
      </c>
      <c r="D4" s="231">
        <v>2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30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0" si="2">AVERAGE(N4:P4)</f>
        <v>0</v>
      </c>
      <c r="R4" s="132">
        <v>0</v>
      </c>
      <c r="S4" s="132">
        <v>0</v>
      </c>
      <c r="T4" s="132">
        <v>0</v>
      </c>
      <c r="U4" s="84">
        <f t="shared" ref="U4:U30" si="3">AVERAGE(R4:T4)</f>
        <v>0</v>
      </c>
      <c r="V4" s="132">
        <v>0</v>
      </c>
      <c r="W4" s="132">
        <v>0</v>
      </c>
      <c r="X4" s="132">
        <v>0</v>
      </c>
      <c r="Y4" s="84">
        <f t="shared" ref="Y4:Y30" si="4">AVERAGE(V4:X4)</f>
        <v>0</v>
      </c>
      <c r="Z4" s="132">
        <v>0</v>
      </c>
      <c r="AA4" s="132">
        <v>0</v>
      </c>
      <c r="AB4" s="132">
        <v>0</v>
      </c>
      <c r="AC4" s="84">
        <f t="shared" ref="AC4:AC30" si="5">AVERAGE(Z4:AB4)</f>
        <v>0</v>
      </c>
      <c r="AD4" s="132">
        <v>0</v>
      </c>
      <c r="AE4" s="132">
        <v>0</v>
      </c>
      <c r="AF4" s="132">
        <v>0</v>
      </c>
      <c r="AG4" s="84">
        <f t="shared" ref="AG4:AG30" si="6">AVERAGE(AD4:AF4)</f>
        <v>0</v>
      </c>
      <c r="AH4" s="132">
        <v>0</v>
      </c>
      <c r="AI4" s="132">
        <v>0</v>
      </c>
      <c r="AJ4" s="132">
        <v>0</v>
      </c>
      <c r="AK4" s="84">
        <f t="shared" ref="AK4:AK30" si="7">AVERAGE(AH4:AJ4)</f>
        <v>0</v>
      </c>
      <c r="AL4" s="132">
        <v>0</v>
      </c>
      <c r="AM4" s="132">
        <v>0</v>
      </c>
      <c r="AN4" s="132">
        <v>0</v>
      </c>
      <c r="AO4" s="84">
        <f t="shared" ref="AO4:AO30" si="8">AVERAGE(AL4:AN4)</f>
        <v>0</v>
      </c>
      <c r="AP4" s="132">
        <v>0</v>
      </c>
      <c r="AQ4" s="132">
        <v>0</v>
      </c>
      <c r="AR4" s="132">
        <v>0</v>
      </c>
      <c r="AS4" s="84">
        <f t="shared" ref="AS4:AS30" si="9">AVERAGE(AP4:AR4)</f>
        <v>0</v>
      </c>
      <c r="AT4" s="132">
        <v>0</v>
      </c>
      <c r="AU4" s="132">
        <v>0</v>
      </c>
      <c r="AV4" s="132">
        <v>0</v>
      </c>
      <c r="AW4" s="84">
        <f t="shared" ref="AW4:AW30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0" si="11">AVERAGE(AX4:AZ4)</f>
        <v>0</v>
      </c>
      <c r="BB4" s="132">
        <v>0</v>
      </c>
      <c r="BC4" s="132">
        <v>0</v>
      </c>
      <c r="BD4" s="132">
        <v>0</v>
      </c>
      <c r="BE4" s="84">
        <f t="shared" ref="BE4:BE30" si="12">AVERAGE(BB4:BD4)</f>
        <v>0</v>
      </c>
      <c r="BF4" s="132">
        <v>0</v>
      </c>
      <c r="BG4" s="132">
        <v>0</v>
      </c>
      <c r="BH4" s="132">
        <v>0</v>
      </c>
      <c r="BI4" s="84">
        <f t="shared" ref="BI4:BI30" si="13">AVERAGE(BF4:BH4)</f>
        <v>0</v>
      </c>
      <c r="BJ4" s="64">
        <f t="shared" ref="BJ4:BJ30" si="14">AVERAGE(I4,M4,Q4,U4,Y4,AC4,AG4,AK4,AO4,AS4,AW4,BA4,BE4,BI4)</f>
        <v>0</v>
      </c>
    </row>
    <row r="5" spans="1:62" ht="15.75" customHeight="1" x14ac:dyDescent="0.25">
      <c r="A5" s="1" t="s">
        <v>274</v>
      </c>
      <c r="B5" s="5" t="s">
        <v>275</v>
      </c>
      <c r="C5" s="1" t="s">
        <v>15</v>
      </c>
      <c r="D5" s="231">
        <v>2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132">
        <v>0</v>
      </c>
      <c r="BC5" s="132">
        <v>0</v>
      </c>
      <c r="BD5" s="132">
        <v>0</v>
      </c>
      <c r="BE5" s="84">
        <f t="shared" si="12"/>
        <v>0</v>
      </c>
      <c r="BF5" s="132">
        <v>0</v>
      </c>
      <c r="BG5" s="132">
        <v>0</v>
      </c>
      <c r="BH5" s="132">
        <v>0</v>
      </c>
      <c r="BI5" s="84">
        <f t="shared" si="13"/>
        <v>0</v>
      </c>
      <c r="BJ5" s="64">
        <f t="shared" si="14"/>
        <v>0</v>
      </c>
    </row>
    <row r="6" spans="1:62" ht="15.75" customHeight="1" x14ac:dyDescent="0.25">
      <c r="A6" s="1" t="s">
        <v>264</v>
      </c>
      <c r="B6" s="5" t="s">
        <v>265</v>
      </c>
      <c r="C6" s="1" t="s">
        <v>15</v>
      </c>
      <c r="D6" s="231">
        <v>2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132">
        <v>0</v>
      </c>
      <c r="BC6" s="132">
        <v>0</v>
      </c>
      <c r="BD6" s="132">
        <v>0</v>
      </c>
      <c r="BE6" s="84">
        <f t="shared" si="12"/>
        <v>0</v>
      </c>
      <c r="BF6" s="132">
        <v>0</v>
      </c>
      <c r="BG6" s="132">
        <v>0</v>
      </c>
      <c r="BH6" s="132">
        <v>0</v>
      </c>
      <c r="BI6" s="84">
        <f t="shared" si="13"/>
        <v>0</v>
      </c>
      <c r="BJ6" s="64">
        <f t="shared" si="14"/>
        <v>0</v>
      </c>
    </row>
    <row r="7" spans="1:62" ht="15.75" customHeight="1" x14ac:dyDescent="0.25">
      <c r="A7" s="1" t="s">
        <v>258</v>
      </c>
      <c r="B7" s="5" t="s">
        <v>259</v>
      </c>
      <c r="C7" s="1" t="s">
        <v>15</v>
      </c>
      <c r="D7" s="231">
        <v>2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132">
        <v>0</v>
      </c>
      <c r="BC7" s="132">
        <v>0</v>
      </c>
      <c r="BD7" s="132">
        <v>0</v>
      </c>
      <c r="BE7" s="84">
        <f t="shared" si="12"/>
        <v>0</v>
      </c>
      <c r="BF7" s="132">
        <v>0</v>
      </c>
      <c r="BG7" s="132">
        <v>0</v>
      </c>
      <c r="BH7" s="132">
        <v>0</v>
      </c>
      <c r="BI7" s="84">
        <f t="shared" si="13"/>
        <v>0</v>
      </c>
      <c r="BJ7" s="64">
        <f t="shared" si="14"/>
        <v>0</v>
      </c>
    </row>
    <row r="8" spans="1:62" ht="15.75" customHeight="1" x14ac:dyDescent="0.25">
      <c r="A8" s="1" t="s">
        <v>227</v>
      </c>
      <c r="B8" s="8" t="s">
        <v>228</v>
      </c>
      <c r="C8" s="1" t="s">
        <v>15</v>
      </c>
      <c r="D8" s="231">
        <v>2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132">
        <v>0</v>
      </c>
      <c r="BC8" s="132">
        <v>0</v>
      </c>
      <c r="BD8" s="132">
        <v>0</v>
      </c>
      <c r="BE8" s="84">
        <f t="shared" si="12"/>
        <v>0</v>
      </c>
      <c r="BF8" s="132">
        <v>0</v>
      </c>
      <c r="BG8" s="132">
        <v>0</v>
      </c>
      <c r="BH8" s="132">
        <v>0</v>
      </c>
      <c r="BI8" s="84">
        <f t="shared" si="13"/>
        <v>0</v>
      </c>
      <c r="BJ8" s="64">
        <f t="shared" si="14"/>
        <v>0</v>
      </c>
    </row>
    <row r="9" spans="1:62" ht="15.75" customHeight="1" x14ac:dyDescent="0.25">
      <c r="A9" s="1" t="s">
        <v>219</v>
      </c>
      <c r="B9" s="5" t="s">
        <v>220</v>
      </c>
      <c r="C9" s="1" t="s">
        <v>15</v>
      </c>
      <c r="D9" s="231">
        <v>2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132">
        <v>0</v>
      </c>
      <c r="BC9" s="132">
        <v>0</v>
      </c>
      <c r="BD9" s="132">
        <v>0</v>
      </c>
      <c r="BE9" s="84">
        <f t="shared" si="12"/>
        <v>0</v>
      </c>
      <c r="BF9" s="132">
        <v>0</v>
      </c>
      <c r="BG9" s="132">
        <v>0</v>
      </c>
      <c r="BH9" s="132">
        <v>0</v>
      </c>
      <c r="BI9" s="84">
        <f t="shared" si="13"/>
        <v>0</v>
      </c>
      <c r="BJ9" s="64">
        <f t="shared" si="14"/>
        <v>0</v>
      </c>
    </row>
    <row r="10" spans="1:62" ht="15.75" customHeight="1" x14ac:dyDescent="0.25">
      <c r="A10" s="1" t="s">
        <v>246</v>
      </c>
      <c r="B10" s="5" t="s">
        <v>247</v>
      </c>
      <c r="C10" s="1" t="s">
        <v>15</v>
      </c>
      <c r="D10" s="231">
        <v>2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132">
        <v>0</v>
      </c>
      <c r="BC10" s="132">
        <v>0</v>
      </c>
      <c r="BD10" s="132">
        <v>0</v>
      </c>
      <c r="BE10" s="84">
        <f t="shared" si="12"/>
        <v>0</v>
      </c>
      <c r="BF10" s="132">
        <v>0</v>
      </c>
      <c r="BG10" s="132">
        <v>0</v>
      </c>
      <c r="BH10" s="132">
        <v>0</v>
      </c>
      <c r="BI10" s="84">
        <f t="shared" si="13"/>
        <v>0</v>
      </c>
      <c r="BJ10" s="64">
        <f t="shared" si="14"/>
        <v>0</v>
      </c>
    </row>
    <row r="11" spans="1:62" ht="15.75" customHeight="1" x14ac:dyDescent="0.25">
      <c r="A11" s="1" t="s">
        <v>248</v>
      </c>
      <c r="B11" s="5" t="s">
        <v>249</v>
      </c>
      <c r="C11" s="1" t="s">
        <v>15</v>
      </c>
      <c r="D11" s="231">
        <v>2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132">
        <v>0</v>
      </c>
      <c r="BC11" s="132">
        <v>0</v>
      </c>
      <c r="BD11" s="132">
        <v>0</v>
      </c>
      <c r="BE11" s="84">
        <f t="shared" si="12"/>
        <v>0</v>
      </c>
      <c r="BF11" s="132">
        <v>0</v>
      </c>
      <c r="BG11" s="132">
        <v>0</v>
      </c>
      <c r="BH11" s="132">
        <v>0</v>
      </c>
      <c r="BI11" s="84">
        <f t="shared" si="13"/>
        <v>0</v>
      </c>
      <c r="BJ11" s="64">
        <f t="shared" si="14"/>
        <v>0</v>
      </c>
    </row>
    <row r="12" spans="1:62" ht="15.75" customHeight="1" x14ac:dyDescent="0.25">
      <c r="A12" s="1" t="s">
        <v>262</v>
      </c>
      <c r="B12" s="5" t="s">
        <v>263</v>
      </c>
      <c r="C12" s="1" t="s">
        <v>15</v>
      </c>
      <c r="D12" s="231">
        <v>2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132">
        <v>0</v>
      </c>
      <c r="BC12" s="132">
        <v>0</v>
      </c>
      <c r="BD12" s="132">
        <v>0</v>
      </c>
      <c r="BE12" s="84">
        <f t="shared" si="12"/>
        <v>0</v>
      </c>
      <c r="BF12" s="132">
        <v>0</v>
      </c>
      <c r="BG12" s="132">
        <v>0</v>
      </c>
      <c r="BH12" s="132">
        <v>0</v>
      </c>
      <c r="BI12" s="84">
        <f t="shared" si="13"/>
        <v>0</v>
      </c>
      <c r="BJ12" s="64">
        <f t="shared" si="14"/>
        <v>0</v>
      </c>
    </row>
    <row r="13" spans="1:62" ht="15.75" customHeight="1" x14ac:dyDescent="0.25">
      <c r="A13" s="1" t="s">
        <v>250</v>
      </c>
      <c r="B13" s="5" t="s">
        <v>251</v>
      </c>
      <c r="C13" s="1" t="s">
        <v>15</v>
      </c>
      <c r="D13" s="231">
        <v>2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132">
        <v>0</v>
      </c>
      <c r="BC13" s="132">
        <v>0</v>
      </c>
      <c r="BD13" s="132">
        <v>0</v>
      </c>
      <c r="BE13" s="84">
        <f t="shared" si="12"/>
        <v>0</v>
      </c>
      <c r="BF13" s="132">
        <v>0</v>
      </c>
      <c r="BG13" s="132">
        <v>0</v>
      </c>
      <c r="BH13" s="132">
        <v>0</v>
      </c>
      <c r="BI13" s="84">
        <f t="shared" si="13"/>
        <v>0</v>
      </c>
      <c r="BJ13" s="64">
        <f t="shared" si="14"/>
        <v>0</v>
      </c>
    </row>
    <row r="14" spans="1:62" ht="15.75" customHeight="1" x14ac:dyDescent="0.25">
      <c r="A14" s="1" t="s">
        <v>225</v>
      </c>
      <c r="B14" s="8" t="s">
        <v>226</v>
      </c>
      <c r="C14" s="1" t="s">
        <v>15</v>
      </c>
      <c r="D14" s="231">
        <v>2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132">
        <v>0</v>
      </c>
      <c r="BC14" s="132">
        <v>0</v>
      </c>
      <c r="BD14" s="132">
        <v>0</v>
      </c>
      <c r="BE14" s="84">
        <f t="shared" si="12"/>
        <v>0</v>
      </c>
      <c r="BF14" s="132">
        <v>0</v>
      </c>
      <c r="BG14" s="132">
        <v>0</v>
      </c>
      <c r="BH14" s="132">
        <v>0</v>
      </c>
      <c r="BI14" s="84">
        <f t="shared" si="13"/>
        <v>0</v>
      </c>
      <c r="BJ14" s="64">
        <f t="shared" si="14"/>
        <v>0</v>
      </c>
    </row>
    <row r="15" spans="1:62" ht="15.75" customHeight="1" x14ac:dyDescent="0.25">
      <c r="A15" s="1" t="s">
        <v>252</v>
      </c>
      <c r="B15" s="5" t="s">
        <v>253</v>
      </c>
      <c r="C15" s="1" t="s">
        <v>15</v>
      </c>
      <c r="D15" s="231">
        <v>2</v>
      </c>
      <c r="E15" s="25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132">
        <v>0</v>
      </c>
      <c r="BC15" s="132">
        <v>0</v>
      </c>
      <c r="BD15" s="132">
        <v>0</v>
      </c>
      <c r="BE15" s="84">
        <f t="shared" si="12"/>
        <v>0</v>
      </c>
      <c r="BF15" s="132">
        <v>0</v>
      </c>
      <c r="BG15" s="132">
        <v>0</v>
      </c>
      <c r="BH15" s="132">
        <v>0</v>
      </c>
      <c r="BI15" s="84">
        <f t="shared" si="13"/>
        <v>0</v>
      </c>
      <c r="BJ15" s="64">
        <f t="shared" si="14"/>
        <v>0</v>
      </c>
    </row>
    <row r="16" spans="1:62" ht="15.75" customHeight="1" x14ac:dyDescent="0.25">
      <c r="A16" s="1" t="s">
        <v>221</v>
      </c>
      <c r="B16" s="5" t="s">
        <v>222</v>
      </c>
      <c r="C16" s="1" t="s">
        <v>15</v>
      </c>
      <c r="D16" s="231">
        <v>2</v>
      </c>
      <c r="E16" s="25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132">
        <v>0</v>
      </c>
      <c r="BC16" s="132">
        <v>0</v>
      </c>
      <c r="BD16" s="132">
        <v>0</v>
      </c>
      <c r="BE16" s="84">
        <f t="shared" si="12"/>
        <v>0</v>
      </c>
      <c r="BF16" s="132">
        <v>0</v>
      </c>
      <c r="BG16" s="132">
        <v>0</v>
      </c>
      <c r="BH16" s="132">
        <v>0</v>
      </c>
      <c r="BI16" s="84">
        <f t="shared" si="13"/>
        <v>0</v>
      </c>
      <c r="BJ16" s="64">
        <f t="shared" si="14"/>
        <v>0</v>
      </c>
    </row>
    <row r="17" spans="1:62" ht="15.75" customHeight="1" x14ac:dyDescent="0.25">
      <c r="A17" s="1" t="s">
        <v>272</v>
      </c>
      <c r="B17" s="5" t="s">
        <v>273</v>
      </c>
      <c r="C17" s="1" t="s">
        <v>15</v>
      </c>
      <c r="D17" s="231">
        <v>2</v>
      </c>
      <c r="E17" s="25" t="s">
        <v>41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132">
        <v>0</v>
      </c>
      <c r="BC17" s="132">
        <v>0</v>
      </c>
      <c r="BD17" s="132">
        <v>0</v>
      </c>
      <c r="BE17" s="84">
        <f t="shared" si="12"/>
        <v>0</v>
      </c>
      <c r="BF17" s="132">
        <v>0</v>
      </c>
      <c r="BG17" s="132">
        <v>0</v>
      </c>
      <c r="BH17" s="132">
        <v>0</v>
      </c>
      <c r="BI17" s="84">
        <f t="shared" si="13"/>
        <v>0</v>
      </c>
      <c r="BJ17" s="64">
        <f t="shared" si="14"/>
        <v>0</v>
      </c>
    </row>
    <row r="18" spans="1:62" ht="15.75" customHeight="1" x14ac:dyDescent="0.25">
      <c r="A18" s="1" t="s">
        <v>268</v>
      </c>
      <c r="B18" s="5" t="s">
        <v>269</v>
      </c>
      <c r="C18" s="1" t="s">
        <v>15</v>
      </c>
      <c r="D18" s="231">
        <v>2</v>
      </c>
      <c r="E18" s="25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132">
        <v>0</v>
      </c>
      <c r="BC18" s="132">
        <v>0</v>
      </c>
      <c r="BD18" s="132">
        <v>0</v>
      </c>
      <c r="BE18" s="103">
        <f t="shared" si="12"/>
        <v>0</v>
      </c>
      <c r="BF18" s="132">
        <v>0</v>
      </c>
      <c r="BG18" s="132">
        <v>0</v>
      </c>
      <c r="BH18" s="132">
        <v>0</v>
      </c>
      <c r="BI18" s="103">
        <f t="shared" si="13"/>
        <v>0</v>
      </c>
      <c r="BJ18" s="64">
        <f t="shared" si="14"/>
        <v>0</v>
      </c>
    </row>
    <row r="19" spans="1:62" ht="15.75" customHeight="1" x14ac:dyDescent="0.25">
      <c r="A19" s="1" t="s">
        <v>223</v>
      </c>
      <c r="B19" s="8" t="s">
        <v>224</v>
      </c>
      <c r="C19" s="1" t="s">
        <v>15</v>
      </c>
      <c r="D19" s="231">
        <v>2</v>
      </c>
      <c r="E19" s="25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132">
        <v>0</v>
      </c>
      <c r="BC19" s="132">
        <v>0</v>
      </c>
      <c r="BD19" s="132">
        <v>0</v>
      </c>
      <c r="BE19" s="84">
        <f t="shared" si="12"/>
        <v>0</v>
      </c>
      <c r="BF19" s="132">
        <v>0</v>
      </c>
      <c r="BG19" s="132">
        <v>0</v>
      </c>
      <c r="BH19" s="132">
        <v>0</v>
      </c>
      <c r="BI19" s="84">
        <f t="shared" si="13"/>
        <v>0</v>
      </c>
      <c r="BJ19" s="64">
        <f t="shared" si="14"/>
        <v>0</v>
      </c>
    </row>
    <row r="20" spans="1:62" ht="15.75" customHeight="1" x14ac:dyDescent="0.25">
      <c r="A20" s="1" t="s">
        <v>266</v>
      </c>
      <c r="B20" s="5" t="s">
        <v>267</v>
      </c>
      <c r="C20" s="1" t="s">
        <v>15</v>
      </c>
      <c r="D20" s="231">
        <v>2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132">
        <v>0</v>
      </c>
      <c r="BC20" s="132">
        <v>0</v>
      </c>
      <c r="BD20" s="132">
        <v>0</v>
      </c>
      <c r="BE20" s="84">
        <f t="shared" si="12"/>
        <v>0</v>
      </c>
      <c r="BF20" s="132">
        <v>0</v>
      </c>
      <c r="BG20" s="132">
        <v>0</v>
      </c>
      <c r="BH20" s="132">
        <v>0</v>
      </c>
      <c r="BI20" s="84">
        <f t="shared" si="13"/>
        <v>0</v>
      </c>
      <c r="BJ20" s="64">
        <f t="shared" si="14"/>
        <v>0</v>
      </c>
    </row>
    <row r="21" spans="1:62" ht="15.75" customHeight="1" x14ac:dyDescent="0.25">
      <c r="A21" s="1" t="s">
        <v>242</v>
      </c>
      <c r="B21" s="5" t="s">
        <v>243</v>
      </c>
      <c r="C21" s="1" t="s">
        <v>15</v>
      </c>
      <c r="D21" s="231">
        <v>2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132">
        <v>0</v>
      </c>
      <c r="BC21" s="132">
        <v>0</v>
      </c>
      <c r="BD21" s="132">
        <v>0</v>
      </c>
      <c r="BE21" s="84">
        <f t="shared" si="12"/>
        <v>0</v>
      </c>
      <c r="BF21" s="132">
        <v>0</v>
      </c>
      <c r="BG21" s="132">
        <v>0</v>
      </c>
      <c r="BH21" s="132">
        <v>0</v>
      </c>
      <c r="BI21" s="84">
        <f t="shared" si="13"/>
        <v>0</v>
      </c>
      <c r="BJ21" s="64">
        <f t="shared" si="14"/>
        <v>0</v>
      </c>
    </row>
    <row r="22" spans="1:62" ht="15.75" customHeight="1" x14ac:dyDescent="0.25">
      <c r="A22" s="1" t="s">
        <v>229</v>
      </c>
      <c r="B22" s="8" t="s">
        <v>230</v>
      </c>
      <c r="C22" s="1" t="s">
        <v>15</v>
      </c>
      <c r="D22" s="231">
        <v>2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132">
        <v>0</v>
      </c>
      <c r="BC22" s="132">
        <v>0</v>
      </c>
      <c r="BD22" s="132">
        <v>0</v>
      </c>
      <c r="BE22" s="84">
        <f t="shared" si="12"/>
        <v>0</v>
      </c>
      <c r="BF22" s="132">
        <v>0</v>
      </c>
      <c r="BG22" s="132">
        <v>0</v>
      </c>
      <c r="BH22" s="132">
        <v>0</v>
      </c>
      <c r="BI22" s="84">
        <f t="shared" si="13"/>
        <v>0</v>
      </c>
      <c r="BJ22" s="64">
        <f t="shared" si="14"/>
        <v>0</v>
      </c>
    </row>
    <row r="23" spans="1:62" ht="15.75" customHeight="1" x14ac:dyDescent="0.25">
      <c r="A23" s="1" t="s">
        <v>256</v>
      </c>
      <c r="B23" s="5" t="s">
        <v>257</v>
      </c>
      <c r="C23" s="1" t="s">
        <v>15</v>
      </c>
      <c r="D23" s="231">
        <v>2</v>
      </c>
      <c r="E23" s="25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132">
        <v>0</v>
      </c>
      <c r="BC23" s="132">
        <v>0</v>
      </c>
      <c r="BD23" s="132">
        <v>0</v>
      </c>
      <c r="BE23" s="108">
        <f t="shared" si="12"/>
        <v>0</v>
      </c>
      <c r="BF23" s="132">
        <v>0</v>
      </c>
      <c r="BG23" s="132">
        <v>0</v>
      </c>
      <c r="BH23" s="132">
        <v>0</v>
      </c>
      <c r="BI23" s="108">
        <f t="shared" si="13"/>
        <v>0</v>
      </c>
      <c r="BJ23" s="64">
        <f t="shared" si="14"/>
        <v>0</v>
      </c>
    </row>
    <row r="24" spans="1:62" ht="15.75" customHeight="1" x14ac:dyDescent="0.25">
      <c r="A24" s="1" t="s">
        <v>240</v>
      </c>
      <c r="B24" s="12" t="s">
        <v>241</v>
      </c>
      <c r="C24" s="1" t="s">
        <v>15</v>
      </c>
      <c r="D24" s="231">
        <v>2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132">
        <v>0</v>
      </c>
      <c r="BC24" s="132">
        <v>0</v>
      </c>
      <c r="BD24" s="132">
        <v>0</v>
      </c>
      <c r="BE24" s="84">
        <f t="shared" si="12"/>
        <v>0</v>
      </c>
      <c r="BF24" s="132">
        <v>0</v>
      </c>
      <c r="BG24" s="132">
        <v>0</v>
      </c>
      <c r="BH24" s="132">
        <v>0</v>
      </c>
      <c r="BI24" s="84">
        <f t="shared" si="13"/>
        <v>0</v>
      </c>
      <c r="BJ24" s="64">
        <f t="shared" si="14"/>
        <v>0</v>
      </c>
    </row>
    <row r="25" spans="1:62" ht="15.75" customHeight="1" x14ac:dyDescent="0.25">
      <c r="A25" s="1" t="s">
        <v>244</v>
      </c>
      <c r="B25" s="5" t="s">
        <v>245</v>
      </c>
      <c r="C25" s="1" t="s">
        <v>15</v>
      </c>
      <c r="D25" s="231">
        <v>2</v>
      </c>
      <c r="E25" s="25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132">
        <v>0</v>
      </c>
      <c r="BC25" s="132">
        <v>0</v>
      </c>
      <c r="BD25" s="132">
        <v>0</v>
      </c>
      <c r="BE25" s="108">
        <f t="shared" si="12"/>
        <v>0</v>
      </c>
      <c r="BF25" s="132">
        <v>0</v>
      </c>
      <c r="BG25" s="132">
        <v>0</v>
      </c>
      <c r="BH25" s="132">
        <v>0</v>
      </c>
      <c r="BI25" s="108">
        <f t="shared" si="13"/>
        <v>0</v>
      </c>
      <c r="BJ25" s="64">
        <f t="shared" si="14"/>
        <v>0</v>
      </c>
    </row>
    <row r="26" spans="1:62" ht="15.75" customHeight="1" x14ac:dyDescent="0.25">
      <c r="A26" s="1" t="s">
        <v>236</v>
      </c>
      <c r="B26" s="8" t="s">
        <v>237</v>
      </c>
      <c r="C26" s="1" t="s">
        <v>15</v>
      </c>
      <c r="D26" s="231">
        <v>2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132">
        <v>0</v>
      </c>
      <c r="BC26" s="132">
        <v>0</v>
      </c>
      <c r="BD26" s="132">
        <v>0</v>
      </c>
      <c r="BE26" s="84">
        <f t="shared" si="12"/>
        <v>0</v>
      </c>
      <c r="BF26" s="132">
        <v>0</v>
      </c>
      <c r="BG26" s="132">
        <v>0</v>
      </c>
      <c r="BH26" s="132">
        <v>0</v>
      </c>
      <c r="BI26" s="84">
        <f t="shared" si="13"/>
        <v>0</v>
      </c>
      <c r="BJ26" s="64">
        <f t="shared" si="14"/>
        <v>0</v>
      </c>
    </row>
    <row r="27" spans="1:62" ht="15.75" customHeight="1" x14ac:dyDescent="0.25">
      <c r="A27" s="1" t="s">
        <v>270</v>
      </c>
      <c r="B27" s="5" t="s">
        <v>271</v>
      </c>
      <c r="C27" s="1" t="s">
        <v>15</v>
      </c>
      <c r="D27" s="231">
        <v>2</v>
      </c>
      <c r="E27" s="25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132">
        <v>0</v>
      </c>
      <c r="BC27" s="132">
        <v>0</v>
      </c>
      <c r="BD27" s="132">
        <v>0</v>
      </c>
      <c r="BE27" s="84">
        <f t="shared" si="12"/>
        <v>0</v>
      </c>
      <c r="BF27" s="132">
        <v>0</v>
      </c>
      <c r="BG27" s="132">
        <v>0</v>
      </c>
      <c r="BH27" s="132">
        <v>0</v>
      </c>
      <c r="BI27" s="84">
        <f t="shared" si="13"/>
        <v>0</v>
      </c>
      <c r="BJ27" s="64">
        <f t="shared" si="14"/>
        <v>0</v>
      </c>
    </row>
    <row r="28" spans="1:62" ht="15.75" customHeight="1" x14ac:dyDescent="0.25">
      <c r="A28" s="1" t="s">
        <v>238</v>
      </c>
      <c r="B28" s="8" t="s">
        <v>239</v>
      </c>
      <c r="C28" s="1" t="s">
        <v>15</v>
      </c>
      <c r="D28" s="231">
        <v>2</v>
      </c>
      <c r="E28" s="25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132">
        <v>0</v>
      </c>
      <c r="BC28" s="132">
        <v>0</v>
      </c>
      <c r="BD28" s="132">
        <v>0</v>
      </c>
      <c r="BE28" s="84">
        <f t="shared" si="12"/>
        <v>0</v>
      </c>
      <c r="BF28" s="132">
        <v>0</v>
      </c>
      <c r="BG28" s="132">
        <v>0</v>
      </c>
      <c r="BH28" s="132">
        <v>0</v>
      </c>
      <c r="BI28" s="84">
        <f t="shared" si="13"/>
        <v>0</v>
      </c>
      <c r="BJ28" s="64">
        <f t="shared" si="14"/>
        <v>0</v>
      </c>
    </row>
    <row r="29" spans="1:62" ht="15.75" customHeight="1" x14ac:dyDescent="0.25">
      <c r="A29" s="1" t="s">
        <v>234</v>
      </c>
      <c r="B29" s="8" t="s">
        <v>235</v>
      </c>
      <c r="C29" s="1" t="s">
        <v>15</v>
      </c>
      <c r="D29" s="231">
        <v>2</v>
      </c>
      <c r="E29" s="25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132">
        <v>0</v>
      </c>
      <c r="BC29" s="132">
        <v>0</v>
      </c>
      <c r="BD29" s="132">
        <v>0</v>
      </c>
      <c r="BE29" s="84">
        <f t="shared" si="12"/>
        <v>0</v>
      </c>
      <c r="BF29" s="132">
        <v>0</v>
      </c>
      <c r="BG29" s="132">
        <v>0</v>
      </c>
      <c r="BH29" s="132">
        <v>0</v>
      </c>
      <c r="BI29" s="84">
        <f t="shared" si="13"/>
        <v>0</v>
      </c>
      <c r="BJ29" s="64">
        <f t="shared" si="14"/>
        <v>0</v>
      </c>
    </row>
    <row r="30" spans="1:62" x14ac:dyDescent="0.25">
      <c r="A30" s="1" t="s">
        <v>260</v>
      </c>
      <c r="B30" s="5" t="s">
        <v>261</v>
      </c>
      <c r="C30" s="1" t="s">
        <v>15</v>
      </c>
      <c r="D30" s="231">
        <v>2</v>
      </c>
      <c r="E30" s="25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132">
        <v>0</v>
      </c>
      <c r="BC30" s="132">
        <v>0</v>
      </c>
      <c r="BD30" s="132">
        <v>0</v>
      </c>
      <c r="BE30" s="84">
        <f t="shared" si="12"/>
        <v>0</v>
      </c>
      <c r="BF30" s="132">
        <v>0</v>
      </c>
      <c r="BG30" s="132">
        <v>0</v>
      </c>
      <c r="BH30" s="132">
        <v>0</v>
      </c>
      <c r="BI30" s="84">
        <f t="shared" si="13"/>
        <v>0</v>
      </c>
      <c r="BJ30" s="64">
        <f t="shared" si="14"/>
        <v>0</v>
      </c>
    </row>
  </sheetData>
  <sortState xmlns:xlrd2="http://schemas.microsoft.com/office/spreadsheetml/2017/richdata2" ref="A3:BB30">
    <sortCondition ref="E1:E30"/>
  </sortState>
  <mergeCells count="14">
    <mergeCell ref="BB1:BE1"/>
    <mergeCell ref="BF1:BI1"/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F3:H30">
    <cfRule type="cellIs" dxfId="3160" priority="64" operator="lessThan">
      <formula>7.9</formula>
    </cfRule>
  </conditionalFormatting>
  <conditionalFormatting sqref="F3:H30">
    <cfRule type="cellIs" dxfId="3159" priority="65" operator="lessThan">
      <formula>7.4</formula>
    </cfRule>
  </conditionalFormatting>
  <conditionalFormatting sqref="F5:H6">
    <cfRule type="cellIs" dxfId="3158" priority="66" operator="lessThan">
      <formula>6.9</formula>
    </cfRule>
  </conditionalFormatting>
  <conditionalFormatting sqref="I3:I30">
    <cfRule type="cellIs" dxfId="3157" priority="67" operator="lessThan">
      <formula>7.9</formula>
    </cfRule>
    <cfRule type="cellIs" dxfId="3156" priority="76" operator="lessThan">
      <formula>6.9</formula>
    </cfRule>
    <cfRule type="cellIs" dxfId="3155" priority="77" operator="lessThan">
      <formula>7.4</formula>
    </cfRule>
    <cfRule type="cellIs" dxfId="3154" priority="78" operator="lessThan">
      <formula>7.9</formula>
    </cfRule>
  </conditionalFormatting>
  <conditionalFormatting sqref="I3:I30">
    <cfRule type="cellIs" dxfId="3153" priority="68" operator="lessThan">
      <formula>6.9</formula>
    </cfRule>
    <cfRule type="cellIs" dxfId="3152" priority="69" operator="lessThan">
      <formula>7.4</formula>
    </cfRule>
    <cfRule type="cellIs" dxfId="3151" priority="70" operator="lessThan">
      <formula>7.9</formula>
    </cfRule>
    <cfRule type="cellIs" dxfId="3150" priority="71" operator="lessThan">
      <formula>6.9</formula>
    </cfRule>
    <cfRule type="cellIs" dxfId="3149" priority="72" operator="lessThan">
      <formula>7.9</formula>
    </cfRule>
    <cfRule type="cellIs" dxfId="3148" priority="73" operator="lessThan">
      <formula>7.4</formula>
    </cfRule>
    <cfRule type="cellIs" dxfId="3147" priority="74" operator="lessThan">
      <formula>6.9</formula>
    </cfRule>
    <cfRule type="cellIs" dxfId="3146" priority="75" operator="lessThan">
      <formula>7.9</formula>
    </cfRule>
  </conditionalFormatting>
  <conditionalFormatting sqref="M3:M30">
    <cfRule type="cellIs" dxfId="3145" priority="79" operator="lessThan">
      <formula>7.9</formula>
    </cfRule>
    <cfRule type="cellIs" dxfId="3144" priority="80" operator="lessThan">
      <formula>6.9</formula>
    </cfRule>
    <cfRule type="cellIs" dxfId="3143" priority="81" operator="lessThan">
      <formula>7.4</formula>
    </cfRule>
    <cfRule type="cellIs" dxfId="3142" priority="82" operator="lessThan">
      <formula>7.9</formula>
    </cfRule>
    <cfRule type="cellIs" dxfId="3141" priority="83" operator="lessThan">
      <formula>6.9</formula>
    </cfRule>
    <cfRule type="cellIs" dxfId="3140" priority="84" operator="lessThan">
      <formula>7.9</formula>
    </cfRule>
    <cfRule type="cellIs" dxfId="3139" priority="85" operator="lessThan">
      <formula>7.4</formula>
    </cfRule>
    <cfRule type="cellIs" dxfId="3138" priority="86" operator="lessThan">
      <formula>6.9</formula>
    </cfRule>
    <cfRule type="cellIs" dxfId="3137" priority="87" operator="lessThan">
      <formula>7.9</formula>
    </cfRule>
    <cfRule type="cellIs" dxfId="3136" priority="88" operator="lessThan">
      <formula>6.9</formula>
    </cfRule>
    <cfRule type="cellIs" dxfId="3135" priority="89" operator="lessThan">
      <formula>7.4</formula>
    </cfRule>
    <cfRule type="cellIs" dxfId="3134" priority="90" operator="lessThan">
      <formula>6.9</formula>
    </cfRule>
    <cfRule type="cellIs" dxfId="3133" priority="91" operator="lessThan">
      <formula>7.4</formula>
    </cfRule>
    <cfRule type="cellIs" dxfId="3132" priority="92" operator="lessThan">
      <formula>7.9</formula>
    </cfRule>
  </conditionalFormatting>
  <conditionalFormatting sqref="Q3:Q30">
    <cfRule type="cellIs" dxfId="3131" priority="118" operator="lessThan">
      <formula>6.9</formula>
    </cfRule>
    <cfRule type="cellIs" dxfId="3130" priority="119" operator="lessThan">
      <formula>7.9</formula>
    </cfRule>
  </conditionalFormatting>
  <conditionalFormatting sqref="Q3:Q30">
    <cfRule type="cellIs" dxfId="3129" priority="117" operator="lessThan">
      <formula>7.9</formula>
    </cfRule>
    <cfRule type="cellIs" dxfId="3128" priority="128" operator="lessThan">
      <formula>7.4</formula>
    </cfRule>
    <cfRule type="cellIs" dxfId="3127" priority="205" operator="lessThan">
      <formula>6.9</formula>
    </cfRule>
    <cfRule type="cellIs" dxfId="3126" priority="206" operator="lessThan">
      <formula>7.9</formula>
    </cfRule>
    <cfRule type="cellIs" dxfId="3125" priority="207" operator="lessThan">
      <formula>7.4</formula>
    </cfRule>
    <cfRule type="cellIs" dxfId="3124" priority="208" operator="lessThan">
      <formula>6.9</formula>
    </cfRule>
    <cfRule type="cellIs" dxfId="3123" priority="209" operator="lessThan">
      <formula>7.9</formula>
    </cfRule>
    <cfRule type="cellIs" dxfId="3122" priority="210" operator="lessThan">
      <formula>6.9</formula>
    </cfRule>
    <cfRule type="cellIs" dxfId="3121" priority="211" operator="lessThan">
      <formula>7.4</formula>
    </cfRule>
    <cfRule type="cellIs" dxfId="3120" priority="212" operator="lessThan">
      <formula>7.9</formula>
    </cfRule>
  </conditionalFormatting>
  <conditionalFormatting sqref="U3:U30">
    <cfRule type="cellIs" dxfId="3119" priority="115" operator="lessThan">
      <formula>6.9</formula>
    </cfRule>
    <cfRule type="cellIs" dxfId="3118" priority="116" operator="lessThan">
      <formula>7.9</formula>
    </cfRule>
  </conditionalFormatting>
  <conditionalFormatting sqref="U3:U30">
    <cfRule type="cellIs" dxfId="3117" priority="114" operator="lessThan">
      <formula>7.9</formula>
    </cfRule>
    <cfRule type="cellIs" dxfId="3116" priority="127" operator="lessThan">
      <formula>7.4</formula>
    </cfRule>
    <cfRule type="cellIs" dxfId="3115" priority="197" operator="lessThan">
      <formula>6.9</formula>
    </cfRule>
    <cfRule type="cellIs" dxfId="3114" priority="198" operator="lessThan">
      <formula>7.9</formula>
    </cfRule>
    <cfRule type="cellIs" dxfId="3113" priority="199" operator="lessThan">
      <formula>7.4</formula>
    </cfRule>
    <cfRule type="cellIs" dxfId="3112" priority="200" operator="lessThan">
      <formula>6.9</formula>
    </cfRule>
    <cfRule type="cellIs" dxfId="3111" priority="201" operator="lessThan">
      <formula>7.9</formula>
    </cfRule>
    <cfRule type="cellIs" dxfId="3110" priority="202" operator="lessThan">
      <formula>6.9</formula>
    </cfRule>
    <cfRule type="cellIs" dxfId="3109" priority="203" operator="lessThan">
      <formula>7.4</formula>
    </cfRule>
    <cfRule type="cellIs" dxfId="3108" priority="204" operator="lessThan">
      <formula>7.9</formula>
    </cfRule>
  </conditionalFormatting>
  <conditionalFormatting sqref="Y3:Y30">
    <cfRule type="cellIs" dxfId="3107" priority="113" operator="lessThan">
      <formula>7.9</formula>
    </cfRule>
  </conditionalFormatting>
  <conditionalFormatting sqref="Y3:Y30">
    <cfRule type="cellIs" dxfId="3106" priority="111" operator="lessThan">
      <formula>7.9</formula>
    </cfRule>
    <cfRule type="cellIs" dxfId="3105" priority="112" operator="lessThan">
      <formula>6.9</formula>
    </cfRule>
    <cfRule type="cellIs" dxfId="3104" priority="126" operator="lessThan">
      <formula>7.4</formula>
    </cfRule>
    <cfRule type="cellIs" dxfId="3103" priority="189" operator="lessThan">
      <formula>6.9</formula>
    </cfRule>
    <cfRule type="cellIs" dxfId="3102" priority="190" operator="lessThan">
      <formula>7.9</formula>
    </cfRule>
    <cfRule type="cellIs" dxfId="3101" priority="191" operator="lessThan">
      <formula>7.4</formula>
    </cfRule>
    <cfRule type="cellIs" dxfId="3100" priority="192" operator="lessThan">
      <formula>6.9</formula>
    </cfRule>
    <cfRule type="cellIs" dxfId="3099" priority="193" operator="lessThan">
      <formula>7.9</formula>
    </cfRule>
    <cfRule type="cellIs" dxfId="3098" priority="194" operator="lessThan">
      <formula>6.9</formula>
    </cfRule>
    <cfRule type="cellIs" dxfId="3097" priority="195" operator="lessThan">
      <formula>7.4</formula>
    </cfRule>
    <cfRule type="cellIs" dxfId="3096" priority="196" operator="lessThan">
      <formula>7.9</formula>
    </cfRule>
  </conditionalFormatting>
  <conditionalFormatting sqref="AC3:AC30">
    <cfRule type="cellIs" dxfId="3095" priority="108" operator="lessThan">
      <formula>7.9</formula>
    </cfRule>
    <cfRule type="cellIs" dxfId="3094" priority="109" operator="lessThan">
      <formula>6.9</formula>
    </cfRule>
    <cfRule type="cellIs" dxfId="3093" priority="110" operator="lessThan">
      <formula>7.9</formula>
    </cfRule>
  </conditionalFormatting>
  <conditionalFormatting sqref="AC3:AC30">
    <cfRule type="cellIs" dxfId="3092" priority="125" operator="lessThan">
      <formula>7.4</formula>
    </cfRule>
    <cfRule type="cellIs" dxfId="3091" priority="181" operator="lessThan">
      <formula>6.9</formula>
    </cfRule>
    <cfRule type="cellIs" dxfId="3090" priority="182" operator="lessThan">
      <formula>7.9</formula>
    </cfRule>
    <cfRule type="cellIs" dxfId="3089" priority="183" operator="lessThan">
      <formula>7.4</formula>
    </cfRule>
    <cfRule type="cellIs" dxfId="3088" priority="184" operator="lessThan">
      <formula>6.9</formula>
    </cfRule>
    <cfRule type="cellIs" dxfId="3087" priority="185" operator="lessThan">
      <formula>7.9</formula>
    </cfRule>
    <cfRule type="cellIs" dxfId="3086" priority="186" operator="lessThan">
      <formula>6.9</formula>
    </cfRule>
    <cfRule type="cellIs" dxfId="3085" priority="187" operator="lessThan">
      <formula>7.4</formula>
    </cfRule>
    <cfRule type="cellIs" dxfId="3084" priority="188" operator="lessThan">
      <formula>7.9</formula>
    </cfRule>
  </conditionalFormatting>
  <conditionalFormatting sqref="AG3:AG30">
    <cfRule type="cellIs" dxfId="3083" priority="105" operator="lessThan">
      <formula>7.9</formula>
    </cfRule>
    <cfRule type="cellIs" dxfId="3082" priority="106" operator="lessThan">
      <formula>6.9</formula>
    </cfRule>
    <cfRule type="cellIs" dxfId="3081" priority="107" operator="lessThan">
      <formula>7.9</formula>
    </cfRule>
  </conditionalFormatting>
  <conditionalFormatting sqref="AG3:AG30">
    <cfRule type="cellIs" dxfId="3080" priority="124" operator="lessThan">
      <formula>7.4</formula>
    </cfRule>
    <cfRule type="cellIs" dxfId="3079" priority="173" operator="lessThan">
      <formula>6.9</formula>
    </cfRule>
    <cfRule type="cellIs" dxfId="3078" priority="174" operator="lessThan">
      <formula>7.9</formula>
    </cfRule>
    <cfRule type="cellIs" dxfId="3077" priority="175" operator="lessThan">
      <formula>7.4</formula>
    </cfRule>
    <cfRule type="cellIs" dxfId="3076" priority="176" operator="lessThan">
      <formula>6.9</formula>
    </cfRule>
    <cfRule type="cellIs" dxfId="3075" priority="177" operator="lessThan">
      <formula>7.9</formula>
    </cfRule>
    <cfRule type="cellIs" dxfId="3074" priority="178" operator="lessThan">
      <formula>6.9</formula>
    </cfRule>
    <cfRule type="cellIs" dxfId="3073" priority="179" operator="lessThan">
      <formula>7.4</formula>
    </cfRule>
    <cfRule type="cellIs" dxfId="3072" priority="180" operator="lessThan">
      <formula>7.9</formula>
    </cfRule>
  </conditionalFormatting>
  <conditionalFormatting sqref="AK3:AK30">
    <cfRule type="cellIs" dxfId="3071" priority="102" operator="lessThan">
      <formula>7.9</formula>
    </cfRule>
    <cfRule type="cellIs" dxfId="3070" priority="103" operator="lessThan">
      <formula>6.9</formula>
    </cfRule>
    <cfRule type="cellIs" dxfId="3069" priority="104" operator="lessThan">
      <formula>7.9</formula>
    </cfRule>
  </conditionalFormatting>
  <conditionalFormatting sqref="AK3:AK30">
    <cfRule type="cellIs" dxfId="3068" priority="123" operator="lessThan">
      <formula>7.4</formula>
    </cfRule>
    <cfRule type="cellIs" dxfId="3067" priority="165" operator="lessThan">
      <formula>6.9</formula>
    </cfRule>
    <cfRule type="cellIs" dxfId="3066" priority="166" operator="lessThan">
      <formula>7.9</formula>
    </cfRule>
    <cfRule type="cellIs" dxfId="3065" priority="167" operator="lessThan">
      <formula>7.4</formula>
    </cfRule>
    <cfRule type="cellIs" dxfId="3064" priority="168" operator="lessThan">
      <formula>6.9</formula>
    </cfRule>
    <cfRule type="cellIs" dxfId="3063" priority="169" operator="lessThan">
      <formula>7.9</formula>
    </cfRule>
    <cfRule type="cellIs" dxfId="3062" priority="170" operator="lessThan">
      <formula>6.9</formula>
    </cfRule>
    <cfRule type="cellIs" dxfId="3061" priority="171" operator="lessThan">
      <formula>7.4</formula>
    </cfRule>
    <cfRule type="cellIs" dxfId="3060" priority="172" operator="lessThan">
      <formula>7.9</formula>
    </cfRule>
  </conditionalFormatting>
  <conditionalFormatting sqref="AO3:AO30">
    <cfRule type="cellIs" dxfId="3059" priority="99" operator="lessThan">
      <formula>7.9</formula>
    </cfRule>
    <cfRule type="cellIs" dxfId="3058" priority="100" operator="lessThan">
      <formula>6.9</formula>
    </cfRule>
    <cfRule type="cellIs" dxfId="3057" priority="101" operator="lessThan">
      <formula>7.9</formula>
    </cfRule>
  </conditionalFormatting>
  <conditionalFormatting sqref="AO3:AO30">
    <cfRule type="cellIs" dxfId="3056" priority="122" operator="lessThan">
      <formula>7.4</formula>
    </cfRule>
    <cfRule type="cellIs" dxfId="3055" priority="157" operator="lessThan">
      <formula>6.9</formula>
    </cfRule>
    <cfRule type="cellIs" dxfId="3054" priority="158" operator="lessThan">
      <formula>7.9</formula>
    </cfRule>
    <cfRule type="cellIs" dxfId="3053" priority="159" operator="lessThan">
      <formula>7.4</formula>
    </cfRule>
    <cfRule type="cellIs" dxfId="3052" priority="160" operator="lessThan">
      <formula>6.9</formula>
    </cfRule>
    <cfRule type="cellIs" dxfId="3051" priority="161" operator="lessThan">
      <formula>7.9</formula>
    </cfRule>
    <cfRule type="cellIs" dxfId="3050" priority="162" operator="lessThan">
      <formula>6.9</formula>
    </cfRule>
    <cfRule type="cellIs" dxfId="3049" priority="163" operator="lessThan">
      <formula>7.4</formula>
    </cfRule>
    <cfRule type="cellIs" dxfId="3048" priority="164" operator="lessThan">
      <formula>7.9</formula>
    </cfRule>
  </conditionalFormatting>
  <conditionalFormatting sqref="AS3:AS30">
    <cfRule type="cellIs" dxfId="3047" priority="96" operator="lessThan">
      <formula>7.9</formula>
    </cfRule>
    <cfRule type="cellIs" dxfId="3046" priority="97" operator="lessThan">
      <formula>6.9</formula>
    </cfRule>
    <cfRule type="cellIs" dxfId="3045" priority="98" operator="lessThan">
      <formula>7.9</formula>
    </cfRule>
    <cfRule type="cellIs" dxfId="3044" priority="121" operator="lessThan">
      <formula>7.4</formula>
    </cfRule>
  </conditionalFormatting>
  <conditionalFormatting sqref="AS3:AS30">
    <cfRule type="cellIs" dxfId="3043" priority="149" operator="lessThan">
      <formula>6.9</formula>
    </cfRule>
    <cfRule type="cellIs" dxfId="3042" priority="150" operator="lessThan">
      <formula>7.9</formula>
    </cfRule>
    <cfRule type="cellIs" dxfId="3041" priority="151" operator="lessThan">
      <formula>7.4</formula>
    </cfRule>
    <cfRule type="cellIs" dxfId="3040" priority="152" operator="lessThan">
      <formula>6.9</formula>
    </cfRule>
    <cfRule type="cellIs" dxfId="3039" priority="153" operator="lessThan">
      <formula>7.9</formula>
    </cfRule>
    <cfRule type="cellIs" dxfId="3038" priority="154" operator="lessThan">
      <formula>6.9</formula>
    </cfRule>
    <cfRule type="cellIs" dxfId="3037" priority="155" operator="lessThan">
      <formula>7.4</formula>
    </cfRule>
    <cfRule type="cellIs" dxfId="3036" priority="156" operator="lessThan">
      <formula>7.9</formula>
    </cfRule>
  </conditionalFormatting>
  <conditionalFormatting sqref="AW3:AW30">
    <cfRule type="cellIs" dxfId="3035" priority="93" operator="lessThan">
      <formula>7.9</formula>
    </cfRule>
    <cfRule type="cellIs" dxfId="3034" priority="94" operator="lessThan">
      <formula>6.9</formula>
    </cfRule>
    <cfRule type="cellIs" dxfId="3033" priority="95" operator="lessThan">
      <formula>7.4</formula>
    </cfRule>
    <cfRule type="cellIs" dxfId="3032" priority="120" operator="lessThan">
      <formula>7.9</formula>
    </cfRule>
  </conditionalFormatting>
  <conditionalFormatting sqref="AW3:AW30">
    <cfRule type="cellIs" dxfId="3031" priority="141" operator="lessThan">
      <formula>6.9</formula>
    </cfRule>
    <cfRule type="cellIs" dxfId="3030" priority="142" operator="lessThan">
      <formula>7.9</formula>
    </cfRule>
    <cfRule type="cellIs" dxfId="3029" priority="143" operator="lessThan">
      <formula>7.4</formula>
    </cfRule>
    <cfRule type="cellIs" dxfId="3028" priority="144" operator="lessThan">
      <formula>6.9</formula>
    </cfRule>
    <cfRule type="cellIs" dxfId="3027" priority="145" operator="lessThan">
      <formula>7.9</formula>
    </cfRule>
    <cfRule type="cellIs" dxfId="3026" priority="146" operator="lessThan">
      <formula>6.9</formula>
    </cfRule>
    <cfRule type="cellIs" dxfId="3025" priority="147" operator="lessThan">
      <formula>7.4</formula>
    </cfRule>
    <cfRule type="cellIs" dxfId="3024" priority="148" operator="lessThan">
      <formula>7.9</formula>
    </cfRule>
  </conditionalFormatting>
  <conditionalFormatting sqref="BA3:BA30">
    <cfRule type="cellIs" dxfId="3023" priority="129" operator="lessThan">
      <formula>7.9</formula>
    </cfRule>
    <cfRule type="cellIs" dxfId="3022" priority="130" operator="lessThan">
      <formula>6.9</formula>
    </cfRule>
    <cfRule type="cellIs" dxfId="3021" priority="131" operator="lessThan">
      <formula>7.4</formula>
    </cfRule>
    <cfRule type="cellIs" dxfId="3020" priority="132" operator="lessThan">
      <formula>7.9</formula>
    </cfRule>
    <cfRule type="cellIs" dxfId="3019" priority="133" operator="lessThan">
      <formula>6.9</formula>
    </cfRule>
    <cfRule type="cellIs" dxfId="3018" priority="134" operator="lessThan">
      <formula>7.9</formula>
    </cfRule>
    <cfRule type="cellIs" dxfId="3017" priority="135" operator="lessThan">
      <formula>7.4</formula>
    </cfRule>
    <cfRule type="cellIs" dxfId="3016" priority="136" operator="lessThan">
      <formula>6.9</formula>
    </cfRule>
    <cfRule type="cellIs" dxfId="3015" priority="137" operator="lessThan">
      <formula>7.9</formula>
    </cfRule>
    <cfRule type="cellIs" dxfId="3014" priority="138" operator="lessThan">
      <formula>6.9</formula>
    </cfRule>
    <cfRule type="cellIs" dxfId="3013" priority="139" operator="lessThan">
      <formula>7.4</formula>
    </cfRule>
    <cfRule type="cellIs" dxfId="3012" priority="140" operator="lessThan">
      <formula>7.9</formula>
    </cfRule>
  </conditionalFormatting>
  <conditionalFormatting sqref="J3:L30">
    <cfRule type="cellIs" dxfId="3011" priority="61" operator="lessThan">
      <formula>7.9</formula>
    </cfRule>
  </conditionalFormatting>
  <conditionalFormatting sqref="J3:L30">
    <cfRule type="cellIs" dxfId="3010" priority="62" operator="lessThan">
      <formula>7.4</formula>
    </cfRule>
  </conditionalFormatting>
  <conditionalFormatting sqref="J5:L6">
    <cfRule type="cellIs" dxfId="3009" priority="63" operator="lessThan">
      <formula>6.9</formula>
    </cfRule>
  </conditionalFormatting>
  <conditionalFormatting sqref="N3:P30">
    <cfRule type="cellIs" dxfId="3008" priority="58" operator="lessThan">
      <formula>7.9</formula>
    </cfRule>
  </conditionalFormatting>
  <conditionalFormatting sqref="N3:P30">
    <cfRule type="cellIs" dxfId="3007" priority="59" operator="lessThan">
      <formula>7.4</formula>
    </cfRule>
  </conditionalFormatting>
  <conditionalFormatting sqref="N5:P6">
    <cfRule type="cellIs" dxfId="3006" priority="60" operator="lessThan">
      <formula>6.9</formula>
    </cfRule>
  </conditionalFormatting>
  <conditionalFormatting sqref="R3:T30">
    <cfRule type="cellIs" dxfId="3005" priority="55" operator="lessThan">
      <formula>7.9</formula>
    </cfRule>
  </conditionalFormatting>
  <conditionalFormatting sqref="R3:T30">
    <cfRule type="cellIs" dxfId="3004" priority="56" operator="lessThan">
      <formula>7.4</formula>
    </cfRule>
  </conditionalFormatting>
  <conditionalFormatting sqref="R5:T6">
    <cfRule type="cellIs" dxfId="3003" priority="57" operator="lessThan">
      <formula>6.9</formula>
    </cfRule>
  </conditionalFormatting>
  <conditionalFormatting sqref="V3:X30">
    <cfRule type="cellIs" dxfId="3002" priority="52" operator="lessThan">
      <formula>7.9</formula>
    </cfRule>
  </conditionalFormatting>
  <conditionalFormatting sqref="V3:X30">
    <cfRule type="cellIs" dxfId="3001" priority="53" operator="lessThan">
      <formula>7.4</formula>
    </cfRule>
  </conditionalFormatting>
  <conditionalFormatting sqref="V5:X6">
    <cfRule type="cellIs" dxfId="3000" priority="54" operator="lessThan">
      <formula>6.9</formula>
    </cfRule>
  </conditionalFormatting>
  <conditionalFormatting sqref="Z3:AB30">
    <cfRule type="cellIs" dxfId="2999" priority="49" operator="lessThan">
      <formula>7.9</formula>
    </cfRule>
  </conditionalFormatting>
  <conditionalFormatting sqref="Z3:AB30">
    <cfRule type="cellIs" dxfId="2998" priority="50" operator="lessThan">
      <formula>7.4</formula>
    </cfRule>
  </conditionalFormatting>
  <conditionalFormatting sqref="Z5:AB6">
    <cfRule type="cellIs" dxfId="2997" priority="51" operator="lessThan">
      <formula>6.9</formula>
    </cfRule>
  </conditionalFormatting>
  <conditionalFormatting sqref="AD3:AF30">
    <cfRule type="cellIs" dxfId="2996" priority="46" operator="lessThan">
      <formula>7.9</formula>
    </cfRule>
  </conditionalFormatting>
  <conditionalFormatting sqref="AD3:AF30">
    <cfRule type="cellIs" dxfId="2995" priority="47" operator="lessThan">
      <formula>7.4</formula>
    </cfRule>
  </conditionalFormatting>
  <conditionalFormatting sqref="AD5:AF6">
    <cfRule type="cellIs" dxfId="2994" priority="48" operator="lessThan">
      <formula>6.9</formula>
    </cfRule>
  </conditionalFormatting>
  <conditionalFormatting sqref="AH3:AJ30">
    <cfRule type="cellIs" dxfId="2993" priority="43" operator="lessThan">
      <formula>7.9</formula>
    </cfRule>
  </conditionalFormatting>
  <conditionalFormatting sqref="AH3:AJ30">
    <cfRule type="cellIs" dxfId="2992" priority="44" operator="lessThan">
      <formula>7.4</formula>
    </cfRule>
  </conditionalFormatting>
  <conditionalFormatting sqref="AH5:AJ6">
    <cfRule type="cellIs" dxfId="2991" priority="45" operator="lessThan">
      <formula>6.9</formula>
    </cfRule>
  </conditionalFormatting>
  <conditionalFormatting sqref="AL3:AN30">
    <cfRule type="cellIs" dxfId="2990" priority="40" operator="lessThan">
      <formula>7.9</formula>
    </cfRule>
  </conditionalFormatting>
  <conditionalFormatting sqref="AL3:AN30">
    <cfRule type="cellIs" dxfId="2989" priority="41" operator="lessThan">
      <formula>7.4</formula>
    </cfRule>
  </conditionalFormatting>
  <conditionalFormatting sqref="AL5:AN6">
    <cfRule type="cellIs" dxfId="2988" priority="42" operator="lessThan">
      <formula>6.9</formula>
    </cfRule>
  </conditionalFormatting>
  <conditionalFormatting sqref="AP3:AR30">
    <cfRule type="cellIs" dxfId="2987" priority="37" operator="lessThan">
      <formula>7.9</formula>
    </cfRule>
  </conditionalFormatting>
  <conditionalFormatting sqref="AP3:AR30">
    <cfRule type="cellIs" dxfId="2986" priority="38" operator="lessThan">
      <formula>7.4</formula>
    </cfRule>
  </conditionalFormatting>
  <conditionalFormatting sqref="AP5:AR6">
    <cfRule type="cellIs" dxfId="2985" priority="39" operator="lessThan">
      <formula>6.9</formula>
    </cfRule>
  </conditionalFormatting>
  <conditionalFormatting sqref="AT3:AV30">
    <cfRule type="cellIs" dxfId="2984" priority="34" operator="lessThan">
      <formula>7.9</formula>
    </cfRule>
  </conditionalFormatting>
  <conditionalFormatting sqref="AT3:AV30">
    <cfRule type="cellIs" dxfId="2983" priority="35" operator="lessThan">
      <formula>7.4</formula>
    </cfRule>
  </conditionalFormatting>
  <conditionalFormatting sqref="AT5:AV6">
    <cfRule type="cellIs" dxfId="2982" priority="36" operator="lessThan">
      <formula>6.9</formula>
    </cfRule>
  </conditionalFormatting>
  <conditionalFormatting sqref="AX3:AZ30">
    <cfRule type="cellIs" dxfId="2981" priority="31" operator="lessThan">
      <formula>7.9</formula>
    </cfRule>
  </conditionalFormatting>
  <conditionalFormatting sqref="AX3:AZ30">
    <cfRule type="cellIs" dxfId="2980" priority="32" operator="lessThan">
      <formula>7.4</formula>
    </cfRule>
  </conditionalFormatting>
  <conditionalFormatting sqref="AX5:AZ6">
    <cfRule type="cellIs" dxfId="2979" priority="33" operator="lessThan">
      <formula>6.9</formula>
    </cfRule>
  </conditionalFormatting>
  <conditionalFormatting sqref="BE3:BE30">
    <cfRule type="cellIs" dxfId="2978" priority="19" operator="lessThan">
      <formula>7.9</formula>
    </cfRule>
    <cfRule type="cellIs" dxfId="2977" priority="20" operator="lessThan">
      <formula>6.9</formula>
    </cfRule>
    <cfRule type="cellIs" dxfId="2976" priority="21" operator="lessThan">
      <formula>7.4</formula>
    </cfRule>
    <cfRule type="cellIs" dxfId="2975" priority="22" operator="lessThan">
      <formula>7.9</formula>
    </cfRule>
    <cfRule type="cellIs" dxfId="2974" priority="23" operator="lessThan">
      <formula>6.9</formula>
    </cfRule>
    <cfRule type="cellIs" dxfId="2973" priority="24" operator="lessThan">
      <formula>7.9</formula>
    </cfRule>
    <cfRule type="cellIs" dxfId="2972" priority="25" operator="lessThan">
      <formula>7.4</formula>
    </cfRule>
    <cfRule type="cellIs" dxfId="2971" priority="26" operator="lessThan">
      <formula>6.9</formula>
    </cfRule>
    <cfRule type="cellIs" dxfId="2970" priority="27" operator="lessThan">
      <formula>7.9</formula>
    </cfRule>
    <cfRule type="cellIs" dxfId="2969" priority="28" operator="lessThan">
      <formula>6.9</formula>
    </cfRule>
    <cfRule type="cellIs" dxfId="2968" priority="29" operator="lessThan">
      <formula>7.4</formula>
    </cfRule>
    <cfRule type="cellIs" dxfId="2967" priority="30" operator="lessThan">
      <formula>7.9</formula>
    </cfRule>
  </conditionalFormatting>
  <conditionalFormatting sqref="BB3:BD30">
    <cfRule type="cellIs" dxfId="2966" priority="16" operator="lessThan">
      <formula>7.9</formula>
    </cfRule>
  </conditionalFormatting>
  <conditionalFormatting sqref="BB3:BD30">
    <cfRule type="cellIs" dxfId="2965" priority="17" operator="lessThan">
      <formula>7.4</formula>
    </cfRule>
  </conditionalFormatting>
  <conditionalFormatting sqref="BB5:BD6">
    <cfRule type="cellIs" dxfId="2964" priority="18" operator="lessThan">
      <formula>6.9</formula>
    </cfRule>
  </conditionalFormatting>
  <conditionalFormatting sqref="BI3:BI30">
    <cfRule type="cellIs" dxfId="2963" priority="4" operator="lessThan">
      <formula>7.9</formula>
    </cfRule>
    <cfRule type="cellIs" dxfId="2962" priority="5" operator="lessThan">
      <formula>6.9</formula>
    </cfRule>
    <cfRule type="cellIs" dxfId="2961" priority="6" operator="lessThan">
      <formula>7.4</formula>
    </cfRule>
    <cfRule type="cellIs" dxfId="2960" priority="7" operator="lessThan">
      <formula>7.9</formula>
    </cfRule>
    <cfRule type="cellIs" dxfId="2959" priority="8" operator="lessThan">
      <formula>6.9</formula>
    </cfRule>
    <cfRule type="cellIs" dxfId="2958" priority="9" operator="lessThan">
      <formula>7.9</formula>
    </cfRule>
    <cfRule type="cellIs" dxfId="2957" priority="10" operator="lessThan">
      <formula>7.4</formula>
    </cfRule>
    <cfRule type="cellIs" dxfId="2956" priority="11" operator="lessThan">
      <formula>6.9</formula>
    </cfRule>
    <cfRule type="cellIs" dxfId="2955" priority="12" operator="lessThan">
      <formula>7.9</formula>
    </cfRule>
    <cfRule type="cellIs" dxfId="2954" priority="13" operator="lessThan">
      <formula>6.9</formula>
    </cfRule>
    <cfRule type="cellIs" dxfId="2953" priority="14" operator="lessThan">
      <formula>7.4</formula>
    </cfRule>
    <cfRule type="cellIs" dxfId="2952" priority="15" operator="lessThan">
      <formula>7.9</formula>
    </cfRule>
  </conditionalFormatting>
  <conditionalFormatting sqref="BF3:BH30">
    <cfRule type="cellIs" dxfId="2951" priority="1" operator="lessThan">
      <formula>7.9</formula>
    </cfRule>
  </conditionalFormatting>
  <conditionalFormatting sqref="BF3:BH30">
    <cfRule type="cellIs" dxfId="2950" priority="2" operator="lessThan">
      <formula>7.4</formula>
    </cfRule>
  </conditionalFormatting>
  <conditionalFormatting sqref="BF5:BH6">
    <cfRule type="cellIs" dxfId="2949" priority="3" operator="lessThan">
      <formula>6.9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C46"/>
  <sheetViews>
    <sheetView topLeftCell="AI1" zoomScale="80" zoomScaleNormal="80" workbookViewId="0">
      <selection activeCell="F2" sqref="F1:BB1048576"/>
    </sheetView>
  </sheetViews>
  <sheetFormatPr baseColWidth="10" defaultColWidth="12.5703125" defaultRowHeight="15.75" customHeight="1" x14ac:dyDescent="0.2"/>
  <cols>
    <col min="1" max="1" width="11" bestFit="1" customWidth="1"/>
    <col min="2" max="2" width="51.140625" bestFit="1" customWidth="1"/>
    <col min="3" max="3" width="9.5703125" bestFit="1" customWidth="1"/>
    <col min="4" max="4" width="6.5703125" bestFit="1" customWidth="1"/>
    <col min="5" max="5" width="6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5" max="55" width="3.140625" customWidth="1"/>
  </cols>
  <sheetData>
    <row r="1" spans="1:55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71" t="s">
        <v>2</v>
      </c>
      <c r="BC1" s="2"/>
    </row>
    <row r="2" spans="1:55" ht="15.75" customHeight="1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1" t="s">
        <v>12</v>
      </c>
      <c r="BC2" s="4"/>
    </row>
    <row r="3" spans="1:55" ht="15.75" customHeight="1" x14ac:dyDescent="0.25">
      <c r="A3" s="13" t="s">
        <v>292</v>
      </c>
      <c r="B3" s="16" t="s">
        <v>293</v>
      </c>
      <c r="C3" s="13" t="s">
        <v>15</v>
      </c>
      <c r="D3" s="231">
        <v>3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1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64">
        <f>AVERAGE(I3,M3,Q3,U3,Y3,AC3,AG3,AK3,AO3,AS3,AW3,BA3)</f>
        <v>0</v>
      </c>
      <c r="BC3" s="7"/>
    </row>
    <row r="4" spans="1:55" ht="15.75" customHeight="1" x14ac:dyDescent="0.25">
      <c r="A4" s="13" t="s">
        <v>318</v>
      </c>
      <c r="B4" s="16" t="s">
        <v>319</v>
      </c>
      <c r="C4" s="13" t="s">
        <v>15</v>
      </c>
      <c r="D4" s="231">
        <v>3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31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1" si="2">AVERAGE(N4:P4)</f>
        <v>0</v>
      </c>
      <c r="R4" s="132">
        <v>0</v>
      </c>
      <c r="S4" s="132">
        <v>0</v>
      </c>
      <c r="T4" s="132">
        <v>0</v>
      </c>
      <c r="U4" s="84">
        <f t="shared" ref="U4:U31" si="3">AVERAGE(R4:T4)</f>
        <v>0</v>
      </c>
      <c r="V4" s="132">
        <v>0</v>
      </c>
      <c r="W4" s="132">
        <v>0</v>
      </c>
      <c r="X4" s="132">
        <v>0</v>
      </c>
      <c r="Y4" s="84">
        <f t="shared" ref="Y4:Y31" si="4">AVERAGE(V4:X4)</f>
        <v>0</v>
      </c>
      <c r="Z4" s="132">
        <v>0</v>
      </c>
      <c r="AA4" s="132">
        <v>0</v>
      </c>
      <c r="AB4" s="132">
        <v>0</v>
      </c>
      <c r="AC4" s="84">
        <f t="shared" ref="AC4:AC31" si="5">AVERAGE(Z4:AB4)</f>
        <v>0</v>
      </c>
      <c r="AD4" s="132">
        <v>0</v>
      </c>
      <c r="AE4" s="132">
        <v>0</v>
      </c>
      <c r="AF4" s="132">
        <v>0</v>
      </c>
      <c r="AG4" s="84">
        <f t="shared" ref="AG4:AG31" si="6">AVERAGE(AD4:AF4)</f>
        <v>0</v>
      </c>
      <c r="AH4" s="132">
        <v>0</v>
      </c>
      <c r="AI4" s="132">
        <v>0</v>
      </c>
      <c r="AJ4" s="132">
        <v>0</v>
      </c>
      <c r="AK4" s="84">
        <f t="shared" ref="AK4:AK31" si="7">AVERAGE(AH4:AJ4)</f>
        <v>0</v>
      </c>
      <c r="AL4" s="132">
        <v>0</v>
      </c>
      <c r="AM4" s="132">
        <v>0</v>
      </c>
      <c r="AN4" s="132">
        <v>0</v>
      </c>
      <c r="AO4" s="84">
        <f t="shared" ref="AO4:AO31" si="8">AVERAGE(AL4:AN4)</f>
        <v>0</v>
      </c>
      <c r="AP4" s="132">
        <v>0</v>
      </c>
      <c r="AQ4" s="132">
        <v>0</v>
      </c>
      <c r="AR4" s="132">
        <v>0</v>
      </c>
      <c r="AS4" s="84">
        <f t="shared" ref="AS4:AS31" si="9">AVERAGE(AP4:AR4)</f>
        <v>0</v>
      </c>
      <c r="AT4" s="132">
        <v>0</v>
      </c>
      <c r="AU4" s="132">
        <v>0</v>
      </c>
      <c r="AV4" s="132">
        <v>0</v>
      </c>
      <c r="AW4" s="84">
        <f t="shared" ref="AW4:AW31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1" si="11">AVERAGE(AX4:AZ4)</f>
        <v>0</v>
      </c>
      <c r="BB4" s="64">
        <f t="shared" ref="BB4:BB31" si="12">AVERAGE(I4,M4,Q4,U4,Y4,AC4,AG4,AK4,AO4,AS4,AW4,BA4)</f>
        <v>0</v>
      </c>
      <c r="BC4" s="7"/>
    </row>
    <row r="5" spans="1:55" ht="15.75" customHeight="1" x14ac:dyDescent="0.25">
      <c r="A5" s="13" t="s">
        <v>336</v>
      </c>
      <c r="B5" s="16" t="s">
        <v>337</v>
      </c>
      <c r="C5" s="13" t="s">
        <v>15</v>
      </c>
      <c r="D5" s="231">
        <v>3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64">
        <f t="shared" si="12"/>
        <v>0</v>
      </c>
      <c r="BC5" s="7"/>
    </row>
    <row r="6" spans="1:55" ht="15.75" customHeight="1" x14ac:dyDescent="0.25">
      <c r="A6" s="13" t="s">
        <v>308</v>
      </c>
      <c r="B6" s="16" t="s">
        <v>309</v>
      </c>
      <c r="C6" s="13" t="s">
        <v>15</v>
      </c>
      <c r="D6" s="231">
        <v>3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64">
        <f t="shared" si="12"/>
        <v>0</v>
      </c>
      <c r="BC6" s="7"/>
    </row>
    <row r="7" spans="1:55" ht="15.75" customHeight="1" x14ac:dyDescent="0.25">
      <c r="A7" s="13" t="s">
        <v>352</v>
      </c>
      <c r="B7" s="16" t="s">
        <v>353</v>
      </c>
      <c r="C7" s="13" t="s">
        <v>15</v>
      </c>
      <c r="D7" s="231">
        <v>3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64">
        <f t="shared" si="12"/>
        <v>0</v>
      </c>
      <c r="BC7" s="7"/>
    </row>
    <row r="8" spans="1:55" ht="15.75" customHeight="1" x14ac:dyDescent="0.25">
      <c r="A8" s="13" t="s">
        <v>338</v>
      </c>
      <c r="B8" s="16" t="s">
        <v>339</v>
      </c>
      <c r="C8" s="13" t="s">
        <v>15</v>
      </c>
      <c r="D8" s="231">
        <v>3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64">
        <f t="shared" si="12"/>
        <v>0</v>
      </c>
      <c r="BC8" s="7"/>
    </row>
    <row r="9" spans="1:55" ht="15.75" customHeight="1" x14ac:dyDescent="0.25">
      <c r="A9" s="23"/>
      <c r="B9" s="26" t="s">
        <v>143</v>
      </c>
      <c r="C9" s="13" t="s">
        <v>15</v>
      </c>
      <c r="D9" s="231">
        <v>3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64">
        <f t="shared" si="12"/>
        <v>0</v>
      </c>
      <c r="BC9" s="7"/>
    </row>
    <row r="10" spans="1:55" ht="15.75" customHeight="1" x14ac:dyDescent="0.25">
      <c r="A10" s="13" t="s">
        <v>282</v>
      </c>
      <c r="B10" s="16" t="s">
        <v>283</v>
      </c>
      <c r="C10" s="13" t="s">
        <v>15</v>
      </c>
      <c r="D10" s="231">
        <v>3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64">
        <f t="shared" si="12"/>
        <v>0</v>
      </c>
      <c r="BC10" s="7"/>
    </row>
    <row r="11" spans="1:55" ht="15.75" customHeight="1" x14ac:dyDescent="0.25">
      <c r="A11" s="13" t="s">
        <v>284</v>
      </c>
      <c r="B11" s="16" t="s">
        <v>285</v>
      </c>
      <c r="C11" s="13" t="s">
        <v>15</v>
      </c>
      <c r="D11" s="231">
        <v>3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64">
        <f t="shared" si="12"/>
        <v>0</v>
      </c>
      <c r="BC11" s="7"/>
    </row>
    <row r="12" spans="1:55" ht="15.75" customHeight="1" x14ac:dyDescent="0.25">
      <c r="A12" s="13" t="s">
        <v>290</v>
      </c>
      <c r="B12" s="17" t="s">
        <v>291</v>
      </c>
      <c r="C12" s="13" t="s">
        <v>15</v>
      </c>
      <c r="D12" s="231">
        <v>3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64">
        <f t="shared" si="12"/>
        <v>0</v>
      </c>
      <c r="BC12" s="7"/>
    </row>
    <row r="13" spans="1:55" ht="15.75" customHeight="1" x14ac:dyDescent="0.25">
      <c r="A13" s="13" t="s">
        <v>328</v>
      </c>
      <c r="B13" s="16" t="s">
        <v>329</v>
      </c>
      <c r="C13" s="13" t="s">
        <v>15</v>
      </c>
      <c r="D13" s="231">
        <v>3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64">
        <f t="shared" si="12"/>
        <v>0</v>
      </c>
      <c r="BC13" s="7"/>
    </row>
    <row r="14" spans="1:55" ht="15.75" customHeight="1" x14ac:dyDescent="0.25">
      <c r="A14" s="13" t="s">
        <v>296</v>
      </c>
      <c r="B14" s="16" t="s">
        <v>297</v>
      </c>
      <c r="C14" s="13" t="s">
        <v>15</v>
      </c>
      <c r="D14" s="231">
        <v>3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64">
        <f t="shared" si="12"/>
        <v>0</v>
      </c>
      <c r="BC14" s="7"/>
    </row>
    <row r="15" spans="1:55" ht="15.75" customHeight="1" x14ac:dyDescent="0.25">
      <c r="A15" s="13" t="s">
        <v>348</v>
      </c>
      <c r="B15" s="16" t="s">
        <v>349</v>
      </c>
      <c r="C15" s="13" t="s">
        <v>15</v>
      </c>
      <c r="D15" s="231">
        <v>3</v>
      </c>
      <c r="E15" s="25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64">
        <f t="shared" si="12"/>
        <v>0</v>
      </c>
      <c r="BC15" s="7"/>
    </row>
    <row r="16" spans="1:55" ht="15.75" customHeight="1" x14ac:dyDescent="0.25">
      <c r="A16" s="13" t="s">
        <v>276</v>
      </c>
      <c r="B16" s="16" t="s">
        <v>277</v>
      </c>
      <c r="C16" s="13" t="s">
        <v>15</v>
      </c>
      <c r="D16" s="231">
        <v>3</v>
      </c>
      <c r="E16" s="25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64">
        <f t="shared" si="12"/>
        <v>0</v>
      </c>
      <c r="BC16" s="7"/>
    </row>
    <row r="17" spans="1:55" ht="15.75" customHeight="1" x14ac:dyDescent="0.25">
      <c r="A17" s="13" t="s">
        <v>356</v>
      </c>
      <c r="B17" s="16" t="s">
        <v>357</v>
      </c>
      <c r="C17" s="13" t="s">
        <v>15</v>
      </c>
      <c r="D17" s="231">
        <v>3</v>
      </c>
      <c r="E17" s="25" t="s">
        <v>16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64">
        <f t="shared" si="12"/>
        <v>0</v>
      </c>
      <c r="BC17" s="7"/>
    </row>
    <row r="18" spans="1:55" ht="15.75" customHeight="1" x14ac:dyDescent="0.25">
      <c r="A18" s="13" t="s">
        <v>330</v>
      </c>
      <c r="B18" s="16" t="s">
        <v>331</v>
      </c>
      <c r="C18" s="13" t="s">
        <v>15</v>
      </c>
      <c r="D18" s="231">
        <v>3</v>
      </c>
      <c r="E18" s="25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64">
        <f t="shared" si="12"/>
        <v>0</v>
      </c>
    </row>
    <row r="19" spans="1:55" ht="15.75" customHeight="1" x14ac:dyDescent="0.25">
      <c r="A19" s="13" t="s">
        <v>358</v>
      </c>
      <c r="B19" s="16" t="s">
        <v>359</v>
      </c>
      <c r="C19" s="13" t="s">
        <v>15</v>
      </c>
      <c r="D19" s="231">
        <v>3</v>
      </c>
      <c r="E19" s="25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64">
        <f t="shared" si="12"/>
        <v>0</v>
      </c>
    </row>
    <row r="20" spans="1:55" ht="15.75" customHeight="1" x14ac:dyDescent="0.25">
      <c r="A20" s="13" t="s">
        <v>344</v>
      </c>
      <c r="B20" s="16" t="s">
        <v>345</v>
      </c>
      <c r="C20" s="13" t="s">
        <v>15</v>
      </c>
      <c r="D20" s="231">
        <v>3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64">
        <f t="shared" si="12"/>
        <v>0</v>
      </c>
    </row>
    <row r="21" spans="1:55" ht="15.75" customHeight="1" x14ac:dyDescent="0.25">
      <c r="A21" s="13" t="s">
        <v>322</v>
      </c>
      <c r="B21" s="16" t="s">
        <v>323</v>
      </c>
      <c r="C21" s="13" t="s">
        <v>15</v>
      </c>
      <c r="D21" s="231">
        <v>3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64">
        <f t="shared" si="12"/>
        <v>0</v>
      </c>
    </row>
    <row r="22" spans="1:55" ht="15.75" customHeight="1" x14ac:dyDescent="0.25">
      <c r="A22" s="13" t="s">
        <v>350</v>
      </c>
      <c r="B22" s="16" t="s">
        <v>351</v>
      </c>
      <c r="C22" s="13" t="s">
        <v>15</v>
      </c>
      <c r="D22" s="231">
        <v>3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64">
        <f t="shared" si="12"/>
        <v>0</v>
      </c>
    </row>
    <row r="23" spans="1:55" ht="15.75" customHeight="1" x14ac:dyDescent="0.25">
      <c r="A23" s="13" t="s">
        <v>310</v>
      </c>
      <c r="B23" s="16" t="s">
        <v>311</v>
      </c>
      <c r="C23" s="13" t="s">
        <v>15</v>
      </c>
      <c r="D23" s="231">
        <v>3</v>
      </c>
      <c r="E23" s="25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64">
        <f t="shared" si="12"/>
        <v>0</v>
      </c>
    </row>
    <row r="24" spans="1:55" ht="15.75" customHeight="1" x14ac:dyDescent="0.25">
      <c r="A24" s="13" t="s">
        <v>314</v>
      </c>
      <c r="B24" s="16" t="s">
        <v>315</v>
      </c>
      <c r="C24" s="13" t="s">
        <v>15</v>
      </c>
      <c r="D24" s="231">
        <v>3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64">
        <f t="shared" si="12"/>
        <v>0</v>
      </c>
    </row>
    <row r="25" spans="1:55" ht="15.75" customHeight="1" x14ac:dyDescent="0.25">
      <c r="A25" s="13" t="s">
        <v>300</v>
      </c>
      <c r="B25" s="16" t="s">
        <v>301</v>
      </c>
      <c r="C25" s="13" t="s">
        <v>15</v>
      </c>
      <c r="D25" s="231">
        <v>3</v>
      </c>
      <c r="E25" s="25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64">
        <f t="shared" si="12"/>
        <v>0</v>
      </c>
    </row>
    <row r="26" spans="1:55" ht="15.75" customHeight="1" x14ac:dyDescent="0.25">
      <c r="A26" s="13" t="s">
        <v>302</v>
      </c>
      <c r="B26" s="16" t="s">
        <v>303</v>
      </c>
      <c r="C26" s="13" t="s">
        <v>15</v>
      </c>
      <c r="D26" s="231">
        <v>3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64">
        <f t="shared" si="12"/>
        <v>0</v>
      </c>
    </row>
    <row r="27" spans="1:55" ht="15.75" customHeight="1" x14ac:dyDescent="0.25">
      <c r="A27" s="13" t="s">
        <v>286</v>
      </c>
      <c r="B27" s="16" t="s">
        <v>287</v>
      </c>
      <c r="C27" s="13" t="s">
        <v>15</v>
      </c>
      <c r="D27" s="231">
        <v>3</v>
      </c>
      <c r="E27" s="25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64">
        <f t="shared" si="12"/>
        <v>0</v>
      </c>
    </row>
    <row r="28" spans="1:55" ht="15.75" customHeight="1" x14ac:dyDescent="0.25">
      <c r="A28" s="13" t="s">
        <v>298</v>
      </c>
      <c r="B28" s="16" t="s">
        <v>299</v>
      </c>
      <c r="C28" s="13" t="s">
        <v>15</v>
      </c>
      <c r="D28" s="231">
        <v>3</v>
      </c>
      <c r="E28" s="25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64">
        <f t="shared" si="12"/>
        <v>0</v>
      </c>
    </row>
    <row r="29" spans="1:55" ht="15.75" customHeight="1" x14ac:dyDescent="0.25">
      <c r="A29" s="13" t="s">
        <v>324</v>
      </c>
      <c r="B29" s="16" t="s">
        <v>325</v>
      </c>
      <c r="C29" s="13" t="s">
        <v>15</v>
      </c>
      <c r="D29" s="231">
        <v>3</v>
      </c>
      <c r="E29" s="25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64">
        <f t="shared" si="12"/>
        <v>0</v>
      </c>
    </row>
    <row r="30" spans="1:55" ht="15.75" customHeight="1" x14ac:dyDescent="0.25">
      <c r="A30" s="13" t="s">
        <v>278</v>
      </c>
      <c r="B30" s="16" t="s">
        <v>279</v>
      </c>
      <c r="C30" s="13" t="s">
        <v>15</v>
      </c>
      <c r="D30" s="231">
        <v>3</v>
      </c>
      <c r="E30" s="25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64">
        <f t="shared" si="12"/>
        <v>0</v>
      </c>
    </row>
    <row r="31" spans="1:55" ht="15.75" customHeight="1" x14ac:dyDescent="0.25">
      <c r="A31" s="13" t="s">
        <v>332</v>
      </c>
      <c r="B31" s="16" t="s">
        <v>333</v>
      </c>
      <c r="C31" s="13" t="s">
        <v>15</v>
      </c>
      <c r="D31" s="231">
        <v>3</v>
      </c>
      <c r="E31" s="25" t="s">
        <v>41</v>
      </c>
      <c r="F31" s="132">
        <v>0</v>
      </c>
      <c r="G31" s="132">
        <v>0</v>
      </c>
      <c r="H31" s="132">
        <v>0</v>
      </c>
      <c r="I31" s="84">
        <f t="shared" si="1"/>
        <v>0</v>
      </c>
      <c r="J31" s="132">
        <v>0</v>
      </c>
      <c r="K31" s="132">
        <v>0</v>
      </c>
      <c r="L31" s="132">
        <v>0</v>
      </c>
      <c r="M31" s="84">
        <f t="shared" si="0"/>
        <v>0</v>
      </c>
      <c r="N31" s="132">
        <v>0</v>
      </c>
      <c r="O31" s="132">
        <v>0</v>
      </c>
      <c r="P31" s="132">
        <v>0</v>
      </c>
      <c r="Q31" s="84">
        <f t="shared" si="2"/>
        <v>0</v>
      </c>
      <c r="R31" s="132">
        <v>0</v>
      </c>
      <c r="S31" s="132">
        <v>0</v>
      </c>
      <c r="T31" s="132">
        <v>0</v>
      </c>
      <c r="U31" s="84">
        <f t="shared" si="3"/>
        <v>0</v>
      </c>
      <c r="V31" s="132">
        <v>0</v>
      </c>
      <c r="W31" s="132">
        <v>0</v>
      </c>
      <c r="X31" s="132">
        <v>0</v>
      </c>
      <c r="Y31" s="84">
        <f t="shared" si="4"/>
        <v>0</v>
      </c>
      <c r="Z31" s="132">
        <v>0</v>
      </c>
      <c r="AA31" s="132">
        <v>0</v>
      </c>
      <c r="AB31" s="132">
        <v>0</v>
      </c>
      <c r="AC31" s="84">
        <f t="shared" si="5"/>
        <v>0</v>
      </c>
      <c r="AD31" s="132">
        <v>0</v>
      </c>
      <c r="AE31" s="132">
        <v>0</v>
      </c>
      <c r="AF31" s="132">
        <v>0</v>
      </c>
      <c r="AG31" s="84">
        <f t="shared" si="6"/>
        <v>0</v>
      </c>
      <c r="AH31" s="132">
        <v>0</v>
      </c>
      <c r="AI31" s="132">
        <v>0</v>
      </c>
      <c r="AJ31" s="132">
        <v>0</v>
      </c>
      <c r="AK31" s="84">
        <f t="shared" si="7"/>
        <v>0</v>
      </c>
      <c r="AL31" s="132">
        <v>0</v>
      </c>
      <c r="AM31" s="132">
        <v>0</v>
      </c>
      <c r="AN31" s="132">
        <v>0</v>
      </c>
      <c r="AO31" s="84">
        <f t="shared" si="8"/>
        <v>0</v>
      </c>
      <c r="AP31" s="132">
        <v>0</v>
      </c>
      <c r="AQ31" s="132">
        <v>0</v>
      </c>
      <c r="AR31" s="132">
        <v>0</v>
      </c>
      <c r="AS31" s="84">
        <f t="shared" si="9"/>
        <v>0</v>
      </c>
      <c r="AT31" s="132">
        <v>0</v>
      </c>
      <c r="AU31" s="132">
        <v>0</v>
      </c>
      <c r="AV31" s="132">
        <v>0</v>
      </c>
      <c r="AW31" s="84">
        <f t="shared" si="10"/>
        <v>0</v>
      </c>
      <c r="AX31" s="132">
        <v>0</v>
      </c>
      <c r="AY31" s="132">
        <v>0</v>
      </c>
      <c r="AZ31" s="132">
        <v>0</v>
      </c>
      <c r="BA31" s="84">
        <f t="shared" si="11"/>
        <v>0</v>
      </c>
      <c r="BB31" s="64">
        <f t="shared" si="12"/>
        <v>0</v>
      </c>
    </row>
    <row r="32" spans="1:55" ht="15.75" customHeight="1" x14ac:dyDescent="0.25">
      <c r="A32" s="13" t="s">
        <v>320</v>
      </c>
      <c r="B32" s="16" t="s">
        <v>321</v>
      </c>
      <c r="C32" s="13" t="s">
        <v>15</v>
      </c>
      <c r="D32" s="231">
        <v>3</v>
      </c>
      <c r="E32" s="25" t="s">
        <v>144</v>
      </c>
      <c r="F32" s="132">
        <v>0</v>
      </c>
      <c r="G32" s="132">
        <v>0</v>
      </c>
      <c r="H32" s="132">
        <v>0</v>
      </c>
      <c r="I32" s="84">
        <f t="shared" ref="I32:I46" si="13">AVERAGE(F32:H32)</f>
        <v>0</v>
      </c>
      <c r="J32" s="132">
        <v>0</v>
      </c>
      <c r="K32" s="132">
        <v>0</v>
      </c>
      <c r="L32" s="132">
        <v>0</v>
      </c>
      <c r="M32" s="84">
        <f t="shared" ref="M32:M46" si="14">AVERAGE(J32:L32)</f>
        <v>0</v>
      </c>
      <c r="N32" s="132">
        <v>0</v>
      </c>
      <c r="O32" s="132">
        <v>0</v>
      </c>
      <c r="P32" s="132">
        <v>0</v>
      </c>
      <c r="Q32" s="84">
        <f t="shared" ref="Q32:Q46" si="15">AVERAGE(N32:P32)</f>
        <v>0</v>
      </c>
      <c r="R32" s="132">
        <v>0</v>
      </c>
      <c r="S32" s="132">
        <v>0</v>
      </c>
      <c r="T32" s="132">
        <v>0</v>
      </c>
      <c r="U32" s="84">
        <f t="shared" ref="U32:U46" si="16">AVERAGE(R32:T32)</f>
        <v>0</v>
      </c>
      <c r="V32" s="132">
        <v>0</v>
      </c>
      <c r="W32" s="132">
        <v>0</v>
      </c>
      <c r="X32" s="132">
        <v>0</v>
      </c>
      <c r="Y32" s="84">
        <f t="shared" ref="Y32:Y46" si="17">AVERAGE(V32:X32)</f>
        <v>0</v>
      </c>
      <c r="Z32" s="132">
        <v>0</v>
      </c>
      <c r="AA32" s="132">
        <v>0</v>
      </c>
      <c r="AB32" s="132">
        <v>0</v>
      </c>
      <c r="AC32" s="84">
        <f t="shared" ref="AC32:AC46" si="18">AVERAGE(Z32:AB32)</f>
        <v>0</v>
      </c>
      <c r="AD32" s="132">
        <v>0</v>
      </c>
      <c r="AE32" s="132">
        <v>0</v>
      </c>
      <c r="AF32" s="132">
        <v>0</v>
      </c>
      <c r="AG32" s="84">
        <f t="shared" ref="AG32:AG46" si="19">AVERAGE(AD32:AF32)</f>
        <v>0</v>
      </c>
      <c r="AH32" s="132">
        <v>0</v>
      </c>
      <c r="AI32" s="132">
        <v>0</v>
      </c>
      <c r="AJ32" s="132">
        <v>0</v>
      </c>
      <c r="AK32" s="84">
        <f t="shared" ref="AK32:AK46" si="20">AVERAGE(AH32:AJ32)</f>
        <v>0</v>
      </c>
      <c r="AL32" s="132">
        <v>0</v>
      </c>
      <c r="AM32" s="132">
        <v>0</v>
      </c>
      <c r="AN32" s="132">
        <v>0</v>
      </c>
      <c r="AO32" s="84">
        <f t="shared" ref="AO32:AO46" si="21">AVERAGE(AL32:AN32)</f>
        <v>0</v>
      </c>
      <c r="AP32" s="132">
        <v>0</v>
      </c>
      <c r="AQ32" s="132">
        <v>0</v>
      </c>
      <c r="AR32" s="132">
        <v>0</v>
      </c>
      <c r="AS32" s="84">
        <f t="shared" ref="AS32:AS46" si="22">AVERAGE(AP32:AR32)</f>
        <v>0</v>
      </c>
      <c r="AT32" s="132">
        <v>0</v>
      </c>
      <c r="AU32" s="132">
        <v>0</v>
      </c>
      <c r="AV32" s="132">
        <v>0</v>
      </c>
      <c r="AW32" s="84">
        <f t="shared" ref="AW32:AW46" si="23">AVERAGE(AT32:AV32)</f>
        <v>0</v>
      </c>
      <c r="AX32" s="132">
        <v>0</v>
      </c>
      <c r="AY32" s="132">
        <v>0</v>
      </c>
      <c r="AZ32" s="132">
        <v>0</v>
      </c>
      <c r="BA32" s="84">
        <f t="shared" ref="BA32:BA46" si="24">AVERAGE(AX32:AZ32)</f>
        <v>0</v>
      </c>
      <c r="BB32" s="64">
        <f t="shared" ref="BB32:BB46" si="25">AVERAGE(I32,M32,Q32,U32,Y32,AC32,AG32,AK32,AO32,AS32,AW32,BA32)</f>
        <v>0</v>
      </c>
    </row>
    <row r="33" spans="1:54" ht="15.75" customHeight="1" x14ac:dyDescent="0.25">
      <c r="A33" s="13" t="s">
        <v>280</v>
      </c>
      <c r="B33" s="16" t="s">
        <v>281</v>
      </c>
      <c r="C33" s="13" t="s">
        <v>15</v>
      </c>
      <c r="D33" s="231">
        <v>3</v>
      </c>
      <c r="E33" s="25" t="s">
        <v>144</v>
      </c>
      <c r="F33" s="132">
        <v>0</v>
      </c>
      <c r="G33" s="132">
        <v>0</v>
      </c>
      <c r="H33" s="132">
        <v>0</v>
      </c>
      <c r="I33" s="84">
        <f t="shared" si="13"/>
        <v>0</v>
      </c>
      <c r="J33" s="132">
        <v>0</v>
      </c>
      <c r="K33" s="132">
        <v>0</v>
      </c>
      <c r="L33" s="132">
        <v>0</v>
      </c>
      <c r="M33" s="84">
        <f t="shared" si="14"/>
        <v>0</v>
      </c>
      <c r="N33" s="132">
        <v>0</v>
      </c>
      <c r="O33" s="132">
        <v>0</v>
      </c>
      <c r="P33" s="132">
        <v>0</v>
      </c>
      <c r="Q33" s="84">
        <f t="shared" si="15"/>
        <v>0</v>
      </c>
      <c r="R33" s="132">
        <v>0</v>
      </c>
      <c r="S33" s="132">
        <v>0</v>
      </c>
      <c r="T33" s="132">
        <v>0</v>
      </c>
      <c r="U33" s="84">
        <f t="shared" si="16"/>
        <v>0</v>
      </c>
      <c r="V33" s="132">
        <v>0</v>
      </c>
      <c r="W33" s="132">
        <v>0</v>
      </c>
      <c r="X33" s="132">
        <v>0</v>
      </c>
      <c r="Y33" s="84">
        <f t="shared" si="17"/>
        <v>0</v>
      </c>
      <c r="Z33" s="132">
        <v>0</v>
      </c>
      <c r="AA33" s="132">
        <v>0</v>
      </c>
      <c r="AB33" s="132">
        <v>0</v>
      </c>
      <c r="AC33" s="84">
        <f t="shared" si="18"/>
        <v>0</v>
      </c>
      <c r="AD33" s="132">
        <v>0</v>
      </c>
      <c r="AE33" s="132">
        <v>0</v>
      </c>
      <c r="AF33" s="132">
        <v>0</v>
      </c>
      <c r="AG33" s="84">
        <f t="shared" si="19"/>
        <v>0</v>
      </c>
      <c r="AH33" s="132">
        <v>0</v>
      </c>
      <c r="AI33" s="132">
        <v>0</v>
      </c>
      <c r="AJ33" s="132">
        <v>0</v>
      </c>
      <c r="AK33" s="84">
        <f t="shared" si="20"/>
        <v>0</v>
      </c>
      <c r="AL33" s="132">
        <v>0</v>
      </c>
      <c r="AM33" s="132">
        <v>0</v>
      </c>
      <c r="AN33" s="132">
        <v>0</v>
      </c>
      <c r="AO33" s="84">
        <f t="shared" si="21"/>
        <v>0</v>
      </c>
      <c r="AP33" s="132">
        <v>0</v>
      </c>
      <c r="AQ33" s="132">
        <v>0</v>
      </c>
      <c r="AR33" s="132">
        <v>0</v>
      </c>
      <c r="AS33" s="84">
        <f t="shared" si="22"/>
        <v>0</v>
      </c>
      <c r="AT33" s="132">
        <v>0</v>
      </c>
      <c r="AU33" s="132">
        <v>0</v>
      </c>
      <c r="AV33" s="132">
        <v>0</v>
      </c>
      <c r="AW33" s="84">
        <f t="shared" si="23"/>
        <v>0</v>
      </c>
      <c r="AX33" s="132">
        <v>0</v>
      </c>
      <c r="AY33" s="132">
        <v>0</v>
      </c>
      <c r="AZ33" s="132">
        <v>0</v>
      </c>
      <c r="BA33" s="84">
        <f t="shared" si="24"/>
        <v>0</v>
      </c>
      <c r="BB33" s="64">
        <f t="shared" si="25"/>
        <v>0</v>
      </c>
    </row>
    <row r="34" spans="1:54" ht="15.75" customHeight="1" x14ac:dyDescent="0.25">
      <c r="A34" s="21"/>
      <c r="B34" s="22" t="s">
        <v>233</v>
      </c>
      <c r="C34" s="13" t="s">
        <v>15</v>
      </c>
      <c r="D34" s="231">
        <v>3</v>
      </c>
      <c r="E34" s="25" t="s">
        <v>144</v>
      </c>
      <c r="F34" s="132">
        <v>0</v>
      </c>
      <c r="G34" s="132">
        <v>0</v>
      </c>
      <c r="H34" s="132">
        <v>0</v>
      </c>
      <c r="I34" s="84">
        <f t="shared" si="13"/>
        <v>0</v>
      </c>
      <c r="J34" s="132">
        <v>0</v>
      </c>
      <c r="K34" s="132">
        <v>0</v>
      </c>
      <c r="L34" s="132">
        <v>0</v>
      </c>
      <c r="M34" s="84">
        <f t="shared" si="14"/>
        <v>0</v>
      </c>
      <c r="N34" s="132">
        <v>0</v>
      </c>
      <c r="O34" s="132">
        <v>0</v>
      </c>
      <c r="P34" s="132">
        <v>0</v>
      </c>
      <c r="Q34" s="84">
        <f t="shared" si="15"/>
        <v>0</v>
      </c>
      <c r="R34" s="132">
        <v>0</v>
      </c>
      <c r="S34" s="132">
        <v>0</v>
      </c>
      <c r="T34" s="132">
        <v>0</v>
      </c>
      <c r="U34" s="84">
        <f t="shared" si="16"/>
        <v>0</v>
      </c>
      <c r="V34" s="132">
        <v>0</v>
      </c>
      <c r="W34" s="132">
        <v>0</v>
      </c>
      <c r="X34" s="132">
        <v>0</v>
      </c>
      <c r="Y34" s="84">
        <f t="shared" si="17"/>
        <v>0</v>
      </c>
      <c r="Z34" s="132">
        <v>0</v>
      </c>
      <c r="AA34" s="132">
        <v>0</v>
      </c>
      <c r="AB34" s="132">
        <v>0</v>
      </c>
      <c r="AC34" s="84">
        <f t="shared" si="18"/>
        <v>0</v>
      </c>
      <c r="AD34" s="132">
        <v>0</v>
      </c>
      <c r="AE34" s="132">
        <v>0</v>
      </c>
      <c r="AF34" s="132">
        <v>0</v>
      </c>
      <c r="AG34" s="84">
        <f t="shared" si="19"/>
        <v>0</v>
      </c>
      <c r="AH34" s="132">
        <v>0</v>
      </c>
      <c r="AI34" s="132">
        <v>0</v>
      </c>
      <c r="AJ34" s="132">
        <v>0</v>
      </c>
      <c r="AK34" s="84">
        <f t="shared" si="20"/>
        <v>0</v>
      </c>
      <c r="AL34" s="132">
        <v>0</v>
      </c>
      <c r="AM34" s="132">
        <v>0</v>
      </c>
      <c r="AN34" s="132">
        <v>0</v>
      </c>
      <c r="AO34" s="84">
        <f t="shared" si="21"/>
        <v>0</v>
      </c>
      <c r="AP34" s="132">
        <v>0</v>
      </c>
      <c r="AQ34" s="132">
        <v>0</v>
      </c>
      <c r="AR34" s="132">
        <v>0</v>
      </c>
      <c r="AS34" s="84">
        <f t="shared" si="22"/>
        <v>0</v>
      </c>
      <c r="AT34" s="132">
        <v>0</v>
      </c>
      <c r="AU34" s="132">
        <v>0</v>
      </c>
      <c r="AV34" s="132">
        <v>0</v>
      </c>
      <c r="AW34" s="84">
        <f t="shared" si="23"/>
        <v>0</v>
      </c>
      <c r="AX34" s="132">
        <v>0</v>
      </c>
      <c r="AY34" s="132">
        <v>0</v>
      </c>
      <c r="AZ34" s="132">
        <v>0</v>
      </c>
      <c r="BA34" s="84">
        <f t="shared" si="24"/>
        <v>0</v>
      </c>
      <c r="BB34" s="64">
        <f t="shared" si="25"/>
        <v>0</v>
      </c>
    </row>
    <row r="35" spans="1:54" ht="15.75" customHeight="1" x14ac:dyDescent="0.25">
      <c r="A35" s="13" t="s">
        <v>312</v>
      </c>
      <c r="B35" s="16" t="s">
        <v>313</v>
      </c>
      <c r="C35" s="13" t="s">
        <v>15</v>
      </c>
      <c r="D35" s="231">
        <v>3</v>
      </c>
      <c r="E35" s="25" t="s">
        <v>144</v>
      </c>
      <c r="F35" s="132">
        <v>0</v>
      </c>
      <c r="G35" s="132">
        <v>0</v>
      </c>
      <c r="H35" s="132">
        <v>0</v>
      </c>
      <c r="I35" s="84">
        <f t="shared" si="13"/>
        <v>0</v>
      </c>
      <c r="J35" s="132">
        <v>0</v>
      </c>
      <c r="K35" s="132">
        <v>0</v>
      </c>
      <c r="L35" s="132">
        <v>0</v>
      </c>
      <c r="M35" s="84">
        <f t="shared" si="14"/>
        <v>0</v>
      </c>
      <c r="N35" s="132">
        <v>0</v>
      </c>
      <c r="O35" s="132">
        <v>0</v>
      </c>
      <c r="P35" s="132">
        <v>0</v>
      </c>
      <c r="Q35" s="84">
        <f t="shared" si="15"/>
        <v>0</v>
      </c>
      <c r="R35" s="132">
        <v>0</v>
      </c>
      <c r="S35" s="132">
        <v>0</v>
      </c>
      <c r="T35" s="132">
        <v>0</v>
      </c>
      <c r="U35" s="84">
        <f t="shared" si="16"/>
        <v>0</v>
      </c>
      <c r="V35" s="132">
        <v>0</v>
      </c>
      <c r="W35" s="132">
        <v>0</v>
      </c>
      <c r="X35" s="132">
        <v>0</v>
      </c>
      <c r="Y35" s="84">
        <f t="shared" si="17"/>
        <v>0</v>
      </c>
      <c r="Z35" s="132">
        <v>0</v>
      </c>
      <c r="AA35" s="132">
        <v>0</v>
      </c>
      <c r="AB35" s="132">
        <v>0</v>
      </c>
      <c r="AC35" s="84">
        <f t="shared" si="18"/>
        <v>0</v>
      </c>
      <c r="AD35" s="132">
        <v>0</v>
      </c>
      <c r="AE35" s="132">
        <v>0</v>
      </c>
      <c r="AF35" s="132">
        <v>0</v>
      </c>
      <c r="AG35" s="84">
        <f t="shared" si="19"/>
        <v>0</v>
      </c>
      <c r="AH35" s="132">
        <v>0</v>
      </c>
      <c r="AI35" s="132">
        <v>0</v>
      </c>
      <c r="AJ35" s="132">
        <v>0</v>
      </c>
      <c r="AK35" s="84">
        <f t="shared" si="20"/>
        <v>0</v>
      </c>
      <c r="AL35" s="132">
        <v>0</v>
      </c>
      <c r="AM35" s="132">
        <v>0</v>
      </c>
      <c r="AN35" s="132">
        <v>0</v>
      </c>
      <c r="AO35" s="84">
        <f t="shared" si="21"/>
        <v>0</v>
      </c>
      <c r="AP35" s="132">
        <v>0</v>
      </c>
      <c r="AQ35" s="132">
        <v>0</v>
      </c>
      <c r="AR35" s="132">
        <v>0</v>
      </c>
      <c r="AS35" s="84">
        <f t="shared" si="22"/>
        <v>0</v>
      </c>
      <c r="AT35" s="132">
        <v>0</v>
      </c>
      <c r="AU35" s="132">
        <v>0</v>
      </c>
      <c r="AV35" s="132">
        <v>0</v>
      </c>
      <c r="AW35" s="84">
        <f t="shared" si="23"/>
        <v>0</v>
      </c>
      <c r="AX35" s="132">
        <v>0</v>
      </c>
      <c r="AY35" s="132">
        <v>0</v>
      </c>
      <c r="AZ35" s="132">
        <v>0</v>
      </c>
      <c r="BA35" s="84">
        <f t="shared" si="24"/>
        <v>0</v>
      </c>
      <c r="BB35" s="64">
        <f t="shared" si="25"/>
        <v>0</v>
      </c>
    </row>
    <row r="36" spans="1:54" ht="15.75" customHeight="1" x14ac:dyDescent="0.25">
      <c r="A36" s="13" t="s">
        <v>354</v>
      </c>
      <c r="B36" s="16" t="s">
        <v>355</v>
      </c>
      <c r="C36" s="13" t="s">
        <v>15</v>
      </c>
      <c r="D36" s="231">
        <v>3</v>
      </c>
      <c r="E36" s="25" t="s">
        <v>144</v>
      </c>
      <c r="F36" s="132">
        <v>0</v>
      </c>
      <c r="G36" s="132">
        <v>0</v>
      </c>
      <c r="H36" s="132">
        <v>0</v>
      </c>
      <c r="I36" s="84">
        <f t="shared" si="13"/>
        <v>0</v>
      </c>
      <c r="J36" s="132">
        <v>0</v>
      </c>
      <c r="K36" s="132">
        <v>0</v>
      </c>
      <c r="L36" s="132">
        <v>0</v>
      </c>
      <c r="M36" s="84">
        <f t="shared" si="14"/>
        <v>0</v>
      </c>
      <c r="N36" s="132">
        <v>0</v>
      </c>
      <c r="O36" s="132">
        <v>0</v>
      </c>
      <c r="P36" s="132">
        <v>0</v>
      </c>
      <c r="Q36" s="84">
        <f t="shared" si="15"/>
        <v>0</v>
      </c>
      <c r="R36" s="132">
        <v>0</v>
      </c>
      <c r="S36" s="132">
        <v>0</v>
      </c>
      <c r="T36" s="132">
        <v>0</v>
      </c>
      <c r="U36" s="84">
        <f t="shared" si="16"/>
        <v>0</v>
      </c>
      <c r="V36" s="132">
        <v>0</v>
      </c>
      <c r="W36" s="132">
        <v>0</v>
      </c>
      <c r="X36" s="132">
        <v>0</v>
      </c>
      <c r="Y36" s="84">
        <f t="shared" si="17"/>
        <v>0</v>
      </c>
      <c r="Z36" s="132">
        <v>0</v>
      </c>
      <c r="AA36" s="132">
        <v>0</v>
      </c>
      <c r="AB36" s="132">
        <v>0</v>
      </c>
      <c r="AC36" s="84">
        <f t="shared" si="18"/>
        <v>0</v>
      </c>
      <c r="AD36" s="132">
        <v>0</v>
      </c>
      <c r="AE36" s="132">
        <v>0</v>
      </c>
      <c r="AF36" s="132">
        <v>0</v>
      </c>
      <c r="AG36" s="84">
        <f t="shared" si="19"/>
        <v>0</v>
      </c>
      <c r="AH36" s="132">
        <v>0</v>
      </c>
      <c r="AI36" s="132">
        <v>0</v>
      </c>
      <c r="AJ36" s="132">
        <v>0</v>
      </c>
      <c r="AK36" s="84">
        <f t="shared" si="20"/>
        <v>0</v>
      </c>
      <c r="AL36" s="132">
        <v>0</v>
      </c>
      <c r="AM36" s="132">
        <v>0</v>
      </c>
      <c r="AN36" s="132">
        <v>0</v>
      </c>
      <c r="AO36" s="84">
        <f t="shared" si="21"/>
        <v>0</v>
      </c>
      <c r="AP36" s="132">
        <v>0</v>
      </c>
      <c r="AQ36" s="132">
        <v>0</v>
      </c>
      <c r="AR36" s="132">
        <v>0</v>
      </c>
      <c r="AS36" s="84">
        <f t="shared" si="22"/>
        <v>0</v>
      </c>
      <c r="AT36" s="132">
        <v>0</v>
      </c>
      <c r="AU36" s="132">
        <v>0</v>
      </c>
      <c r="AV36" s="132">
        <v>0</v>
      </c>
      <c r="AW36" s="84">
        <f t="shared" si="23"/>
        <v>0</v>
      </c>
      <c r="AX36" s="132">
        <v>0</v>
      </c>
      <c r="AY36" s="132">
        <v>0</v>
      </c>
      <c r="AZ36" s="132">
        <v>0</v>
      </c>
      <c r="BA36" s="84">
        <f t="shared" si="24"/>
        <v>0</v>
      </c>
      <c r="BB36" s="64">
        <f t="shared" si="25"/>
        <v>0</v>
      </c>
    </row>
    <row r="37" spans="1:54" x14ac:dyDescent="0.25">
      <c r="A37" s="13" t="s">
        <v>294</v>
      </c>
      <c r="B37" s="16" t="s">
        <v>295</v>
      </c>
      <c r="C37" s="13" t="s">
        <v>15</v>
      </c>
      <c r="D37" s="231">
        <v>3</v>
      </c>
      <c r="E37" s="25" t="s">
        <v>144</v>
      </c>
      <c r="F37" s="132">
        <v>0</v>
      </c>
      <c r="G37" s="132">
        <v>0</v>
      </c>
      <c r="H37" s="132">
        <v>0</v>
      </c>
      <c r="I37" s="84">
        <f t="shared" si="13"/>
        <v>0</v>
      </c>
      <c r="J37" s="132">
        <v>0</v>
      </c>
      <c r="K37" s="132">
        <v>0</v>
      </c>
      <c r="L37" s="132">
        <v>0</v>
      </c>
      <c r="M37" s="84">
        <f t="shared" si="14"/>
        <v>0</v>
      </c>
      <c r="N37" s="132">
        <v>0</v>
      </c>
      <c r="O37" s="132">
        <v>0</v>
      </c>
      <c r="P37" s="132">
        <v>0</v>
      </c>
      <c r="Q37" s="84">
        <f t="shared" si="15"/>
        <v>0</v>
      </c>
      <c r="R37" s="132">
        <v>0</v>
      </c>
      <c r="S37" s="132">
        <v>0</v>
      </c>
      <c r="T37" s="132">
        <v>0</v>
      </c>
      <c r="U37" s="84">
        <f t="shared" si="16"/>
        <v>0</v>
      </c>
      <c r="V37" s="132">
        <v>0</v>
      </c>
      <c r="W37" s="132">
        <v>0</v>
      </c>
      <c r="X37" s="132">
        <v>0</v>
      </c>
      <c r="Y37" s="84">
        <f t="shared" si="17"/>
        <v>0</v>
      </c>
      <c r="Z37" s="132">
        <v>0</v>
      </c>
      <c r="AA37" s="132">
        <v>0</v>
      </c>
      <c r="AB37" s="132">
        <v>0</v>
      </c>
      <c r="AC37" s="84">
        <f t="shared" si="18"/>
        <v>0</v>
      </c>
      <c r="AD37" s="132">
        <v>0</v>
      </c>
      <c r="AE37" s="132">
        <v>0</v>
      </c>
      <c r="AF37" s="132">
        <v>0</v>
      </c>
      <c r="AG37" s="84">
        <f t="shared" si="19"/>
        <v>0</v>
      </c>
      <c r="AH37" s="132">
        <v>0</v>
      </c>
      <c r="AI37" s="132">
        <v>0</v>
      </c>
      <c r="AJ37" s="132">
        <v>0</v>
      </c>
      <c r="AK37" s="84">
        <f t="shared" si="20"/>
        <v>0</v>
      </c>
      <c r="AL37" s="132">
        <v>0</v>
      </c>
      <c r="AM37" s="132">
        <v>0</v>
      </c>
      <c r="AN37" s="132">
        <v>0</v>
      </c>
      <c r="AO37" s="84">
        <f t="shared" si="21"/>
        <v>0</v>
      </c>
      <c r="AP37" s="132">
        <v>0</v>
      </c>
      <c r="AQ37" s="132">
        <v>0</v>
      </c>
      <c r="AR37" s="132">
        <v>0</v>
      </c>
      <c r="AS37" s="84">
        <f t="shared" si="22"/>
        <v>0</v>
      </c>
      <c r="AT37" s="132">
        <v>0</v>
      </c>
      <c r="AU37" s="132">
        <v>0</v>
      </c>
      <c r="AV37" s="132">
        <v>0</v>
      </c>
      <c r="AW37" s="84">
        <f t="shared" si="23"/>
        <v>0</v>
      </c>
      <c r="AX37" s="132">
        <v>0</v>
      </c>
      <c r="AY37" s="132">
        <v>0</v>
      </c>
      <c r="AZ37" s="132">
        <v>0</v>
      </c>
      <c r="BA37" s="84">
        <f t="shared" si="24"/>
        <v>0</v>
      </c>
      <c r="BB37" s="64">
        <f t="shared" si="25"/>
        <v>0</v>
      </c>
    </row>
    <row r="38" spans="1:54" x14ac:dyDescent="0.25">
      <c r="A38" s="13" t="s">
        <v>340</v>
      </c>
      <c r="B38" s="16" t="s">
        <v>341</v>
      </c>
      <c r="C38" s="13" t="s">
        <v>15</v>
      </c>
      <c r="D38" s="231">
        <v>3</v>
      </c>
      <c r="E38" s="25" t="s">
        <v>144</v>
      </c>
      <c r="F38" s="132">
        <v>0</v>
      </c>
      <c r="G38" s="132">
        <v>0</v>
      </c>
      <c r="H38" s="132">
        <v>0</v>
      </c>
      <c r="I38" s="84">
        <f t="shared" si="13"/>
        <v>0</v>
      </c>
      <c r="J38" s="132">
        <v>0</v>
      </c>
      <c r="K38" s="132">
        <v>0</v>
      </c>
      <c r="L38" s="132">
        <v>0</v>
      </c>
      <c r="M38" s="84">
        <f t="shared" si="14"/>
        <v>0</v>
      </c>
      <c r="N38" s="132">
        <v>0</v>
      </c>
      <c r="O38" s="132">
        <v>0</v>
      </c>
      <c r="P38" s="132">
        <v>0</v>
      </c>
      <c r="Q38" s="84">
        <f t="shared" si="15"/>
        <v>0</v>
      </c>
      <c r="R38" s="132">
        <v>0</v>
      </c>
      <c r="S38" s="132">
        <v>0</v>
      </c>
      <c r="T38" s="132">
        <v>0</v>
      </c>
      <c r="U38" s="84">
        <f t="shared" si="16"/>
        <v>0</v>
      </c>
      <c r="V38" s="132">
        <v>0</v>
      </c>
      <c r="W38" s="132">
        <v>0</v>
      </c>
      <c r="X38" s="132">
        <v>0</v>
      </c>
      <c r="Y38" s="84">
        <f t="shared" si="17"/>
        <v>0</v>
      </c>
      <c r="Z38" s="132">
        <v>0</v>
      </c>
      <c r="AA38" s="132">
        <v>0</v>
      </c>
      <c r="AB38" s="132">
        <v>0</v>
      </c>
      <c r="AC38" s="84">
        <f t="shared" si="18"/>
        <v>0</v>
      </c>
      <c r="AD38" s="132">
        <v>0</v>
      </c>
      <c r="AE38" s="132">
        <v>0</v>
      </c>
      <c r="AF38" s="132">
        <v>0</v>
      </c>
      <c r="AG38" s="84">
        <f t="shared" si="19"/>
        <v>0</v>
      </c>
      <c r="AH38" s="132">
        <v>0</v>
      </c>
      <c r="AI38" s="132">
        <v>0</v>
      </c>
      <c r="AJ38" s="132">
        <v>0</v>
      </c>
      <c r="AK38" s="84">
        <f t="shared" si="20"/>
        <v>0</v>
      </c>
      <c r="AL38" s="132">
        <v>0</v>
      </c>
      <c r="AM38" s="132">
        <v>0</v>
      </c>
      <c r="AN38" s="132">
        <v>0</v>
      </c>
      <c r="AO38" s="84">
        <f t="shared" si="21"/>
        <v>0</v>
      </c>
      <c r="AP38" s="132">
        <v>0</v>
      </c>
      <c r="AQ38" s="132">
        <v>0</v>
      </c>
      <c r="AR38" s="132">
        <v>0</v>
      </c>
      <c r="AS38" s="84">
        <f t="shared" si="22"/>
        <v>0</v>
      </c>
      <c r="AT38" s="132">
        <v>0</v>
      </c>
      <c r="AU38" s="132">
        <v>0</v>
      </c>
      <c r="AV38" s="132">
        <v>0</v>
      </c>
      <c r="AW38" s="84">
        <f t="shared" si="23"/>
        <v>0</v>
      </c>
      <c r="AX38" s="132">
        <v>0</v>
      </c>
      <c r="AY38" s="132">
        <v>0</v>
      </c>
      <c r="AZ38" s="132">
        <v>0</v>
      </c>
      <c r="BA38" s="84">
        <f t="shared" si="24"/>
        <v>0</v>
      </c>
      <c r="BB38" s="64">
        <f t="shared" si="25"/>
        <v>0</v>
      </c>
    </row>
    <row r="39" spans="1:54" x14ac:dyDescent="0.25">
      <c r="A39" s="13" t="s">
        <v>306</v>
      </c>
      <c r="B39" s="16" t="s">
        <v>307</v>
      </c>
      <c r="C39" s="13" t="s">
        <v>15</v>
      </c>
      <c r="D39" s="231">
        <v>3</v>
      </c>
      <c r="E39" s="25" t="s">
        <v>144</v>
      </c>
      <c r="F39" s="132">
        <v>0</v>
      </c>
      <c r="G39" s="132">
        <v>0</v>
      </c>
      <c r="H39" s="132">
        <v>0</v>
      </c>
      <c r="I39" s="84">
        <f t="shared" si="13"/>
        <v>0</v>
      </c>
      <c r="J39" s="132">
        <v>0</v>
      </c>
      <c r="K39" s="132">
        <v>0</v>
      </c>
      <c r="L39" s="132">
        <v>0</v>
      </c>
      <c r="M39" s="84">
        <f t="shared" si="14"/>
        <v>0</v>
      </c>
      <c r="N39" s="132">
        <v>0</v>
      </c>
      <c r="O39" s="132">
        <v>0</v>
      </c>
      <c r="P39" s="132">
        <v>0</v>
      </c>
      <c r="Q39" s="84">
        <f t="shared" si="15"/>
        <v>0</v>
      </c>
      <c r="R39" s="132">
        <v>0</v>
      </c>
      <c r="S39" s="132">
        <v>0</v>
      </c>
      <c r="T39" s="132">
        <v>0</v>
      </c>
      <c r="U39" s="84">
        <f t="shared" si="16"/>
        <v>0</v>
      </c>
      <c r="V39" s="132">
        <v>0</v>
      </c>
      <c r="W39" s="132">
        <v>0</v>
      </c>
      <c r="X39" s="132">
        <v>0</v>
      </c>
      <c r="Y39" s="84">
        <f t="shared" si="17"/>
        <v>0</v>
      </c>
      <c r="Z39" s="132">
        <v>0</v>
      </c>
      <c r="AA39" s="132">
        <v>0</v>
      </c>
      <c r="AB39" s="132">
        <v>0</v>
      </c>
      <c r="AC39" s="84">
        <f t="shared" si="18"/>
        <v>0</v>
      </c>
      <c r="AD39" s="132">
        <v>0</v>
      </c>
      <c r="AE39" s="132">
        <v>0</v>
      </c>
      <c r="AF39" s="132">
        <v>0</v>
      </c>
      <c r="AG39" s="84">
        <f t="shared" si="19"/>
        <v>0</v>
      </c>
      <c r="AH39" s="132">
        <v>0</v>
      </c>
      <c r="AI39" s="132">
        <v>0</v>
      </c>
      <c r="AJ39" s="132">
        <v>0</v>
      </c>
      <c r="AK39" s="84">
        <f t="shared" si="20"/>
        <v>0</v>
      </c>
      <c r="AL39" s="132">
        <v>0</v>
      </c>
      <c r="AM39" s="132">
        <v>0</v>
      </c>
      <c r="AN39" s="132">
        <v>0</v>
      </c>
      <c r="AO39" s="84">
        <f t="shared" si="21"/>
        <v>0</v>
      </c>
      <c r="AP39" s="132">
        <v>0</v>
      </c>
      <c r="AQ39" s="132">
        <v>0</v>
      </c>
      <c r="AR39" s="132">
        <v>0</v>
      </c>
      <c r="AS39" s="84">
        <f t="shared" si="22"/>
        <v>0</v>
      </c>
      <c r="AT39" s="132">
        <v>0</v>
      </c>
      <c r="AU39" s="132">
        <v>0</v>
      </c>
      <c r="AV39" s="132">
        <v>0</v>
      </c>
      <c r="AW39" s="84">
        <f t="shared" si="23"/>
        <v>0</v>
      </c>
      <c r="AX39" s="132">
        <v>0</v>
      </c>
      <c r="AY39" s="132">
        <v>0</v>
      </c>
      <c r="AZ39" s="132">
        <v>0</v>
      </c>
      <c r="BA39" s="84">
        <f t="shared" si="24"/>
        <v>0</v>
      </c>
      <c r="BB39" s="64">
        <f t="shared" si="25"/>
        <v>0</v>
      </c>
    </row>
    <row r="40" spans="1:54" x14ac:dyDescent="0.25">
      <c r="A40" s="13" t="s">
        <v>346</v>
      </c>
      <c r="B40" s="16" t="s">
        <v>347</v>
      </c>
      <c r="C40" s="13" t="s">
        <v>15</v>
      </c>
      <c r="D40" s="231">
        <v>3</v>
      </c>
      <c r="E40" s="25" t="s">
        <v>144</v>
      </c>
      <c r="F40" s="132">
        <v>0</v>
      </c>
      <c r="G40" s="132">
        <v>0</v>
      </c>
      <c r="H40" s="132">
        <v>0</v>
      </c>
      <c r="I40" s="84">
        <f t="shared" si="13"/>
        <v>0</v>
      </c>
      <c r="J40" s="132">
        <v>0</v>
      </c>
      <c r="K40" s="132">
        <v>0</v>
      </c>
      <c r="L40" s="132">
        <v>0</v>
      </c>
      <c r="M40" s="84">
        <f t="shared" si="14"/>
        <v>0</v>
      </c>
      <c r="N40" s="132">
        <v>0</v>
      </c>
      <c r="O40" s="132">
        <v>0</v>
      </c>
      <c r="P40" s="132">
        <v>0</v>
      </c>
      <c r="Q40" s="84">
        <f t="shared" si="15"/>
        <v>0</v>
      </c>
      <c r="R40" s="132">
        <v>0</v>
      </c>
      <c r="S40" s="132">
        <v>0</v>
      </c>
      <c r="T40" s="132">
        <v>0</v>
      </c>
      <c r="U40" s="84">
        <f t="shared" si="16"/>
        <v>0</v>
      </c>
      <c r="V40" s="132">
        <v>0</v>
      </c>
      <c r="W40" s="132">
        <v>0</v>
      </c>
      <c r="X40" s="132">
        <v>0</v>
      </c>
      <c r="Y40" s="84">
        <f t="shared" si="17"/>
        <v>0</v>
      </c>
      <c r="Z40" s="132">
        <v>0</v>
      </c>
      <c r="AA40" s="132">
        <v>0</v>
      </c>
      <c r="AB40" s="132">
        <v>0</v>
      </c>
      <c r="AC40" s="84">
        <f t="shared" si="18"/>
        <v>0</v>
      </c>
      <c r="AD40" s="132">
        <v>0</v>
      </c>
      <c r="AE40" s="132">
        <v>0</v>
      </c>
      <c r="AF40" s="132">
        <v>0</v>
      </c>
      <c r="AG40" s="84">
        <f t="shared" si="19"/>
        <v>0</v>
      </c>
      <c r="AH40" s="132">
        <v>0</v>
      </c>
      <c r="AI40" s="132">
        <v>0</v>
      </c>
      <c r="AJ40" s="132">
        <v>0</v>
      </c>
      <c r="AK40" s="84">
        <f t="shared" si="20"/>
        <v>0</v>
      </c>
      <c r="AL40" s="132">
        <v>0</v>
      </c>
      <c r="AM40" s="132">
        <v>0</v>
      </c>
      <c r="AN40" s="132">
        <v>0</v>
      </c>
      <c r="AO40" s="84">
        <f t="shared" si="21"/>
        <v>0</v>
      </c>
      <c r="AP40" s="132">
        <v>0</v>
      </c>
      <c r="AQ40" s="132">
        <v>0</v>
      </c>
      <c r="AR40" s="132">
        <v>0</v>
      </c>
      <c r="AS40" s="84">
        <f t="shared" si="22"/>
        <v>0</v>
      </c>
      <c r="AT40" s="132">
        <v>0</v>
      </c>
      <c r="AU40" s="132">
        <v>0</v>
      </c>
      <c r="AV40" s="132">
        <v>0</v>
      </c>
      <c r="AW40" s="84">
        <f t="shared" si="23"/>
        <v>0</v>
      </c>
      <c r="AX40" s="132">
        <v>0</v>
      </c>
      <c r="AY40" s="132">
        <v>0</v>
      </c>
      <c r="AZ40" s="132">
        <v>0</v>
      </c>
      <c r="BA40" s="84">
        <f t="shared" si="24"/>
        <v>0</v>
      </c>
      <c r="BB40" s="64">
        <f t="shared" si="25"/>
        <v>0</v>
      </c>
    </row>
    <row r="41" spans="1:54" x14ac:dyDescent="0.25">
      <c r="A41" s="13" t="s">
        <v>326</v>
      </c>
      <c r="B41" s="16" t="s">
        <v>327</v>
      </c>
      <c r="C41" s="13" t="s">
        <v>15</v>
      </c>
      <c r="D41" s="231">
        <v>3</v>
      </c>
      <c r="E41" s="25" t="s">
        <v>144</v>
      </c>
      <c r="F41" s="132">
        <v>0</v>
      </c>
      <c r="G41" s="132">
        <v>0</v>
      </c>
      <c r="H41" s="132">
        <v>0</v>
      </c>
      <c r="I41" s="84">
        <f t="shared" si="13"/>
        <v>0</v>
      </c>
      <c r="J41" s="132">
        <v>0</v>
      </c>
      <c r="K41" s="132">
        <v>0</v>
      </c>
      <c r="L41" s="132">
        <v>0</v>
      </c>
      <c r="M41" s="84">
        <f t="shared" si="14"/>
        <v>0</v>
      </c>
      <c r="N41" s="132">
        <v>0</v>
      </c>
      <c r="O41" s="132">
        <v>0</v>
      </c>
      <c r="P41" s="132">
        <v>0</v>
      </c>
      <c r="Q41" s="84">
        <f t="shared" si="15"/>
        <v>0</v>
      </c>
      <c r="R41" s="132">
        <v>0</v>
      </c>
      <c r="S41" s="132">
        <v>0</v>
      </c>
      <c r="T41" s="132">
        <v>0</v>
      </c>
      <c r="U41" s="84">
        <f t="shared" si="16"/>
        <v>0</v>
      </c>
      <c r="V41" s="132">
        <v>0</v>
      </c>
      <c r="W41" s="132">
        <v>0</v>
      </c>
      <c r="X41" s="132">
        <v>0</v>
      </c>
      <c r="Y41" s="84">
        <f t="shared" si="17"/>
        <v>0</v>
      </c>
      <c r="Z41" s="132">
        <v>0</v>
      </c>
      <c r="AA41" s="132">
        <v>0</v>
      </c>
      <c r="AB41" s="132">
        <v>0</v>
      </c>
      <c r="AC41" s="84">
        <f t="shared" si="18"/>
        <v>0</v>
      </c>
      <c r="AD41" s="132">
        <v>0</v>
      </c>
      <c r="AE41" s="132">
        <v>0</v>
      </c>
      <c r="AF41" s="132">
        <v>0</v>
      </c>
      <c r="AG41" s="84">
        <f t="shared" si="19"/>
        <v>0</v>
      </c>
      <c r="AH41" s="132">
        <v>0</v>
      </c>
      <c r="AI41" s="132">
        <v>0</v>
      </c>
      <c r="AJ41" s="132">
        <v>0</v>
      </c>
      <c r="AK41" s="84">
        <f t="shared" si="20"/>
        <v>0</v>
      </c>
      <c r="AL41" s="132">
        <v>0</v>
      </c>
      <c r="AM41" s="132">
        <v>0</v>
      </c>
      <c r="AN41" s="132">
        <v>0</v>
      </c>
      <c r="AO41" s="84">
        <f t="shared" si="21"/>
        <v>0</v>
      </c>
      <c r="AP41" s="132">
        <v>0</v>
      </c>
      <c r="AQ41" s="132">
        <v>0</v>
      </c>
      <c r="AR41" s="132">
        <v>0</v>
      </c>
      <c r="AS41" s="84">
        <f t="shared" si="22"/>
        <v>0</v>
      </c>
      <c r="AT41" s="132">
        <v>0</v>
      </c>
      <c r="AU41" s="132">
        <v>0</v>
      </c>
      <c r="AV41" s="132">
        <v>0</v>
      </c>
      <c r="AW41" s="84">
        <f t="shared" si="23"/>
        <v>0</v>
      </c>
      <c r="AX41" s="132">
        <v>0</v>
      </c>
      <c r="AY41" s="132">
        <v>0</v>
      </c>
      <c r="AZ41" s="132">
        <v>0</v>
      </c>
      <c r="BA41" s="84">
        <f t="shared" si="24"/>
        <v>0</v>
      </c>
      <c r="BB41" s="64">
        <f t="shared" si="25"/>
        <v>0</v>
      </c>
    </row>
    <row r="42" spans="1:54" x14ac:dyDescent="0.25">
      <c r="A42" s="13" t="s">
        <v>316</v>
      </c>
      <c r="B42" s="16" t="s">
        <v>317</v>
      </c>
      <c r="C42" s="13" t="s">
        <v>15</v>
      </c>
      <c r="D42" s="231">
        <v>3</v>
      </c>
      <c r="E42" s="25" t="s">
        <v>144</v>
      </c>
      <c r="F42" s="132">
        <v>0</v>
      </c>
      <c r="G42" s="132">
        <v>0</v>
      </c>
      <c r="H42" s="132">
        <v>0</v>
      </c>
      <c r="I42" s="84">
        <f t="shared" si="13"/>
        <v>0</v>
      </c>
      <c r="J42" s="132">
        <v>0</v>
      </c>
      <c r="K42" s="132">
        <v>0</v>
      </c>
      <c r="L42" s="132">
        <v>0</v>
      </c>
      <c r="M42" s="84">
        <f t="shared" si="14"/>
        <v>0</v>
      </c>
      <c r="N42" s="132">
        <v>0</v>
      </c>
      <c r="O42" s="132">
        <v>0</v>
      </c>
      <c r="P42" s="132">
        <v>0</v>
      </c>
      <c r="Q42" s="84">
        <f t="shared" si="15"/>
        <v>0</v>
      </c>
      <c r="R42" s="132">
        <v>0</v>
      </c>
      <c r="S42" s="132">
        <v>0</v>
      </c>
      <c r="T42" s="132">
        <v>0</v>
      </c>
      <c r="U42" s="84">
        <f t="shared" si="16"/>
        <v>0</v>
      </c>
      <c r="V42" s="132">
        <v>0</v>
      </c>
      <c r="W42" s="132">
        <v>0</v>
      </c>
      <c r="X42" s="132">
        <v>0</v>
      </c>
      <c r="Y42" s="84">
        <f t="shared" si="17"/>
        <v>0</v>
      </c>
      <c r="Z42" s="132">
        <v>0</v>
      </c>
      <c r="AA42" s="132">
        <v>0</v>
      </c>
      <c r="AB42" s="132">
        <v>0</v>
      </c>
      <c r="AC42" s="84">
        <f t="shared" si="18"/>
        <v>0</v>
      </c>
      <c r="AD42" s="132">
        <v>0</v>
      </c>
      <c r="AE42" s="132">
        <v>0</v>
      </c>
      <c r="AF42" s="132">
        <v>0</v>
      </c>
      <c r="AG42" s="84">
        <f t="shared" si="19"/>
        <v>0</v>
      </c>
      <c r="AH42" s="132">
        <v>0</v>
      </c>
      <c r="AI42" s="132">
        <v>0</v>
      </c>
      <c r="AJ42" s="132">
        <v>0</v>
      </c>
      <c r="AK42" s="84">
        <f t="shared" si="20"/>
        <v>0</v>
      </c>
      <c r="AL42" s="132">
        <v>0</v>
      </c>
      <c r="AM42" s="132">
        <v>0</v>
      </c>
      <c r="AN42" s="132">
        <v>0</v>
      </c>
      <c r="AO42" s="84">
        <f t="shared" si="21"/>
        <v>0</v>
      </c>
      <c r="AP42" s="132">
        <v>0</v>
      </c>
      <c r="AQ42" s="132">
        <v>0</v>
      </c>
      <c r="AR42" s="132">
        <v>0</v>
      </c>
      <c r="AS42" s="84">
        <f t="shared" si="22"/>
        <v>0</v>
      </c>
      <c r="AT42" s="132">
        <v>0</v>
      </c>
      <c r="AU42" s="132">
        <v>0</v>
      </c>
      <c r="AV42" s="132">
        <v>0</v>
      </c>
      <c r="AW42" s="84">
        <f t="shared" si="23"/>
        <v>0</v>
      </c>
      <c r="AX42" s="132">
        <v>0</v>
      </c>
      <c r="AY42" s="132">
        <v>0</v>
      </c>
      <c r="AZ42" s="132">
        <v>0</v>
      </c>
      <c r="BA42" s="84">
        <f t="shared" si="24"/>
        <v>0</v>
      </c>
      <c r="BB42" s="64">
        <f t="shared" si="25"/>
        <v>0</v>
      </c>
    </row>
    <row r="43" spans="1:54" x14ac:dyDescent="0.25">
      <c r="A43" s="13" t="s">
        <v>304</v>
      </c>
      <c r="B43" s="16" t="s">
        <v>305</v>
      </c>
      <c r="C43" s="13" t="s">
        <v>15</v>
      </c>
      <c r="D43" s="231">
        <v>3</v>
      </c>
      <c r="E43" s="25" t="s">
        <v>144</v>
      </c>
      <c r="F43" s="132">
        <v>0</v>
      </c>
      <c r="G43" s="132">
        <v>0</v>
      </c>
      <c r="H43" s="132">
        <v>0</v>
      </c>
      <c r="I43" s="84">
        <f t="shared" si="13"/>
        <v>0</v>
      </c>
      <c r="J43" s="132">
        <v>0</v>
      </c>
      <c r="K43" s="132">
        <v>0</v>
      </c>
      <c r="L43" s="132">
        <v>0</v>
      </c>
      <c r="M43" s="84">
        <f t="shared" si="14"/>
        <v>0</v>
      </c>
      <c r="N43" s="132">
        <v>0</v>
      </c>
      <c r="O43" s="132">
        <v>0</v>
      </c>
      <c r="P43" s="132">
        <v>0</v>
      </c>
      <c r="Q43" s="84">
        <f t="shared" si="15"/>
        <v>0</v>
      </c>
      <c r="R43" s="132">
        <v>0</v>
      </c>
      <c r="S43" s="132">
        <v>0</v>
      </c>
      <c r="T43" s="132">
        <v>0</v>
      </c>
      <c r="U43" s="84">
        <f t="shared" si="16"/>
        <v>0</v>
      </c>
      <c r="V43" s="132">
        <v>0</v>
      </c>
      <c r="W43" s="132">
        <v>0</v>
      </c>
      <c r="X43" s="132">
        <v>0</v>
      </c>
      <c r="Y43" s="84">
        <f t="shared" si="17"/>
        <v>0</v>
      </c>
      <c r="Z43" s="132">
        <v>0</v>
      </c>
      <c r="AA43" s="132">
        <v>0</v>
      </c>
      <c r="AB43" s="132">
        <v>0</v>
      </c>
      <c r="AC43" s="84">
        <f t="shared" si="18"/>
        <v>0</v>
      </c>
      <c r="AD43" s="132">
        <v>0</v>
      </c>
      <c r="AE43" s="132">
        <v>0</v>
      </c>
      <c r="AF43" s="132">
        <v>0</v>
      </c>
      <c r="AG43" s="84">
        <f t="shared" si="19"/>
        <v>0</v>
      </c>
      <c r="AH43" s="132">
        <v>0</v>
      </c>
      <c r="AI43" s="132">
        <v>0</v>
      </c>
      <c r="AJ43" s="132">
        <v>0</v>
      </c>
      <c r="AK43" s="84">
        <f t="shared" si="20"/>
        <v>0</v>
      </c>
      <c r="AL43" s="132">
        <v>0</v>
      </c>
      <c r="AM43" s="132">
        <v>0</v>
      </c>
      <c r="AN43" s="132">
        <v>0</v>
      </c>
      <c r="AO43" s="84">
        <f t="shared" si="21"/>
        <v>0</v>
      </c>
      <c r="AP43" s="132">
        <v>0</v>
      </c>
      <c r="AQ43" s="132">
        <v>0</v>
      </c>
      <c r="AR43" s="132">
        <v>0</v>
      </c>
      <c r="AS43" s="84">
        <f t="shared" si="22"/>
        <v>0</v>
      </c>
      <c r="AT43" s="132">
        <v>0</v>
      </c>
      <c r="AU43" s="132">
        <v>0</v>
      </c>
      <c r="AV43" s="132">
        <v>0</v>
      </c>
      <c r="AW43" s="84">
        <f t="shared" si="23"/>
        <v>0</v>
      </c>
      <c r="AX43" s="132">
        <v>0</v>
      </c>
      <c r="AY43" s="132">
        <v>0</v>
      </c>
      <c r="AZ43" s="132">
        <v>0</v>
      </c>
      <c r="BA43" s="84">
        <f t="shared" si="24"/>
        <v>0</v>
      </c>
      <c r="BB43" s="64">
        <f t="shared" si="25"/>
        <v>0</v>
      </c>
    </row>
    <row r="44" spans="1:54" x14ac:dyDescent="0.25">
      <c r="A44" s="13" t="s">
        <v>288</v>
      </c>
      <c r="B44" s="16" t="s">
        <v>289</v>
      </c>
      <c r="C44" s="13" t="s">
        <v>15</v>
      </c>
      <c r="D44" s="231">
        <v>3</v>
      </c>
      <c r="E44" s="25" t="s">
        <v>144</v>
      </c>
      <c r="F44" s="132">
        <v>0</v>
      </c>
      <c r="G44" s="132">
        <v>0</v>
      </c>
      <c r="H44" s="132">
        <v>0</v>
      </c>
      <c r="I44" s="84">
        <f t="shared" si="13"/>
        <v>0</v>
      </c>
      <c r="J44" s="132">
        <v>0</v>
      </c>
      <c r="K44" s="132">
        <v>0</v>
      </c>
      <c r="L44" s="132">
        <v>0</v>
      </c>
      <c r="M44" s="84">
        <f t="shared" si="14"/>
        <v>0</v>
      </c>
      <c r="N44" s="132">
        <v>0</v>
      </c>
      <c r="O44" s="132">
        <v>0</v>
      </c>
      <c r="P44" s="132">
        <v>0</v>
      </c>
      <c r="Q44" s="84">
        <f t="shared" si="15"/>
        <v>0</v>
      </c>
      <c r="R44" s="132">
        <v>0</v>
      </c>
      <c r="S44" s="132">
        <v>0</v>
      </c>
      <c r="T44" s="132">
        <v>0</v>
      </c>
      <c r="U44" s="84">
        <f t="shared" si="16"/>
        <v>0</v>
      </c>
      <c r="V44" s="132">
        <v>0</v>
      </c>
      <c r="W44" s="132">
        <v>0</v>
      </c>
      <c r="X44" s="132">
        <v>0</v>
      </c>
      <c r="Y44" s="84">
        <f t="shared" si="17"/>
        <v>0</v>
      </c>
      <c r="Z44" s="132">
        <v>0</v>
      </c>
      <c r="AA44" s="132">
        <v>0</v>
      </c>
      <c r="AB44" s="132">
        <v>0</v>
      </c>
      <c r="AC44" s="84">
        <f t="shared" si="18"/>
        <v>0</v>
      </c>
      <c r="AD44" s="132">
        <v>0</v>
      </c>
      <c r="AE44" s="132">
        <v>0</v>
      </c>
      <c r="AF44" s="132">
        <v>0</v>
      </c>
      <c r="AG44" s="84">
        <f t="shared" si="19"/>
        <v>0</v>
      </c>
      <c r="AH44" s="132">
        <v>0</v>
      </c>
      <c r="AI44" s="132">
        <v>0</v>
      </c>
      <c r="AJ44" s="132">
        <v>0</v>
      </c>
      <c r="AK44" s="84">
        <f t="shared" si="20"/>
        <v>0</v>
      </c>
      <c r="AL44" s="132">
        <v>0</v>
      </c>
      <c r="AM44" s="132">
        <v>0</v>
      </c>
      <c r="AN44" s="132">
        <v>0</v>
      </c>
      <c r="AO44" s="84">
        <f t="shared" si="21"/>
        <v>0</v>
      </c>
      <c r="AP44" s="132">
        <v>0</v>
      </c>
      <c r="AQ44" s="132">
        <v>0</v>
      </c>
      <c r="AR44" s="132">
        <v>0</v>
      </c>
      <c r="AS44" s="84">
        <f t="shared" si="22"/>
        <v>0</v>
      </c>
      <c r="AT44" s="132">
        <v>0</v>
      </c>
      <c r="AU44" s="132">
        <v>0</v>
      </c>
      <c r="AV44" s="132">
        <v>0</v>
      </c>
      <c r="AW44" s="84">
        <f t="shared" si="23"/>
        <v>0</v>
      </c>
      <c r="AX44" s="132">
        <v>0</v>
      </c>
      <c r="AY44" s="132">
        <v>0</v>
      </c>
      <c r="AZ44" s="132">
        <v>0</v>
      </c>
      <c r="BA44" s="84">
        <f t="shared" si="24"/>
        <v>0</v>
      </c>
      <c r="BB44" s="64">
        <f t="shared" si="25"/>
        <v>0</v>
      </c>
    </row>
    <row r="45" spans="1:54" x14ac:dyDescent="0.25">
      <c r="A45" s="13" t="s">
        <v>334</v>
      </c>
      <c r="B45" s="16" t="s">
        <v>335</v>
      </c>
      <c r="C45" s="13" t="s">
        <v>15</v>
      </c>
      <c r="D45" s="231">
        <v>3</v>
      </c>
      <c r="E45" s="25" t="s">
        <v>144</v>
      </c>
      <c r="F45" s="132">
        <v>0</v>
      </c>
      <c r="G45" s="132">
        <v>0</v>
      </c>
      <c r="H45" s="132">
        <v>0</v>
      </c>
      <c r="I45" s="84">
        <f t="shared" si="13"/>
        <v>0</v>
      </c>
      <c r="J45" s="132">
        <v>0</v>
      </c>
      <c r="K45" s="132">
        <v>0</v>
      </c>
      <c r="L45" s="132">
        <v>0</v>
      </c>
      <c r="M45" s="84">
        <f t="shared" si="14"/>
        <v>0</v>
      </c>
      <c r="N45" s="132">
        <v>0</v>
      </c>
      <c r="O45" s="132">
        <v>0</v>
      </c>
      <c r="P45" s="132">
        <v>0</v>
      </c>
      <c r="Q45" s="84">
        <f t="shared" si="15"/>
        <v>0</v>
      </c>
      <c r="R45" s="132">
        <v>0</v>
      </c>
      <c r="S45" s="132">
        <v>0</v>
      </c>
      <c r="T45" s="132">
        <v>0</v>
      </c>
      <c r="U45" s="84">
        <f t="shared" si="16"/>
        <v>0</v>
      </c>
      <c r="V45" s="132">
        <v>0</v>
      </c>
      <c r="W45" s="132">
        <v>0</v>
      </c>
      <c r="X45" s="132">
        <v>0</v>
      </c>
      <c r="Y45" s="84">
        <f t="shared" si="17"/>
        <v>0</v>
      </c>
      <c r="Z45" s="132">
        <v>0</v>
      </c>
      <c r="AA45" s="132">
        <v>0</v>
      </c>
      <c r="AB45" s="132">
        <v>0</v>
      </c>
      <c r="AC45" s="84">
        <f t="shared" si="18"/>
        <v>0</v>
      </c>
      <c r="AD45" s="132">
        <v>0</v>
      </c>
      <c r="AE45" s="132">
        <v>0</v>
      </c>
      <c r="AF45" s="132">
        <v>0</v>
      </c>
      <c r="AG45" s="84">
        <f t="shared" si="19"/>
        <v>0</v>
      </c>
      <c r="AH45" s="132">
        <v>0</v>
      </c>
      <c r="AI45" s="132">
        <v>0</v>
      </c>
      <c r="AJ45" s="132">
        <v>0</v>
      </c>
      <c r="AK45" s="84">
        <f t="shared" si="20"/>
        <v>0</v>
      </c>
      <c r="AL45" s="132">
        <v>0</v>
      </c>
      <c r="AM45" s="132">
        <v>0</v>
      </c>
      <c r="AN45" s="132">
        <v>0</v>
      </c>
      <c r="AO45" s="84">
        <f t="shared" si="21"/>
        <v>0</v>
      </c>
      <c r="AP45" s="132">
        <v>0</v>
      </c>
      <c r="AQ45" s="132">
        <v>0</v>
      </c>
      <c r="AR45" s="132">
        <v>0</v>
      </c>
      <c r="AS45" s="84">
        <f t="shared" si="22"/>
        <v>0</v>
      </c>
      <c r="AT45" s="132">
        <v>0</v>
      </c>
      <c r="AU45" s="132">
        <v>0</v>
      </c>
      <c r="AV45" s="132">
        <v>0</v>
      </c>
      <c r="AW45" s="84">
        <f t="shared" si="23"/>
        <v>0</v>
      </c>
      <c r="AX45" s="132">
        <v>0</v>
      </c>
      <c r="AY45" s="132">
        <v>0</v>
      </c>
      <c r="AZ45" s="132">
        <v>0</v>
      </c>
      <c r="BA45" s="84">
        <f t="shared" si="24"/>
        <v>0</v>
      </c>
      <c r="BB45" s="64">
        <f t="shared" si="25"/>
        <v>0</v>
      </c>
    </row>
    <row r="46" spans="1:54" x14ac:dyDescent="0.25">
      <c r="A46" s="13" t="s">
        <v>342</v>
      </c>
      <c r="B46" s="16" t="s">
        <v>343</v>
      </c>
      <c r="C46" s="13" t="s">
        <v>15</v>
      </c>
      <c r="D46" s="231">
        <v>3</v>
      </c>
      <c r="E46" s="25" t="s">
        <v>144</v>
      </c>
      <c r="F46" s="132">
        <v>0</v>
      </c>
      <c r="G46" s="132">
        <v>0</v>
      </c>
      <c r="H46" s="132">
        <v>0</v>
      </c>
      <c r="I46" s="84">
        <f t="shared" si="13"/>
        <v>0</v>
      </c>
      <c r="J46" s="132">
        <v>0</v>
      </c>
      <c r="K46" s="132">
        <v>0</v>
      </c>
      <c r="L46" s="132">
        <v>0</v>
      </c>
      <c r="M46" s="84">
        <f t="shared" si="14"/>
        <v>0</v>
      </c>
      <c r="N46" s="132">
        <v>0</v>
      </c>
      <c r="O46" s="132">
        <v>0</v>
      </c>
      <c r="P46" s="132">
        <v>0</v>
      </c>
      <c r="Q46" s="84">
        <f t="shared" si="15"/>
        <v>0</v>
      </c>
      <c r="R46" s="132">
        <v>0</v>
      </c>
      <c r="S46" s="132">
        <v>0</v>
      </c>
      <c r="T46" s="132">
        <v>0</v>
      </c>
      <c r="U46" s="84">
        <f t="shared" si="16"/>
        <v>0</v>
      </c>
      <c r="V46" s="132">
        <v>0</v>
      </c>
      <c r="W46" s="132">
        <v>0</v>
      </c>
      <c r="X46" s="132">
        <v>0</v>
      </c>
      <c r="Y46" s="84">
        <f t="shared" si="17"/>
        <v>0</v>
      </c>
      <c r="Z46" s="132">
        <v>0</v>
      </c>
      <c r="AA46" s="132">
        <v>0</v>
      </c>
      <c r="AB46" s="132">
        <v>0</v>
      </c>
      <c r="AC46" s="84">
        <f t="shared" si="18"/>
        <v>0</v>
      </c>
      <c r="AD46" s="132">
        <v>0</v>
      </c>
      <c r="AE46" s="132">
        <v>0</v>
      </c>
      <c r="AF46" s="132">
        <v>0</v>
      </c>
      <c r="AG46" s="84">
        <f t="shared" si="19"/>
        <v>0</v>
      </c>
      <c r="AH46" s="132">
        <v>0</v>
      </c>
      <c r="AI46" s="132">
        <v>0</v>
      </c>
      <c r="AJ46" s="132">
        <v>0</v>
      </c>
      <c r="AK46" s="84">
        <f t="shared" si="20"/>
        <v>0</v>
      </c>
      <c r="AL46" s="132">
        <v>0</v>
      </c>
      <c r="AM46" s="132">
        <v>0</v>
      </c>
      <c r="AN46" s="132">
        <v>0</v>
      </c>
      <c r="AO46" s="84">
        <f t="shared" si="21"/>
        <v>0</v>
      </c>
      <c r="AP46" s="132">
        <v>0</v>
      </c>
      <c r="AQ46" s="132">
        <v>0</v>
      </c>
      <c r="AR46" s="132">
        <v>0</v>
      </c>
      <c r="AS46" s="84">
        <f t="shared" si="22"/>
        <v>0</v>
      </c>
      <c r="AT46" s="132">
        <v>0</v>
      </c>
      <c r="AU46" s="132">
        <v>0</v>
      </c>
      <c r="AV46" s="132">
        <v>0</v>
      </c>
      <c r="AW46" s="84">
        <f t="shared" si="23"/>
        <v>0</v>
      </c>
      <c r="AX46" s="132">
        <v>0</v>
      </c>
      <c r="AY46" s="132">
        <v>0</v>
      </c>
      <c r="AZ46" s="132">
        <v>0</v>
      </c>
      <c r="BA46" s="84">
        <f t="shared" si="24"/>
        <v>0</v>
      </c>
      <c r="BB46" s="64">
        <f t="shared" si="25"/>
        <v>0</v>
      </c>
    </row>
  </sheetData>
  <sortState xmlns:xlrd2="http://schemas.microsoft.com/office/spreadsheetml/2017/richdata2" ref="A1:AX46">
    <sortCondition ref="B3:B46"/>
  </sortState>
  <mergeCells count="12">
    <mergeCell ref="AX1:BA1"/>
    <mergeCell ref="AT1:AW1"/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conditionalFormatting sqref="F3:H46">
    <cfRule type="cellIs" dxfId="2948" priority="34" operator="lessThan">
      <formula>7.9</formula>
    </cfRule>
  </conditionalFormatting>
  <conditionalFormatting sqref="F3:H46">
    <cfRule type="cellIs" dxfId="2947" priority="35" operator="lessThan">
      <formula>7.4</formula>
    </cfRule>
  </conditionalFormatting>
  <conditionalFormatting sqref="F5:H6">
    <cfRule type="cellIs" dxfId="2946" priority="36" operator="lessThan">
      <formula>6.9</formula>
    </cfRule>
  </conditionalFormatting>
  <conditionalFormatting sqref="I3:I46">
    <cfRule type="cellIs" dxfId="2945" priority="37" operator="lessThan">
      <formula>7.9</formula>
    </cfRule>
    <cfRule type="cellIs" dxfId="2944" priority="46" operator="lessThan">
      <formula>6.9</formula>
    </cfRule>
    <cfRule type="cellIs" dxfId="2943" priority="47" operator="lessThan">
      <formula>7.4</formula>
    </cfRule>
    <cfRule type="cellIs" dxfId="2942" priority="48" operator="lessThan">
      <formula>7.9</formula>
    </cfRule>
  </conditionalFormatting>
  <conditionalFormatting sqref="I3:I46">
    <cfRule type="cellIs" dxfId="2941" priority="38" operator="lessThan">
      <formula>6.9</formula>
    </cfRule>
    <cfRule type="cellIs" dxfId="2940" priority="39" operator="lessThan">
      <formula>7.4</formula>
    </cfRule>
    <cfRule type="cellIs" dxfId="2939" priority="40" operator="lessThan">
      <formula>7.9</formula>
    </cfRule>
    <cfRule type="cellIs" dxfId="2938" priority="41" operator="lessThan">
      <formula>6.9</formula>
    </cfRule>
    <cfRule type="cellIs" dxfId="2937" priority="42" operator="lessThan">
      <formula>7.9</formula>
    </cfRule>
    <cfRule type="cellIs" dxfId="2936" priority="43" operator="lessThan">
      <formula>7.4</formula>
    </cfRule>
    <cfRule type="cellIs" dxfId="2935" priority="44" operator="lessThan">
      <formula>6.9</formula>
    </cfRule>
    <cfRule type="cellIs" dxfId="2934" priority="45" operator="lessThan">
      <formula>7.9</formula>
    </cfRule>
  </conditionalFormatting>
  <conditionalFormatting sqref="M3:M46">
    <cfRule type="cellIs" dxfId="2933" priority="49" operator="lessThan">
      <formula>7.9</formula>
    </cfRule>
    <cfRule type="cellIs" dxfId="2932" priority="50" operator="lessThan">
      <formula>6.9</formula>
    </cfRule>
    <cfRule type="cellIs" dxfId="2931" priority="51" operator="lessThan">
      <formula>7.4</formula>
    </cfRule>
    <cfRule type="cellIs" dxfId="2930" priority="52" operator="lessThan">
      <formula>7.9</formula>
    </cfRule>
    <cfRule type="cellIs" dxfId="2929" priority="53" operator="lessThan">
      <formula>6.9</formula>
    </cfRule>
    <cfRule type="cellIs" dxfId="2928" priority="54" operator="lessThan">
      <formula>7.9</formula>
    </cfRule>
    <cfRule type="cellIs" dxfId="2927" priority="55" operator="lessThan">
      <formula>7.4</formula>
    </cfRule>
    <cfRule type="cellIs" dxfId="2926" priority="56" operator="lessThan">
      <formula>6.9</formula>
    </cfRule>
    <cfRule type="cellIs" dxfId="2925" priority="57" operator="lessThan">
      <formula>7.9</formula>
    </cfRule>
    <cfRule type="cellIs" dxfId="2924" priority="58" operator="lessThan">
      <formula>6.9</formula>
    </cfRule>
    <cfRule type="cellIs" dxfId="2923" priority="59" operator="lessThan">
      <formula>7.4</formula>
    </cfRule>
    <cfRule type="cellIs" dxfId="2922" priority="60" operator="lessThan">
      <formula>6.9</formula>
    </cfRule>
    <cfRule type="cellIs" dxfId="2921" priority="61" operator="lessThan">
      <formula>7.4</formula>
    </cfRule>
    <cfRule type="cellIs" dxfId="2920" priority="62" operator="lessThan">
      <formula>7.9</formula>
    </cfRule>
  </conditionalFormatting>
  <conditionalFormatting sqref="Q3:Q46">
    <cfRule type="cellIs" dxfId="2919" priority="88" operator="lessThan">
      <formula>6.9</formula>
    </cfRule>
    <cfRule type="cellIs" dxfId="2918" priority="89" operator="lessThan">
      <formula>7.9</formula>
    </cfRule>
  </conditionalFormatting>
  <conditionalFormatting sqref="Q3:Q46">
    <cfRule type="cellIs" dxfId="2917" priority="87" operator="lessThan">
      <formula>7.9</formula>
    </cfRule>
    <cfRule type="cellIs" dxfId="2916" priority="98" operator="lessThan">
      <formula>7.4</formula>
    </cfRule>
    <cfRule type="cellIs" dxfId="2915" priority="175" operator="lessThan">
      <formula>6.9</formula>
    </cfRule>
    <cfRule type="cellIs" dxfId="2914" priority="176" operator="lessThan">
      <formula>7.9</formula>
    </cfRule>
    <cfRule type="cellIs" dxfId="2913" priority="177" operator="lessThan">
      <formula>7.4</formula>
    </cfRule>
    <cfRule type="cellIs" dxfId="2912" priority="178" operator="lessThan">
      <formula>6.9</formula>
    </cfRule>
    <cfRule type="cellIs" dxfId="2911" priority="179" operator="lessThan">
      <formula>7.9</formula>
    </cfRule>
    <cfRule type="cellIs" dxfId="2910" priority="180" operator="lessThan">
      <formula>6.9</formula>
    </cfRule>
    <cfRule type="cellIs" dxfId="2909" priority="181" operator="lessThan">
      <formula>7.4</formula>
    </cfRule>
    <cfRule type="cellIs" dxfId="2908" priority="182" operator="lessThan">
      <formula>7.9</formula>
    </cfRule>
  </conditionalFormatting>
  <conditionalFormatting sqref="U3:U46">
    <cfRule type="cellIs" dxfId="2907" priority="85" operator="lessThan">
      <formula>6.9</formula>
    </cfRule>
    <cfRule type="cellIs" dxfId="2906" priority="86" operator="lessThan">
      <formula>7.9</formula>
    </cfRule>
  </conditionalFormatting>
  <conditionalFormatting sqref="U3:U46">
    <cfRule type="cellIs" dxfId="2905" priority="84" operator="lessThan">
      <formula>7.9</formula>
    </cfRule>
    <cfRule type="cellIs" dxfId="2904" priority="97" operator="lessThan">
      <formula>7.4</formula>
    </cfRule>
    <cfRule type="cellIs" dxfId="2903" priority="167" operator="lessThan">
      <formula>6.9</formula>
    </cfRule>
    <cfRule type="cellIs" dxfId="2902" priority="168" operator="lessThan">
      <formula>7.9</formula>
    </cfRule>
    <cfRule type="cellIs" dxfId="2901" priority="169" operator="lessThan">
      <formula>7.4</formula>
    </cfRule>
    <cfRule type="cellIs" dxfId="2900" priority="170" operator="lessThan">
      <formula>6.9</formula>
    </cfRule>
    <cfRule type="cellIs" dxfId="2899" priority="171" operator="lessThan">
      <formula>7.9</formula>
    </cfRule>
    <cfRule type="cellIs" dxfId="2898" priority="172" operator="lessThan">
      <formula>6.9</formula>
    </cfRule>
    <cfRule type="cellIs" dxfId="2897" priority="173" operator="lessThan">
      <formula>7.4</formula>
    </cfRule>
    <cfRule type="cellIs" dxfId="2896" priority="174" operator="lessThan">
      <formula>7.9</formula>
    </cfRule>
  </conditionalFormatting>
  <conditionalFormatting sqref="Y3:Y46">
    <cfRule type="cellIs" dxfId="2895" priority="83" operator="lessThan">
      <formula>7.9</formula>
    </cfRule>
  </conditionalFormatting>
  <conditionalFormatting sqref="Y3:Y46">
    <cfRule type="cellIs" dxfId="2894" priority="81" operator="lessThan">
      <formula>7.9</formula>
    </cfRule>
    <cfRule type="cellIs" dxfId="2893" priority="82" operator="lessThan">
      <formula>6.9</formula>
    </cfRule>
    <cfRule type="cellIs" dxfId="2892" priority="96" operator="lessThan">
      <formula>7.4</formula>
    </cfRule>
    <cfRule type="cellIs" dxfId="2891" priority="159" operator="lessThan">
      <formula>6.9</formula>
    </cfRule>
    <cfRule type="cellIs" dxfId="2890" priority="160" operator="lessThan">
      <formula>7.9</formula>
    </cfRule>
    <cfRule type="cellIs" dxfId="2889" priority="161" operator="lessThan">
      <formula>7.4</formula>
    </cfRule>
    <cfRule type="cellIs" dxfId="2888" priority="162" operator="lessThan">
      <formula>6.9</formula>
    </cfRule>
    <cfRule type="cellIs" dxfId="2887" priority="163" operator="lessThan">
      <formula>7.9</formula>
    </cfRule>
    <cfRule type="cellIs" dxfId="2886" priority="164" operator="lessThan">
      <formula>6.9</formula>
    </cfRule>
    <cfRule type="cellIs" dxfId="2885" priority="165" operator="lessThan">
      <formula>7.4</formula>
    </cfRule>
    <cfRule type="cellIs" dxfId="2884" priority="166" operator="lessThan">
      <formula>7.9</formula>
    </cfRule>
  </conditionalFormatting>
  <conditionalFormatting sqref="AC3:AC46">
    <cfRule type="cellIs" dxfId="2883" priority="78" operator="lessThan">
      <formula>7.9</formula>
    </cfRule>
    <cfRule type="cellIs" dxfId="2882" priority="79" operator="lessThan">
      <formula>6.9</formula>
    </cfRule>
    <cfRule type="cellIs" dxfId="2881" priority="80" operator="lessThan">
      <formula>7.9</formula>
    </cfRule>
  </conditionalFormatting>
  <conditionalFormatting sqref="AC3:AC46">
    <cfRule type="cellIs" dxfId="2880" priority="95" operator="lessThan">
      <formula>7.4</formula>
    </cfRule>
    <cfRule type="cellIs" dxfId="2879" priority="151" operator="lessThan">
      <formula>6.9</formula>
    </cfRule>
    <cfRule type="cellIs" dxfId="2878" priority="152" operator="lessThan">
      <formula>7.9</formula>
    </cfRule>
    <cfRule type="cellIs" dxfId="2877" priority="153" operator="lessThan">
      <formula>7.4</formula>
    </cfRule>
    <cfRule type="cellIs" dxfId="2876" priority="154" operator="lessThan">
      <formula>6.9</formula>
    </cfRule>
    <cfRule type="cellIs" dxfId="2875" priority="155" operator="lessThan">
      <formula>7.9</formula>
    </cfRule>
    <cfRule type="cellIs" dxfId="2874" priority="156" operator="lessThan">
      <formula>6.9</formula>
    </cfRule>
    <cfRule type="cellIs" dxfId="2873" priority="157" operator="lessThan">
      <formula>7.4</formula>
    </cfRule>
    <cfRule type="cellIs" dxfId="2872" priority="158" operator="lessThan">
      <formula>7.9</formula>
    </cfRule>
  </conditionalFormatting>
  <conditionalFormatting sqref="AG3:AG46">
    <cfRule type="cellIs" dxfId="2871" priority="75" operator="lessThan">
      <formula>7.9</formula>
    </cfRule>
    <cfRule type="cellIs" dxfId="2870" priority="76" operator="lessThan">
      <formula>6.9</formula>
    </cfRule>
    <cfRule type="cellIs" dxfId="2869" priority="77" operator="lessThan">
      <formula>7.9</formula>
    </cfRule>
  </conditionalFormatting>
  <conditionalFormatting sqref="AG3:AG46">
    <cfRule type="cellIs" dxfId="2868" priority="94" operator="lessThan">
      <formula>7.4</formula>
    </cfRule>
    <cfRule type="cellIs" dxfId="2867" priority="143" operator="lessThan">
      <formula>6.9</formula>
    </cfRule>
    <cfRule type="cellIs" dxfId="2866" priority="144" operator="lessThan">
      <formula>7.9</formula>
    </cfRule>
    <cfRule type="cellIs" dxfId="2865" priority="145" operator="lessThan">
      <formula>7.4</formula>
    </cfRule>
    <cfRule type="cellIs" dxfId="2864" priority="146" operator="lessThan">
      <formula>6.9</formula>
    </cfRule>
    <cfRule type="cellIs" dxfId="2863" priority="147" operator="lessThan">
      <formula>7.9</formula>
    </cfRule>
    <cfRule type="cellIs" dxfId="2862" priority="148" operator="lessThan">
      <formula>6.9</formula>
    </cfRule>
    <cfRule type="cellIs" dxfId="2861" priority="149" operator="lessThan">
      <formula>7.4</formula>
    </cfRule>
    <cfRule type="cellIs" dxfId="2860" priority="150" operator="lessThan">
      <formula>7.9</formula>
    </cfRule>
  </conditionalFormatting>
  <conditionalFormatting sqref="AK3:AK46">
    <cfRule type="cellIs" dxfId="2859" priority="72" operator="lessThan">
      <formula>7.9</formula>
    </cfRule>
    <cfRule type="cellIs" dxfId="2858" priority="73" operator="lessThan">
      <formula>6.9</formula>
    </cfRule>
    <cfRule type="cellIs" dxfId="2857" priority="74" operator="lessThan">
      <formula>7.9</formula>
    </cfRule>
  </conditionalFormatting>
  <conditionalFormatting sqref="AK3:AK46">
    <cfRule type="cellIs" dxfId="2856" priority="93" operator="lessThan">
      <formula>7.4</formula>
    </cfRule>
    <cfRule type="cellIs" dxfId="2855" priority="135" operator="lessThan">
      <formula>6.9</formula>
    </cfRule>
    <cfRule type="cellIs" dxfId="2854" priority="136" operator="lessThan">
      <formula>7.9</formula>
    </cfRule>
    <cfRule type="cellIs" dxfId="2853" priority="137" operator="lessThan">
      <formula>7.4</formula>
    </cfRule>
    <cfRule type="cellIs" dxfId="2852" priority="138" operator="lessThan">
      <formula>6.9</formula>
    </cfRule>
    <cfRule type="cellIs" dxfId="2851" priority="139" operator="lessThan">
      <formula>7.9</formula>
    </cfRule>
    <cfRule type="cellIs" dxfId="2850" priority="140" operator="lessThan">
      <formula>6.9</formula>
    </cfRule>
    <cfRule type="cellIs" dxfId="2849" priority="141" operator="lessThan">
      <formula>7.4</formula>
    </cfRule>
    <cfRule type="cellIs" dxfId="2848" priority="142" operator="lessThan">
      <formula>7.9</formula>
    </cfRule>
  </conditionalFormatting>
  <conditionalFormatting sqref="AO3:AO46">
    <cfRule type="cellIs" dxfId="2847" priority="69" operator="lessThan">
      <formula>7.9</formula>
    </cfRule>
    <cfRule type="cellIs" dxfId="2846" priority="70" operator="lessThan">
      <formula>6.9</formula>
    </cfRule>
    <cfRule type="cellIs" dxfId="2845" priority="71" operator="lessThan">
      <formula>7.9</formula>
    </cfRule>
  </conditionalFormatting>
  <conditionalFormatting sqref="AO3:AO46">
    <cfRule type="cellIs" dxfId="2844" priority="92" operator="lessThan">
      <formula>7.4</formula>
    </cfRule>
    <cfRule type="cellIs" dxfId="2843" priority="127" operator="lessThan">
      <formula>6.9</formula>
    </cfRule>
    <cfRule type="cellIs" dxfId="2842" priority="128" operator="lessThan">
      <formula>7.9</formula>
    </cfRule>
    <cfRule type="cellIs" dxfId="2841" priority="129" operator="lessThan">
      <formula>7.4</formula>
    </cfRule>
    <cfRule type="cellIs" dxfId="2840" priority="130" operator="lessThan">
      <formula>6.9</formula>
    </cfRule>
    <cfRule type="cellIs" dxfId="2839" priority="131" operator="lessThan">
      <formula>7.9</formula>
    </cfRule>
    <cfRule type="cellIs" dxfId="2838" priority="132" operator="lessThan">
      <formula>6.9</formula>
    </cfRule>
    <cfRule type="cellIs" dxfId="2837" priority="133" operator="lessThan">
      <formula>7.4</formula>
    </cfRule>
    <cfRule type="cellIs" dxfId="2836" priority="134" operator="lessThan">
      <formula>7.9</formula>
    </cfRule>
  </conditionalFormatting>
  <conditionalFormatting sqref="AS3:AS46">
    <cfRule type="cellIs" dxfId="2835" priority="66" operator="lessThan">
      <formula>7.9</formula>
    </cfRule>
    <cfRule type="cellIs" dxfId="2834" priority="67" operator="lessThan">
      <formula>6.9</formula>
    </cfRule>
    <cfRule type="cellIs" dxfId="2833" priority="68" operator="lessThan">
      <formula>7.9</formula>
    </cfRule>
    <cfRule type="cellIs" dxfId="2832" priority="91" operator="lessThan">
      <formula>7.4</formula>
    </cfRule>
  </conditionalFormatting>
  <conditionalFormatting sqref="AS3:AS46">
    <cfRule type="cellIs" dxfId="2831" priority="119" operator="lessThan">
      <formula>6.9</formula>
    </cfRule>
    <cfRule type="cellIs" dxfId="2830" priority="120" operator="lessThan">
      <formula>7.9</formula>
    </cfRule>
    <cfRule type="cellIs" dxfId="2829" priority="121" operator="lessThan">
      <formula>7.4</formula>
    </cfRule>
    <cfRule type="cellIs" dxfId="2828" priority="122" operator="lessThan">
      <formula>6.9</formula>
    </cfRule>
    <cfRule type="cellIs" dxfId="2827" priority="123" operator="lessThan">
      <formula>7.9</formula>
    </cfRule>
    <cfRule type="cellIs" dxfId="2826" priority="124" operator="lessThan">
      <formula>6.9</formula>
    </cfRule>
    <cfRule type="cellIs" dxfId="2825" priority="125" operator="lessThan">
      <formula>7.4</formula>
    </cfRule>
    <cfRule type="cellIs" dxfId="2824" priority="126" operator="lessThan">
      <formula>7.9</formula>
    </cfRule>
  </conditionalFormatting>
  <conditionalFormatting sqref="AW3:AW46">
    <cfRule type="cellIs" dxfId="2823" priority="63" operator="lessThan">
      <formula>7.9</formula>
    </cfRule>
    <cfRule type="cellIs" dxfId="2822" priority="64" operator="lessThan">
      <formula>6.9</formula>
    </cfRule>
    <cfRule type="cellIs" dxfId="2821" priority="65" operator="lessThan">
      <formula>7.4</formula>
    </cfRule>
    <cfRule type="cellIs" dxfId="2820" priority="90" operator="lessThan">
      <formula>7.9</formula>
    </cfRule>
  </conditionalFormatting>
  <conditionalFormatting sqref="AW3:AW46">
    <cfRule type="cellIs" dxfId="2819" priority="111" operator="lessThan">
      <formula>6.9</formula>
    </cfRule>
    <cfRule type="cellIs" dxfId="2818" priority="112" operator="lessThan">
      <formula>7.9</formula>
    </cfRule>
    <cfRule type="cellIs" dxfId="2817" priority="113" operator="lessThan">
      <formula>7.4</formula>
    </cfRule>
    <cfRule type="cellIs" dxfId="2816" priority="114" operator="lessThan">
      <formula>6.9</formula>
    </cfRule>
    <cfRule type="cellIs" dxfId="2815" priority="115" operator="lessThan">
      <formula>7.9</formula>
    </cfRule>
    <cfRule type="cellIs" dxfId="2814" priority="116" operator="lessThan">
      <formula>6.9</formula>
    </cfRule>
    <cfRule type="cellIs" dxfId="2813" priority="117" operator="lessThan">
      <formula>7.4</formula>
    </cfRule>
    <cfRule type="cellIs" dxfId="2812" priority="118" operator="lessThan">
      <formula>7.9</formula>
    </cfRule>
  </conditionalFormatting>
  <conditionalFormatting sqref="BA3:BA46">
    <cfRule type="cellIs" dxfId="2811" priority="99" operator="lessThan">
      <formula>7.9</formula>
    </cfRule>
    <cfRule type="cellIs" dxfId="2810" priority="100" operator="lessThan">
      <formula>6.9</formula>
    </cfRule>
    <cfRule type="cellIs" dxfId="2809" priority="101" operator="lessThan">
      <formula>7.4</formula>
    </cfRule>
    <cfRule type="cellIs" dxfId="2808" priority="102" operator="lessThan">
      <formula>7.9</formula>
    </cfRule>
    <cfRule type="cellIs" dxfId="2807" priority="103" operator="lessThan">
      <formula>6.9</formula>
    </cfRule>
    <cfRule type="cellIs" dxfId="2806" priority="104" operator="lessThan">
      <formula>7.9</formula>
    </cfRule>
    <cfRule type="cellIs" dxfId="2805" priority="105" operator="lessThan">
      <formula>7.4</formula>
    </cfRule>
    <cfRule type="cellIs" dxfId="2804" priority="106" operator="lessThan">
      <formula>6.9</formula>
    </cfRule>
    <cfRule type="cellIs" dxfId="2803" priority="107" operator="lessThan">
      <formula>7.9</formula>
    </cfRule>
    <cfRule type="cellIs" dxfId="2802" priority="108" operator="lessThan">
      <formula>6.9</formula>
    </cfRule>
    <cfRule type="cellIs" dxfId="2801" priority="109" operator="lessThan">
      <formula>7.4</formula>
    </cfRule>
    <cfRule type="cellIs" dxfId="2800" priority="110" operator="lessThan">
      <formula>7.9</formula>
    </cfRule>
  </conditionalFormatting>
  <conditionalFormatting sqref="J3:L46">
    <cfRule type="cellIs" dxfId="2799" priority="31" operator="lessThan">
      <formula>7.9</formula>
    </cfRule>
  </conditionalFormatting>
  <conditionalFormatting sqref="J3:L46">
    <cfRule type="cellIs" dxfId="2798" priority="32" operator="lessThan">
      <formula>7.4</formula>
    </cfRule>
  </conditionalFormatting>
  <conditionalFormatting sqref="J5:L6">
    <cfRule type="cellIs" dxfId="2797" priority="33" operator="lessThan">
      <formula>6.9</formula>
    </cfRule>
  </conditionalFormatting>
  <conditionalFormatting sqref="N3:P46">
    <cfRule type="cellIs" dxfId="2796" priority="28" operator="lessThan">
      <formula>7.9</formula>
    </cfRule>
  </conditionalFormatting>
  <conditionalFormatting sqref="N3:P46">
    <cfRule type="cellIs" dxfId="2795" priority="29" operator="lessThan">
      <formula>7.4</formula>
    </cfRule>
  </conditionalFormatting>
  <conditionalFormatting sqref="N5:P6">
    <cfRule type="cellIs" dxfId="2794" priority="30" operator="lessThan">
      <formula>6.9</formula>
    </cfRule>
  </conditionalFormatting>
  <conditionalFormatting sqref="R3:T46">
    <cfRule type="cellIs" dxfId="2793" priority="25" operator="lessThan">
      <formula>7.9</formula>
    </cfRule>
  </conditionalFormatting>
  <conditionalFormatting sqref="R3:T46">
    <cfRule type="cellIs" dxfId="2792" priority="26" operator="lessThan">
      <formula>7.4</formula>
    </cfRule>
  </conditionalFormatting>
  <conditionalFormatting sqref="R5:T6">
    <cfRule type="cellIs" dxfId="2791" priority="27" operator="lessThan">
      <formula>6.9</formula>
    </cfRule>
  </conditionalFormatting>
  <conditionalFormatting sqref="V3:X46">
    <cfRule type="cellIs" dxfId="2790" priority="22" operator="lessThan">
      <formula>7.9</formula>
    </cfRule>
  </conditionalFormatting>
  <conditionalFormatting sqref="V3:X46">
    <cfRule type="cellIs" dxfId="2789" priority="23" operator="lessThan">
      <formula>7.4</formula>
    </cfRule>
  </conditionalFormatting>
  <conditionalFormatting sqref="V5:X6">
    <cfRule type="cellIs" dxfId="2788" priority="24" operator="lessThan">
      <formula>6.9</formula>
    </cfRule>
  </conditionalFormatting>
  <conditionalFormatting sqref="Z3:AB46">
    <cfRule type="cellIs" dxfId="2787" priority="19" operator="lessThan">
      <formula>7.9</formula>
    </cfRule>
  </conditionalFormatting>
  <conditionalFormatting sqref="Z3:AB46">
    <cfRule type="cellIs" dxfId="2786" priority="20" operator="lessThan">
      <formula>7.4</formula>
    </cfRule>
  </conditionalFormatting>
  <conditionalFormatting sqref="Z5:AB6">
    <cfRule type="cellIs" dxfId="2785" priority="21" operator="lessThan">
      <formula>6.9</formula>
    </cfRule>
  </conditionalFormatting>
  <conditionalFormatting sqref="AD3:AF46">
    <cfRule type="cellIs" dxfId="2784" priority="16" operator="lessThan">
      <formula>7.9</formula>
    </cfRule>
  </conditionalFormatting>
  <conditionalFormatting sqref="AD3:AF46">
    <cfRule type="cellIs" dxfId="2783" priority="17" operator="lessThan">
      <formula>7.4</formula>
    </cfRule>
  </conditionalFormatting>
  <conditionalFormatting sqref="AD5:AF6">
    <cfRule type="cellIs" dxfId="2782" priority="18" operator="lessThan">
      <formula>6.9</formula>
    </cfRule>
  </conditionalFormatting>
  <conditionalFormatting sqref="AH3:AJ46">
    <cfRule type="cellIs" dxfId="2781" priority="13" operator="lessThan">
      <formula>7.9</formula>
    </cfRule>
  </conditionalFormatting>
  <conditionalFormatting sqref="AH3:AJ46">
    <cfRule type="cellIs" dxfId="2780" priority="14" operator="lessThan">
      <formula>7.4</formula>
    </cfRule>
  </conditionalFormatting>
  <conditionalFormatting sqref="AH5:AJ6">
    <cfRule type="cellIs" dxfId="2779" priority="15" operator="lessThan">
      <formula>6.9</formula>
    </cfRule>
  </conditionalFormatting>
  <conditionalFormatting sqref="AL3:AN46">
    <cfRule type="cellIs" dxfId="2778" priority="10" operator="lessThan">
      <formula>7.9</formula>
    </cfRule>
  </conditionalFormatting>
  <conditionalFormatting sqref="AL3:AN46">
    <cfRule type="cellIs" dxfId="2777" priority="11" operator="lessThan">
      <formula>7.4</formula>
    </cfRule>
  </conditionalFormatting>
  <conditionalFormatting sqref="AL5:AN6">
    <cfRule type="cellIs" dxfId="2776" priority="12" operator="lessThan">
      <formula>6.9</formula>
    </cfRule>
  </conditionalFormatting>
  <conditionalFormatting sqref="AP3:AR46">
    <cfRule type="cellIs" dxfId="2775" priority="7" operator="lessThan">
      <formula>7.9</formula>
    </cfRule>
  </conditionalFormatting>
  <conditionalFormatting sqref="AP3:AR46">
    <cfRule type="cellIs" dxfId="2774" priority="8" operator="lessThan">
      <formula>7.4</formula>
    </cfRule>
  </conditionalFormatting>
  <conditionalFormatting sqref="AP5:AR6">
    <cfRule type="cellIs" dxfId="2773" priority="9" operator="lessThan">
      <formula>6.9</formula>
    </cfRule>
  </conditionalFormatting>
  <conditionalFormatting sqref="AT3:AV46">
    <cfRule type="cellIs" dxfId="2772" priority="4" operator="lessThan">
      <formula>7.9</formula>
    </cfRule>
  </conditionalFormatting>
  <conditionalFormatting sqref="AT3:AV46">
    <cfRule type="cellIs" dxfId="2771" priority="5" operator="lessThan">
      <formula>7.4</formula>
    </cfRule>
  </conditionalFormatting>
  <conditionalFormatting sqref="AT5:AV6">
    <cfRule type="cellIs" dxfId="2770" priority="6" operator="lessThan">
      <formula>6.9</formula>
    </cfRule>
  </conditionalFormatting>
  <conditionalFormatting sqref="AX3:AZ46">
    <cfRule type="cellIs" dxfId="2769" priority="1" operator="lessThan">
      <formula>7.9</formula>
    </cfRule>
  </conditionalFormatting>
  <conditionalFormatting sqref="AX3:AZ46">
    <cfRule type="cellIs" dxfId="2768" priority="2" operator="lessThan">
      <formula>7.4</formula>
    </cfRule>
  </conditionalFormatting>
  <conditionalFormatting sqref="AX5:AZ6">
    <cfRule type="cellIs" dxfId="2767" priority="3" operator="lessThan">
      <formula>6.9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C31"/>
  <sheetViews>
    <sheetView topLeftCell="AN1" zoomScaleNormal="100" workbookViewId="0">
      <selection activeCell="F2" sqref="F1:BB1048576"/>
    </sheetView>
  </sheetViews>
  <sheetFormatPr baseColWidth="10" defaultColWidth="12.5703125" defaultRowHeight="15.75" customHeight="1" x14ac:dyDescent="0.2"/>
  <cols>
    <col min="1" max="1" width="9.85546875" customWidth="1"/>
    <col min="2" max="2" width="48.425781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5" max="55" width="3.140625" customWidth="1"/>
  </cols>
  <sheetData>
    <row r="1" spans="1:55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71" t="s">
        <v>2</v>
      </c>
      <c r="BC1" s="3"/>
    </row>
    <row r="2" spans="1:55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1" t="s">
        <v>12</v>
      </c>
      <c r="BC2" s="4"/>
    </row>
    <row r="3" spans="1:55" ht="15.75" customHeight="1" x14ac:dyDescent="0.25">
      <c r="A3" s="1" t="s">
        <v>408</v>
      </c>
      <c r="B3" s="5" t="s">
        <v>409</v>
      </c>
      <c r="C3" s="1" t="s">
        <v>15</v>
      </c>
      <c r="D3" s="231">
        <v>4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0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64">
        <f>AVERAGE(I3,M3,Q3,U3,Y3,AC3,AG3,AK3,AO3,AS3,AW3,BA3)</f>
        <v>0</v>
      </c>
      <c r="BC3" s="7"/>
    </row>
    <row r="4" spans="1:55" ht="15.75" customHeight="1" x14ac:dyDescent="0.25">
      <c r="A4" s="1" t="s">
        <v>416</v>
      </c>
      <c r="B4" s="5" t="s">
        <v>417</v>
      </c>
      <c r="C4" s="1" t="s">
        <v>15</v>
      </c>
      <c r="D4" s="231">
        <v>4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30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0" si="2">AVERAGE(N4:P4)</f>
        <v>0</v>
      </c>
      <c r="R4" s="132">
        <v>0</v>
      </c>
      <c r="S4" s="132">
        <v>0</v>
      </c>
      <c r="T4" s="132">
        <v>0</v>
      </c>
      <c r="U4" s="84">
        <f t="shared" ref="U4:U30" si="3">AVERAGE(R4:T4)</f>
        <v>0</v>
      </c>
      <c r="V4" s="132">
        <v>0</v>
      </c>
      <c r="W4" s="132">
        <v>0</v>
      </c>
      <c r="X4" s="132">
        <v>0</v>
      </c>
      <c r="Y4" s="84">
        <f t="shared" ref="Y4:Y30" si="4">AVERAGE(V4:X4)</f>
        <v>0</v>
      </c>
      <c r="Z4" s="132">
        <v>0</v>
      </c>
      <c r="AA4" s="132">
        <v>0</v>
      </c>
      <c r="AB4" s="132">
        <v>0</v>
      </c>
      <c r="AC4" s="84">
        <f t="shared" ref="AC4:AC30" si="5">AVERAGE(Z4:AB4)</f>
        <v>0</v>
      </c>
      <c r="AD4" s="132">
        <v>0</v>
      </c>
      <c r="AE4" s="132">
        <v>0</v>
      </c>
      <c r="AF4" s="132">
        <v>0</v>
      </c>
      <c r="AG4" s="84">
        <f t="shared" ref="AG4:AG30" si="6">AVERAGE(AD4:AF4)</f>
        <v>0</v>
      </c>
      <c r="AH4" s="132">
        <v>0</v>
      </c>
      <c r="AI4" s="132">
        <v>0</v>
      </c>
      <c r="AJ4" s="132">
        <v>0</v>
      </c>
      <c r="AK4" s="84">
        <f t="shared" ref="AK4:AK30" si="7">AVERAGE(AH4:AJ4)</f>
        <v>0</v>
      </c>
      <c r="AL4" s="132">
        <v>0</v>
      </c>
      <c r="AM4" s="132">
        <v>0</v>
      </c>
      <c r="AN4" s="132">
        <v>0</v>
      </c>
      <c r="AO4" s="84">
        <f t="shared" ref="AO4:AO30" si="8">AVERAGE(AL4:AN4)</f>
        <v>0</v>
      </c>
      <c r="AP4" s="132">
        <v>0</v>
      </c>
      <c r="AQ4" s="132">
        <v>0</v>
      </c>
      <c r="AR4" s="132">
        <v>0</v>
      </c>
      <c r="AS4" s="84">
        <f t="shared" ref="AS4:AS30" si="9">AVERAGE(AP4:AR4)</f>
        <v>0</v>
      </c>
      <c r="AT4" s="132">
        <v>0</v>
      </c>
      <c r="AU4" s="132">
        <v>0</v>
      </c>
      <c r="AV4" s="132">
        <v>0</v>
      </c>
      <c r="AW4" s="84">
        <f t="shared" ref="AW4:AW30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0" si="11">AVERAGE(AX4:AZ4)</f>
        <v>0</v>
      </c>
      <c r="BB4" s="64">
        <f t="shared" ref="BB4:BB30" si="12">AVERAGE(I4,M4,Q4,U4,Y4,AC4,AG4,AK4,AO4,AS4,AW4,BA4)</f>
        <v>0</v>
      </c>
      <c r="BC4" s="7"/>
    </row>
    <row r="5" spans="1:55" ht="15.75" customHeight="1" x14ac:dyDescent="0.25">
      <c r="A5" s="1" t="s">
        <v>384</v>
      </c>
      <c r="B5" s="5" t="s">
        <v>385</v>
      </c>
      <c r="C5" s="1" t="s">
        <v>15</v>
      </c>
      <c r="D5" s="231">
        <v>4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64">
        <f t="shared" si="12"/>
        <v>0</v>
      </c>
      <c r="BC5" s="7"/>
    </row>
    <row r="6" spans="1:55" ht="15.75" customHeight="1" x14ac:dyDescent="0.25">
      <c r="A6" s="1" t="s">
        <v>368</v>
      </c>
      <c r="B6" s="8" t="s">
        <v>369</v>
      </c>
      <c r="C6" s="1" t="s">
        <v>15</v>
      </c>
      <c r="D6" s="231">
        <v>4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64">
        <f t="shared" si="12"/>
        <v>0</v>
      </c>
      <c r="BC6" s="7"/>
    </row>
    <row r="7" spans="1:55" ht="15.75" customHeight="1" x14ac:dyDescent="0.25">
      <c r="A7" s="1" t="s">
        <v>372</v>
      </c>
      <c r="B7" s="5" t="s">
        <v>373</v>
      </c>
      <c r="C7" s="1" t="s">
        <v>15</v>
      </c>
      <c r="D7" s="231">
        <v>4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64">
        <f t="shared" si="12"/>
        <v>0</v>
      </c>
      <c r="BC7" s="7"/>
    </row>
    <row r="8" spans="1:55" ht="15.75" customHeight="1" x14ac:dyDescent="0.25">
      <c r="A8" s="1" t="s">
        <v>360</v>
      </c>
      <c r="B8" s="5" t="s">
        <v>361</v>
      </c>
      <c r="C8" s="1" t="s">
        <v>15</v>
      </c>
      <c r="D8" s="231">
        <v>4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64">
        <f t="shared" si="12"/>
        <v>0</v>
      </c>
      <c r="BC8" s="7"/>
    </row>
    <row r="9" spans="1:55" ht="15.75" customHeight="1" x14ac:dyDescent="0.25">
      <c r="A9" s="1" t="s">
        <v>390</v>
      </c>
      <c r="B9" s="5" t="s">
        <v>391</v>
      </c>
      <c r="C9" s="1" t="s">
        <v>15</v>
      </c>
      <c r="D9" s="231">
        <v>4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64">
        <f t="shared" si="12"/>
        <v>0</v>
      </c>
      <c r="BC9" s="7"/>
    </row>
    <row r="10" spans="1:55" ht="15.75" customHeight="1" x14ac:dyDescent="0.25">
      <c r="A10" s="1" t="s">
        <v>400</v>
      </c>
      <c r="B10" s="5" t="s">
        <v>401</v>
      </c>
      <c r="C10" s="1" t="s">
        <v>15</v>
      </c>
      <c r="D10" s="231">
        <v>4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64">
        <f t="shared" si="12"/>
        <v>0</v>
      </c>
      <c r="BC10" s="7"/>
    </row>
    <row r="11" spans="1:55" ht="15.75" customHeight="1" x14ac:dyDescent="0.25">
      <c r="A11" s="1" t="s">
        <v>396</v>
      </c>
      <c r="B11" s="5" t="s">
        <v>397</v>
      </c>
      <c r="C11" s="1" t="s">
        <v>15</v>
      </c>
      <c r="D11" s="231">
        <v>4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64">
        <f t="shared" si="12"/>
        <v>0</v>
      </c>
      <c r="BC11" s="7"/>
    </row>
    <row r="12" spans="1:55" ht="15.75" customHeight="1" x14ac:dyDescent="0.25">
      <c r="A12" s="1" t="s">
        <v>410</v>
      </c>
      <c r="B12" s="5" t="s">
        <v>411</v>
      </c>
      <c r="C12" s="1" t="s">
        <v>15</v>
      </c>
      <c r="D12" s="231">
        <v>4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64">
        <f t="shared" si="12"/>
        <v>0</v>
      </c>
      <c r="BC12" s="7"/>
    </row>
    <row r="13" spans="1:55" ht="15.75" customHeight="1" x14ac:dyDescent="0.25">
      <c r="A13" s="1" t="s">
        <v>398</v>
      </c>
      <c r="B13" s="5" t="s">
        <v>399</v>
      </c>
      <c r="C13" s="1" t="s">
        <v>15</v>
      </c>
      <c r="D13" s="231">
        <v>4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64">
        <f t="shared" si="12"/>
        <v>0</v>
      </c>
      <c r="BC13" s="7"/>
    </row>
    <row r="14" spans="1:55" ht="15.75" customHeight="1" x14ac:dyDescent="0.25">
      <c r="A14" s="1" t="s">
        <v>364</v>
      </c>
      <c r="B14" s="8" t="s">
        <v>365</v>
      </c>
      <c r="C14" s="1" t="s">
        <v>15</v>
      </c>
      <c r="D14" s="231">
        <v>4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64">
        <f t="shared" si="12"/>
        <v>0</v>
      </c>
      <c r="BC14" s="7"/>
    </row>
    <row r="15" spans="1:55" ht="15.75" customHeight="1" x14ac:dyDescent="0.25">
      <c r="A15" s="1" t="s">
        <v>382</v>
      </c>
      <c r="B15" s="5" t="s">
        <v>383</v>
      </c>
      <c r="C15" s="1" t="s">
        <v>15</v>
      </c>
      <c r="D15" s="231">
        <v>4</v>
      </c>
      <c r="E15" s="25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64">
        <f t="shared" si="12"/>
        <v>0</v>
      </c>
      <c r="BC15" s="7"/>
    </row>
    <row r="16" spans="1:55" ht="15.75" customHeight="1" x14ac:dyDescent="0.25">
      <c r="A16" s="1" t="s">
        <v>378</v>
      </c>
      <c r="B16" s="12" t="s">
        <v>379</v>
      </c>
      <c r="C16" s="1" t="s">
        <v>15</v>
      </c>
      <c r="D16" s="231">
        <v>4</v>
      </c>
      <c r="E16" s="25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64">
        <f t="shared" si="12"/>
        <v>0</v>
      </c>
    </row>
    <row r="17" spans="1:54" ht="15.75" customHeight="1" x14ac:dyDescent="0.25">
      <c r="A17" s="1" t="s">
        <v>414</v>
      </c>
      <c r="B17" s="5" t="s">
        <v>415</v>
      </c>
      <c r="C17" s="1" t="s">
        <v>15</v>
      </c>
      <c r="D17" s="231">
        <v>4</v>
      </c>
      <c r="E17" s="25" t="s">
        <v>16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64">
        <f t="shared" si="12"/>
        <v>0</v>
      </c>
    </row>
    <row r="18" spans="1:54" ht="15.75" customHeight="1" x14ac:dyDescent="0.25">
      <c r="A18" s="1" t="s">
        <v>394</v>
      </c>
      <c r="B18" s="5" t="s">
        <v>395</v>
      </c>
      <c r="C18" s="1" t="s">
        <v>15</v>
      </c>
      <c r="D18" s="231">
        <v>4</v>
      </c>
      <c r="E18" s="25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64">
        <f t="shared" si="12"/>
        <v>0</v>
      </c>
    </row>
    <row r="19" spans="1:54" ht="15.75" customHeight="1" x14ac:dyDescent="0.25">
      <c r="A19" s="1" t="s">
        <v>392</v>
      </c>
      <c r="B19" s="5" t="s">
        <v>393</v>
      </c>
      <c r="C19" s="1" t="s">
        <v>15</v>
      </c>
      <c r="D19" s="231">
        <v>4</v>
      </c>
      <c r="E19" s="25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64">
        <f t="shared" si="12"/>
        <v>0</v>
      </c>
    </row>
    <row r="20" spans="1:54" ht="15.75" customHeight="1" x14ac:dyDescent="0.25">
      <c r="A20" s="1" t="s">
        <v>404</v>
      </c>
      <c r="B20" s="5" t="s">
        <v>405</v>
      </c>
      <c r="C20" s="1" t="s">
        <v>15</v>
      </c>
      <c r="D20" s="231">
        <v>4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64">
        <f t="shared" si="12"/>
        <v>0</v>
      </c>
    </row>
    <row r="21" spans="1:54" ht="15.75" customHeight="1" x14ac:dyDescent="0.25">
      <c r="A21" s="1" t="s">
        <v>406</v>
      </c>
      <c r="B21" s="5" t="s">
        <v>407</v>
      </c>
      <c r="C21" s="1" t="s">
        <v>15</v>
      </c>
      <c r="D21" s="231">
        <v>4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64">
        <f t="shared" si="12"/>
        <v>0</v>
      </c>
    </row>
    <row r="22" spans="1:54" ht="15.75" customHeight="1" x14ac:dyDescent="0.25">
      <c r="A22" s="1" t="s">
        <v>370</v>
      </c>
      <c r="B22" s="5" t="s">
        <v>371</v>
      </c>
      <c r="C22" s="1" t="s">
        <v>15</v>
      </c>
      <c r="D22" s="231">
        <v>4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64">
        <f t="shared" si="12"/>
        <v>0</v>
      </c>
    </row>
    <row r="23" spans="1:54" ht="15.75" customHeight="1" x14ac:dyDescent="0.25">
      <c r="A23" s="1" t="s">
        <v>412</v>
      </c>
      <c r="B23" s="5" t="s">
        <v>413</v>
      </c>
      <c r="C23" s="1" t="s">
        <v>15</v>
      </c>
      <c r="D23" s="231">
        <v>4</v>
      </c>
      <c r="E23" s="25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64">
        <f t="shared" si="12"/>
        <v>0</v>
      </c>
    </row>
    <row r="24" spans="1:54" ht="15.75" customHeight="1" x14ac:dyDescent="0.25">
      <c r="A24" s="1" t="s">
        <v>388</v>
      </c>
      <c r="B24" s="5" t="s">
        <v>389</v>
      </c>
      <c r="C24" s="1" t="s">
        <v>15</v>
      </c>
      <c r="D24" s="231">
        <v>4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64">
        <f t="shared" si="12"/>
        <v>0</v>
      </c>
    </row>
    <row r="25" spans="1:54" ht="15.75" customHeight="1" x14ac:dyDescent="0.25">
      <c r="A25" s="1" t="s">
        <v>402</v>
      </c>
      <c r="B25" s="5" t="s">
        <v>403</v>
      </c>
      <c r="C25" s="1" t="s">
        <v>15</v>
      </c>
      <c r="D25" s="231">
        <v>4</v>
      </c>
      <c r="E25" s="25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64">
        <f t="shared" si="12"/>
        <v>0</v>
      </c>
    </row>
    <row r="26" spans="1:54" ht="15.75" customHeight="1" x14ac:dyDescent="0.25">
      <c r="A26" s="1" t="s">
        <v>362</v>
      </c>
      <c r="B26" s="5" t="s">
        <v>363</v>
      </c>
      <c r="C26" s="1" t="s">
        <v>15</v>
      </c>
      <c r="D26" s="231">
        <v>4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64">
        <f t="shared" si="12"/>
        <v>0</v>
      </c>
    </row>
    <row r="27" spans="1:54" ht="15.75" customHeight="1" x14ac:dyDescent="0.25">
      <c r="A27" s="1" t="s">
        <v>366</v>
      </c>
      <c r="B27" s="8" t="s">
        <v>367</v>
      </c>
      <c r="C27" s="1" t="s">
        <v>15</v>
      </c>
      <c r="D27" s="231">
        <v>4</v>
      </c>
      <c r="E27" s="25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64">
        <f t="shared" si="12"/>
        <v>0</v>
      </c>
    </row>
    <row r="28" spans="1:54" ht="15.75" customHeight="1" x14ac:dyDescent="0.25">
      <c r="A28" s="1" t="s">
        <v>386</v>
      </c>
      <c r="B28" s="5" t="s">
        <v>387</v>
      </c>
      <c r="C28" s="1" t="s">
        <v>15</v>
      </c>
      <c r="D28" s="231">
        <v>4</v>
      </c>
      <c r="E28" s="25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64">
        <f t="shared" si="12"/>
        <v>0</v>
      </c>
    </row>
    <row r="29" spans="1:54" ht="15.75" customHeight="1" x14ac:dyDescent="0.25">
      <c r="A29" s="1" t="s">
        <v>374</v>
      </c>
      <c r="B29" s="8" t="s">
        <v>375</v>
      </c>
      <c r="C29" s="1" t="s">
        <v>15</v>
      </c>
      <c r="D29" s="231">
        <v>4</v>
      </c>
      <c r="E29" s="25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64">
        <f t="shared" si="12"/>
        <v>0</v>
      </c>
    </row>
    <row r="30" spans="1:54" ht="15.75" customHeight="1" x14ac:dyDescent="0.25">
      <c r="A30" s="1" t="s">
        <v>376</v>
      </c>
      <c r="B30" s="8" t="s">
        <v>377</v>
      </c>
      <c r="C30" s="1" t="s">
        <v>15</v>
      </c>
      <c r="D30" s="231">
        <v>4</v>
      </c>
      <c r="E30" s="25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64">
        <f t="shared" si="12"/>
        <v>0</v>
      </c>
    </row>
    <row r="31" spans="1:54" ht="15.75" customHeight="1" x14ac:dyDescent="0.25">
      <c r="A31" s="1" t="s">
        <v>380</v>
      </c>
      <c r="B31" s="8" t="s">
        <v>381</v>
      </c>
      <c r="C31" s="1" t="s">
        <v>15</v>
      </c>
      <c r="D31" s="231">
        <v>4</v>
      </c>
      <c r="E31" s="25" t="s">
        <v>41</v>
      </c>
      <c r="F31" s="132">
        <v>0</v>
      </c>
      <c r="G31" s="132">
        <v>0</v>
      </c>
      <c r="H31" s="132">
        <v>0</v>
      </c>
      <c r="I31" s="84">
        <f t="shared" ref="I31" si="13">AVERAGE(F31:H31)</f>
        <v>0</v>
      </c>
      <c r="J31" s="132">
        <v>0</v>
      </c>
      <c r="K31" s="132">
        <v>0</v>
      </c>
      <c r="L31" s="132">
        <v>0</v>
      </c>
      <c r="M31" s="84">
        <f t="shared" ref="M31" si="14">AVERAGE(J31:L31)</f>
        <v>0</v>
      </c>
      <c r="N31" s="132">
        <v>0</v>
      </c>
      <c r="O31" s="132">
        <v>0</v>
      </c>
      <c r="P31" s="132">
        <v>0</v>
      </c>
      <c r="Q31" s="84">
        <f t="shared" ref="Q31" si="15">AVERAGE(N31:P31)</f>
        <v>0</v>
      </c>
      <c r="R31" s="132">
        <v>0</v>
      </c>
      <c r="S31" s="132">
        <v>0</v>
      </c>
      <c r="T31" s="132">
        <v>0</v>
      </c>
      <c r="U31" s="84">
        <f t="shared" ref="U31" si="16">AVERAGE(R31:T31)</f>
        <v>0</v>
      </c>
      <c r="V31" s="132">
        <v>0</v>
      </c>
      <c r="W31" s="132">
        <v>0</v>
      </c>
      <c r="X31" s="132">
        <v>0</v>
      </c>
      <c r="Y31" s="84">
        <f t="shared" ref="Y31" si="17">AVERAGE(V31:X31)</f>
        <v>0</v>
      </c>
      <c r="Z31" s="132">
        <v>0</v>
      </c>
      <c r="AA31" s="132">
        <v>0</v>
      </c>
      <c r="AB31" s="132">
        <v>0</v>
      </c>
      <c r="AC31" s="84">
        <f t="shared" ref="AC31" si="18">AVERAGE(Z31:AB31)</f>
        <v>0</v>
      </c>
      <c r="AD31" s="132">
        <v>0</v>
      </c>
      <c r="AE31" s="132">
        <v>0</v>
      </c>
      <c r="AF31" s="132">
        <v>0</v>
      </c>
      <c r="AG31" s="84">
        <f t="shared" ref="AG31" si="19">AVERAGE(AD31:AF31)</f>
        <v>0</v>
      </c>
      <c r="AH31" s="132">
        <v>0</v>
      </c>
      <c r="AI31" s="132">
        <v>0</v>
      </c>
      <c r="AJ31" s="132">
        <v>0</v>
      </c>
      <c r="AK31" s="84">
        <f t="shared" ref="AK31" si="20">AVERAGE(AH31:AJ31)</f>
        <v>0</v>
      </c>
      <c r="AL31" s="132">
        <v>0</v>
      </c>
      <c r="AM31" s="132">
        <v>0</v>
      </c>
      <c r="AN31" s="132">
        <v>0</v>
      </c>
      <c r="AO31" s="84">
        <f t="shared" ref="AO31" si="21">AVERAGE(AL31:AN31)</f>
        <v>0</v>
      </c>
      <c r="AP31" s="132">
        <v>0</v>
      </c>
      <c r="AQ31" s="132">
        <v>0</v>
      </c>
      <c r="AR31" s="132">
        <v>0</v>
      </c>
      <c r="AS31" s="84">
        <f t="shared" ref="AS31" si="22">AVERAGE(AP31:AR31)</f>
        <v>0</v>
      </c>
      <c r="AT31" s="132">
        <v>0</v>
      </c>
      <c r="AU31" s="132">
        <v>0</v>
      </c>
      <c r="AV31" s="132">
        <v>0</v>
      </c>
      <c r="AW31" s="84">
        <f t="shared" ref="AW31" si="23">AVERAGE(AT31:AV31)</f>
        <v>0</v>
      </c>
      <c r="AX31" s="132">
        <v>0</v>
      </c>
      <c r="AY31" s="132">
        <v>0</v>
      </c>
      <c r="AZ31" s="132">
        <v>0</v>
      </c>
      <c r="BA31" s="84">
        <f t="shared" ref="BA31" si="24">AVERAGE(AX31:AZ31)</f>
        <v>0</v>
      </c>
      <c r="BB31" s="64">
        <f t="shared" ref="BB31" si="25">AVERAGE(I31,M31,Q31,U31,Y31,AC31,AG31,AK31,AO31,AS31,AW31,BA31)</f>
        <v>0</v>
      </c>
    </row>
  </sheetData>
  <sortState xmlns:xlrd2="http://schemas.microsoft.com/office/spreadsheetml/2017/richdata2" ref="A3:AX31">
    <sortCondition ref="E1:E31"/>
  </sortState>
  <mergeCells count="12">
    <mergeCell ref="AX1:BA1"/>
    <mergeCell ref="AT1:AW1"/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conditionalFormatting sqref="F3:H31">
    <cfRule type="cellIs" dxfId="2766" priority="34" operator="lessThan">
      <formula>7.9</formula>
    </cfRule>
  </conditionalFormatting>
  <conditionalFormatting sqref="F3:H31">
    <cfRule type="cellIs" dxfId="2765" priority="35" operator="lessThan">
      <formula>7.4</formula>
    </cfRule>
  </conditionalFormatting>
  <conditionalFormatting sqref="F5:H6">
    <cfRule type="cellIs" dxfId="2764" priority="36" operator="lessThan">
      <formula>6.9</formula>
    </cfRule>
  </conditionalFormatting>
  <conditionalFormatting sqref="I3:I31">
    <cfRule type="cellIs" dxfId="2763" priority="37" operator="lessThan">
      <formula>7.9</formula>
    </cfRule>
    <cfRule type="cellIs" dxfId="2762" priority="46" operator="lessThan">
      <formula>6.9</formula>
    </cfRule>
    <cfRule type="cellIs" dxfId="2761" priority="47" operator="lessThan">
      <formula>7.4</formula>
    </cfRule>
    <cfRule type="cellIs" dxfId="2760" priority="48" operator="lessThan">
      <formula>7.9</formula>
    </cfRule>
  </conditionalFormatting>
  <conditionalFormatting sqref="I3:I31">
    <cfRule type="cellIs" dxfId="2759" priority="38" operator="lessThan">
      <formula>6.9</formula>
    </cfRule>
    <cfRule type="cellIs" dxfId="2758" priority="39" operator="lessThan">
      <formula>7.4</formula>
    </cfRule>
    <cfRule type="cellIs" dxfId="2757" priority="40" operator="lessThan">
      <formula>7.9</formula>
    </cfRule>
    <cfRule type="cellIs" dxfId="2756" priority="41" operator="lessThan">
      <formula>6.9</formula>
    </cfRule>
    <cfRule type="cellIs" dxfId="2755" priority="42" operator="lessThan">
      <formula>7.9</formula>
    </cfRule>
    <cfRule type="cellIs" dxfId="2754" priority="43" operator="lessThan">
      <formula>7.4</formula>
    </cfRule>
    <cfRule type="cellIs" dxfId="2753" priority="44" operator="lessThan">
      <formula>6.9</formula>
    </cfRule>
    <cfRule type="cellIs" dxfId="2752" priority="45" operator="lessThan">
      <formula>7.9</formula>
    </cfRule>
  </conditionalFormatting>
  <conditionalFormatting sqref="M3:M31">
    <cfRule type="cellIs" dxfId="2751" priority="49" operator="lessThan">
      <formula>7.9</formula>
    </cfRule>
    <cfRule type="cellIs" dxfId="2750" priority="50" operator="lessThan">
      <formula>6.9</formula>
    </cfRule>
    <cfRule type="cellIs" dxfId="2749" priority="51" operator="lessThan">
      <formula>7.4</formula>
    </cfRule>
    <cfRule type="cellIs" dxfId="2748" priority="52" operator="lessThan">
      <formula>7.9</formula>
    </cfRule>
    <cfRule type="cellIs" dxfId="2747" priority="53" operator="lessThan">
      <formula>6.9</formula>
    </cfRule>
    <cfRule type="cellIs" dxfId="2746" priority="54" operator="lessThan">
      <formula>7.9</formula>
    </cfRule>
    <cfRule type="cellIs" dxfId="2745" priority="55" operator="lessThan">
      <formula>7.4</formula>
    </cfRule>
    <cfRule type="cellIs" dxfId="2744" priority="56" operator="lessThan">
      <formula>6.9</formula>
    </cfRule>
    <cfRule type="cellIs" dxfId="2743" priority="57" operator="lessThan">
      <formula>7.9</formula>
    </cfRule>
    <cfRule type="cellIs" dxfId="2742" priority="58" operator="lessThan">
      <formula>6.9</formula>
    </cfRule>
    <cfRule type="cellIs" dxfId="2741" priority="59" operator="lessThan">
      <formula>7.4</formula>
    </cfRule>
    <cfRule type="cellIs" dxfId="2740" priority="60" operator="lessThan">
      <formula>6.9</formula>
    </cfRule>
    <cfRule type="cellIs" dxfId="2739" priority="61" operator="lessThan">
      <formula>7.4</formula>
    </cfRule>
    <cfRule type="cellIs" dxfId="2738" priority="62" operator="lessThan">
      <formula>7.9</formula>
    </cfRule>
  </conditionalFormatting>
  <conditionalFormatting sqref="Q3:Q31">
    <cfRule type="cellIs" dxfId="2737" priority="88" operator="lessThan">
      <formula>6.9</formula>
    </cfRule>
    <cfRule type="cellIs" dxfId="2736" priority="89" operator="lessThan">
      <formula>7.9</formula>
    </cfRule>
  </conditionalFormatting>
  <conditionalFormatting sqref="Q3:Q31">
    <cfRule type="cellIs" dxfId="2735" priority="87" operator="lessThan">
      <formula>7.9</formula>
    </cfRule>
    <cfRule type="cellIs" dxfId="2734" priority="98" operator="lessThan">
      <formula>7.4</formula>
    </cfRule>
    <cfRule type="cellIs" dxfId="2733" priority="175" operator="lessThan">
      <formula>6.9</formula>
    </cfRule>
    <cfRule type="cellIs" dxfId="2732" priority="176" operator="lessThan">
      <formula>7.9</formula>
    </cfRule>
    <cfRule type="cellIs" dxfId="2731" priority="177" operator="lessThan">
      <formula>7.4</formula>
    </cfRule>
    <cfRule type="cellIs" dxfId="2730" priority="178" operator="lessThan">
      <formula>6.9</formula>
    </cfRule>
    <cfRule type="cellIs" dxfId="2729" priority="179" operator="lessThan">
      <formula>7.9</formula>
    </cfRule>
    <cfRule type="cellIs" dxfId="2728" priority="180" operator="lessThan">
      <formula>6.9</formula>
    </cfRule>
    <cfRule type="cellIs" dxfId="2727" priority="181" operator="lessThan">
      <formula>7.4</formula>
    </cfRule>
    <cfRule type="cellIs" dxfId="2726" priority="182" operator="lessThan">
      <formula>7.9</formula>
    </cfRule>
  </conditionalFormatting>
  <conditionalFormatting sqref="U3:U31">
    <cfRule type="cellIs" dxfId="2725" priority="85" operator="lessThan">
      <formula>6.9</formula>
    </cfRule>
    <cfRule type="cellIs" dxfId="2724" priority="86" operator="lessThan">
      <formula>7.9</formula>
    </cfRule>
  </conditionalFormatting>
  <conditionalFormatting sqref="U3:U31">
    <cfRule type="cellIs" dxfId="2723" priority="84" operator="lessThan">
      <formula>7.9</formula>
    </cfRule>
    <cfRule type="cellIs" dxfId="2722" priority="97" operator="lessThan">
      <formula>7.4</formula>
    </cfRule>
    <cfRule type="cellIs" dxfId="2721" priority="167" operator="lessThan">
      <formula>6.9</formula>
    </cfRule>
    <cfRule type="cellIs" dxfId="2720" priority="168" operator="lessThan">
      <formula>7.9</formula>
    </cfRule>
    <cfRule type="cellIs" dxfId="2719" priority="169" operator="lessThan">
      <formula>7.4</formula>
    </cfRule>
    <cfRule type="cellIs" dxfId="2718" priority="170" operator="lessThan">
      <formula>6.9</formula>
    </cfRule>
    <cfRule type="cellIs" dxfId="2717" priority="171" operator="lessThan">
      <formula>7.9</formula>
    </cfRule>
    <cfRule type="cellIs" dxfId="2716" priority="172" operator="lessThan">
      <formula>6.9</formula>
    </cfRule>
    <cfRule type="cellIs" dxfId="2715" priority="173" operator="lessThan">
      <formula>7.4</formula>
    </cfRule>
    <cfRule type="cellIs" dxfId="2714" priority="174" operator="lessThan">
      <formula>7.9</formula>
    </cfRule>
  </conditionalFormatting>
  <conditionalFormatting sqref="Y3:Y31">
    <cfRule type="cellIs" dxfId="2713" priority="83" operator="lessThan">
      <formula>7.9</formula>
    </cfRule>
  </conditionalFormatting>
  <conditionalFormatting sqref="Y3:Y31">
    <cfRule type="cellIs" dxfId="2712" priority="81" operator="lessThan">
      <formula>7.9</formula>
    </cfRule>
    <cfRule type="cellIs" dxfId="2711" priority="82" operator="lessThan">
      <formula>6.9</formula>
    </cfRule>
    <cfRule type="cellIs" dxfId="2710" priority="96" operator="lessThan">
      <formula>7.4</formula>
    </cfRule>
    <cfRule type="cellIs" dxfId="2709" priority="159" operator="lessThan">
      <formula>6.9</formula>
    </cfRule>
    <cfRule type="cellIs" dxfId="2708" priority="160" operator="lessThan">
      <formula>7.9</formula>
    </cfRule>
    <cfRule type="cellIs" dxfId="2707" priority="161" operator="lessThan">
      <formula>7.4</formula>
    </cfRule>
    <cfRule type="cellIs" dxfId="2706" priority="162" operator="lessThan">
      <formula>6.9</formula>
    </cfRule>
    <cfRule type="cellIs" dxfId="2705" priority="163" operator="lessThan">
      <formula>7.9</formula>
    </cfRule>
    <cfRule type="cellIs" dxfId="2704" priority="164" operator="lessThan">
      <formula>6.9</formula>
    </cfRule>
    <cfRule type="cellIs" dxfId="2703" priority="165" operator="lessThan">
      <formula>7.4</formula>
    </cfRule>
    <cfRule type="cellIs" dxfId="2702" priority="166" operator="lessThan">
      <formula>7.9</formula>
    </cfRule>
  </conditionalFormatting>
  <conditionalFormatting sqref="AC3:AC31">
    <cfRule type="cellIs" dxfId="2701" priority="78" operator="lessThan">
      <formula>7.9</formula>
    </cfRule>
    <cfRule type="cellIs" dxfId="2700" priority="79" operator="lessThan">
      <formula>6.9</formula>
    </cfRule>
    <cfRule type="cellIs" dxfId="2699" priority="80" operator="lessThan">
      <formula>7.9</formula>
    </cfRule>
  </conditionalFormatting>
  <conditionalFormatting sqref="AC3:AC31">
    <cfRule type="cellIs" dxfId="2698" priority="95" operator="lessThan">
      <formula>7.4</formula>
    </cfRule>
    <cfRule type="cellIs" dxfId="2697" priority="151" operator="lessThan">
      <formula>6.9</formula>
    </cfRule>
    <cfRule type="cellIs" dxfId="2696" priority="152" operator="lessThan">
      <formula>7.9</formula>
    </cfRule>
    <cfRule type="cellIs" dxfId="2695" priority="153" operator="lessThan">
      <formula>7.4</formula>
    </cfRule>
    <cfRule type="cellIs" dxfId="2694" priority="154" operator="lessThan">
      <formula>6.9</formula>
    </cfRule>
    <cfRule type="cellIs" dxfId="2693" priority="155" operator="lessThan">
      <formula>7.9</formula>
    </cfRule>
    <cfRule type="cellIs" dxfId="2692" priority="156" operator="lessThan">
      <formula>6.9</formula>
    </cfRule>
    <cfRule type="cellIs" dxfId="2691" priority="157" operator="lessThan">
      <formula>7.4</formula>
    </cfRule>
    <cfRule type="cellIs" dxfId="2690" priority="158" operator="lessThan">
      <formula>7.9</formula>
    </cfRule>
  </conditionalFormatting>
  <conditionalFormatting sqref="AG3:AG31">
    <cfRule type="cellIs" dxfId="2689" priority="75" operator="lessThan">
      <formula>7.9</formula>
    </cfRule>
    <cfRule type="cellIs" dxfId="2688" priority="76" operator="lessThan">
      <formula>6.9</formula>
    </cfRule>
    <cfRule type="cellIs" dxfId="2687" priority="77" operator="lessThan">
      <formula>7.9</formula>
    </cfRule>
  </conditionalFormatting>
  <conditionalFormatting sqref="AG3:AG31">
    <cfRule type="cellIs" dxfId="2686" priority="94" operator="lessThan">
      <formula>7.4</formula>
    </cfRule>
    <cfRule type="cellIs" dxfId="2685" priority="143" operator="lessThan">
      <formula>6.9</formula>
    </cfRule>
    <cfRule type="cellIs" dxfId="2684" priority="144" operator="lessThan">
      <formula>7.9</formula>
    </cfRule>
    <cfRule type="cellIs" dxfId="2683" priority="145" operator="lessThan">
      <formula>7.4</formula>
    </cfRule>
    <cfRule type="cellIs" dxfId="2682" priority="146" operator="lessThan">
      <formula>6.9</formula>
    </cfRule>
    <cfRule type="cellIs" dxfId="2681" priority="147" operator="lessThan">
      <formula>7.9</formula>
    </cfRule>
    <cfRule type="cellIs" dxfId="2680" priority="148" operator="lessThan">
      <formula>6.9</formula>
    </cfRule>
    <cfRule type="cellIs" dxfId="2679" priority="149" operator="lessThan">
      <formula>7.4</formula>
    </cfRule>
    <cfRule type="cellIs" dxfId="2678" priority="150" operator="lessThan">
      <formula>7.9</formula>
    </cfRule>
  </conditionalFormatting>
  <conditionalFormatting sqref="AK3:AK31">
    <cfRule type="cellIs" dxfId="2677" priority="72" operator="lessThan">
      <formula>7.9</formula>
    </cfRule>
    <cfRule type="cellIs" dxfId="2676" priority="73" operator="lessThan">
      <formula>6.9</formula>
    </cfRule>
    <cfRule type="cellIs" dxfId="2675" priority="74" operator="lessThan">
      <formula>7.9</formula>
    </cfRule>
  </conditionalFormatting>
  <conditionalFormatting sqref="AK3:AK31">
    <cfRule type="cellIs" dxfId="2674" priority="93" operator="lessThan">
      <formula>7.4</formula>
    </cfRule>
    <cfRule type="cellIs" dxfId="2673" priority="135" operator="lessThan">
      <formula>6.9</formula>
    </cfRule>
    <cfRule type="cellIs" dxfId="2672" priority="136" operator="lessThan">
      <formula>7.9</formula>
    </cfRule>
    <cfRule type="cellIs" dxfId="2671" priority="137" operator="lessThan">
      <formula>7.4</formula>
    </cfRule>
    <cfRule type="cellIs" dxfId="2670" priority="138" operator="lessThan">
      <formula>6.9</formula>
    </cfRule>
    <cfRule type="cellIs" dxfId="2669" priority="139" operator="lessThan">
      <formula>7.9</formula>
    </cfRule>
    <cfRule type="cellIs" dxfId="2668" priority="140" operator="lessThan">
      <formula>6.9</formula>
    </cfRule>
    <cfRule type="cellIs" dxfId="2667" priority="141" operator="lessThan">
      <formula>7.4</formula>
    </cfRule>
    <cfRule type="cellIs" dxfId="2666" priority="142" operator="lessThan">
      <formula>7.9</formula>
    </cfRule>
  </conditionalFormatting>
  <conditionalFormatting sqref="AO3:AO31">
    <cfRule type="cellIs" dxfId="2665" priority="69" operator="lessThan">
      <formula>7.9</formula>
    </cfRule>
    <cfRule type="cellIs" dxfId="2664" priority="70" operator="lessThan">
      <formula>6.9</formula>
    </cfRule>
    <cfRule type="cellIs" dxfId="2663" priority="71" operator="lessThan">
      <formula>7.9</formula>
    </cfRule>
  </conditionalFormatting>
  <conditionalFormatting sqref="AO3:AO31">
    <cfRule type="cellIs" dxfId="2662" priority="92" operator="lessThan">
      <formula>7.4</formula>
    </cfRule>
    <cfRule type="cellIs" dxfId="2661" priority="127" operator="lessThan">
      <formula>6.9</formula>
    </cfRule>
    <cfRule type="cellIs" dxfId="2660" priority="128" operator="lessThan">
      <formula>7.9</formula>
    </cfRule>
    <cfRule type="cellIs" dxfId="2659" priority="129" operator="lessThan">
      <formula>7.4</formula>
    </cfRule>
    <cfRule type="cellIs" dxfId="2658" priority="130" operator="lessThan">
      <formula>6.9</formula>
    </cfRule>
    <cfRule type="cellIs" dxfId="2657" priority="131" operator="lessThan">
      <formula>7.9</formula>
    </cfRule>
    <cfRule type="cellIs" dxfId="2656" priority="132" operator="lessThan">
      <formula>6.9</formula>
    </cfRule>
    <cfRule type="cellIs" dxfId="2655" priority="133" operator="lessThan">
      <formula>7.4</formula>
    </cfRule>
    <cfRule type="cellIs" dxfId="2654" priority="134" operator="lessThan">
      <formula>7.9</formula>
    </cfRule>
  </conditionalFormatting>
  <conditionalFormatting sqref="AS3:AS31">
    <cfRule type="cellIs" dxfId="2653" priority="66" operator="lessThan">
      <formula>7.9</formula>
    </cfRule>
    <cfRule type="cellIs" dxfId="2652" priority="67" operator="lessThan">
      <formula>6.9</formula>
    </cfRule>
    <cfRule type="cellIs" dxfId="2651" priority="68" operator="lessThan">
      <formula>7.9</formula>
    </cfRule>
    <cfRule type="cellIs" dxfId="2650" priority="91" operator="lessThan">
      <formula>7.4</formula>
    </cfRule>
  </conditionalFormatting>
  <conditionalFormatting sqref="AS3:AS31">
    <cfRule type="cellIs" dxfId="2649" priority="119" operator="lessThan">
      <formula>6.9</formula>
    </cfRule>
    <cfRule type="cellIs" dxfId="2648" priority="120" operator="lessThan">
      <formula>7.9</formula>
    </cfRule>
    <cfRule type="cellIs" dxfId="2647" priority="121" operator="lessThan">
      <formula>7.4</formula>
    </cfRule>
    <cfRule type="cellIs" dxfId="2646" priority="122" operator="lessThan">
      <formula>6.9</formula>
    </cfRule>
    <cfRule type="cellIs" dxfId="2645" priority="123" operator="lessThan">
      <formula>7.9</formula>
    </cfRule>
    <cfRule type="cellIs" dxfId="2644" priority="124" operator="lessThan">
      <formula>6.9</formula>
    </cfRule>
    <cfRule type="cellIs" dxfId="2643" priority="125" operator="lessThan">
      <formula>7.4</formula>
    </cfRule>
    <cfRule type="cellIs" dxfId="2642" priority="126" operator="lessThan">
      <formula>7.9</formula>
    </cfRule>
  </conditionalFormatting>
  <conditionalFormatting sqref="AW3:AW31">
    <cfRule type="cellIs" dxfId="2641" priority="63" operator="lessThan">
      <formula>7.9</formula>
    </cfRule>
    <cfRule type="cellIs" dxfId="2640" priority="64" operator="lessThan">
      <formula>6.9</formula>
    </cfRule>
    <cfRule type="cellIs" dxfId="2639" priority="65" operator="lessThan">
      <formula>7.4</formula>
    </cfRule>
    <cfRule type="cellIs" dxfId="2638" priority="90" operator="lessThan">
      <formula>7.9</formula>
    </cfRule>
  </conditionalFormatting>
  <conditionalFormatting sqref="AW3:AW31">
    <cfRule type="cellIs" dxfId="2637" priority="111" operator="lessThan">
      <formula>6.9</formula>
    </cfRule>
    <cfRule type="cellIs" dxfId="2636" priority="112" operator="lessThan">
      <formula>7.9</formula>
    </cfRule>
    <cfRule type="cellIs" dxfId="2635" priority="113" operator="lessThan">
      <formula>7.4</formula>
    </cfRule>
    <cfRule type="cellIs" dxfId="2634" priority="114" operator="lessThan">
      <formula>6.9</formula>
    </cfRule>
    <cfRule type="cellIs" dxfId="2633" priority="115" operator="lessThan">
      <formula>7.9</formula>
    </cfRule>
    <cfRule type="cellIs" dxfId="2632" priority="116" operator="lessThan">
      <formula>6.9</formula>
    </cfRule>
    <cfRule type="cellIs" dxfId="2631" priority="117" operator="lessThan">
      <formula>7.4</formula>
    </cfRule>
    <cfRule type="cellIs" dxfId="2630" priority="118" operator="lessThan">
      <formula>7.9</formula>
    </cfRule>
  </conditionalFormatting>
  <conditionalFormatting sqref="BA3:BA31">
    <cfRule type="cellIs" dxfId="2629" priority="99" operator="lessThan">
      <formula>7.9</formula>
    </cfRule>
    <cfRule type="cellIs" dxfId="2628" priority="100" operator="lessThan">
      <formula>6.9</formula>
    </cfRule>
    <cfRule type="cellIs" dxfId="2627" priority="101" operator="lessThan">
      <formula>7.4</formula>
    </cfRule>
    <cfRule type="cellIs" dxfId="2626" priority="102" operator="lessThan">
      <formula>7.9</formula>
    </cfRule>
    <cfRule type="cellIs" dxfId="2625" priority="103" operator="lessThan">
      <formula>6.9</formula>
    </cfRule>
    <cfRule type="cellIs" dxfId="2624" priority="104" operator="lessThan">
      <formula>7.9</formula>
    </cfRule>
    <cfRule type="cellIs" dxfId="2623" priority="105" operator="lessThan">
      <formula>7.4</formula>
    </cfRule>
    <cfRule type="cellIs" dxfId="2622" priority="106" operator="lessThan">
      <formula>6.9</formula>
    </cfRule>
    <cfRule type="cellIs" dxfId="2621" priority="107" operator="lessThan">
      <formula>7.9</formula>
    </cfRule>
    <cfRule type="cellIs" dxfId="2620" priority="108" operator="lessThan">
      <formula>6.9</formula>
    </cfRule>
    <cfRule type="cellIs" dxfId="2619" priority="109" operator="lessThan">
      <formula>7.4</formula>
    </cfRule>
    <cfRule type="cellIs" dxfId="2618" priority="110" operator="lessThan">
      <formula>7.9</formula>
    </cfRule>
  </conditionalFormatting>
  <conditionalFormatting sqref="J3:L31">
    <cfRule type="cellIs" dxfId="2617" priority="31" operator="lessThan">
      <formula>7.9</formula>
    </cfRule>
  </conditionalFormatting>
  <conditionalFormatting sqref="J3:L31">
    <cfRule type="cellIs" dxfId="2616" priority="32" operator="lessThan">
      <formula>7.4</formula>
    </cfRule>
  </conditionalFormatting>
  <conditionalFormatting sqref="J5:L6">
    <cfRule type="cellIs" dxfId="2615" priority="33" operator="lessThan">
      <formula>6.9</formula>
    </cfRule>
  </conditionalFormatting>
  <conditionalFormatting sqref="N3:P31">
    <cfRule type="cellIs" dxfId="2614" priority="28" operator="lessThan">
      <formula>7.9</formula>
    </cfRule>
  </conditionalFormatting>
  <conditionalFormatting sqref="N3:P31">
    <cfRule type="cellIs" dxfId="2613" priority="29" operator="lessThan">
      <formula>7.4</formula>
    </cfRule>
  </conditionalFormatting>
  <conditionalFormatting sqref="N5:P6">
    <cfRule type="cellIs" dxfId="2612" priority="30" operator="lessThan">
      <formula>6.9</formula>
    </cfRule>
  </conditionalFormatting>
  <conditionalFormatting sqref="R3:T31">
    <cfRule type="cellIs" dxfId="2611" priority="25" operator="lessThan">
      <formula>7.9</formula>
    </cfRule>
  </conditionalFormatting>
  <conditionalFormatting sqref="R3:T31">
    <cfRule type="cellIs" dxfId="2610" priority="26" operator="lessThan">
      <formula>7.4</formula>
    </cfRule>
  </conditionalFormatting>
  <conditionalFormatting sqref="R5:T6">
    <cfRule type="cellIs" dxfId="2609" priority="27" operator="lessThan">
      <formula>6.9</formula>
    </cfRule>
  </conditionalFormatting>
  <conditionalFormatting sqref="V3:X31">
    <cfRule type="cellIs" dxfId="2608" priority="22" operator="lessThan">
      <formula>7.9</formula>
    </cfRule>
  </conditionalFormatting>
  <conditionalFormatting sqref="V3:X31">
    <cfRule type="cellIs" dxfId="2607" priority="23" operator="lessThan">
      <formula>7.4</formula>
    </cfRule>
  </conditionalFormatting>
  <conditionalFormatting sqref="V5:X6">
    <cfRule type="cellIs" dxfId="2606" priority="24" operator="lessThan">
      <formula>6.9</formula>
    </cfRule>
  </conditionalFormatting>
  <conditionalFormatting sqref="Z3:AB31">
    <cfRule type="cellIs" dxfId="2605" priority="19" operator="lessThan">
      <formula>7.9</formula>
    </cfRule>
  </conditionalFormatting>
  <conditionalFormatting sqref="Z3:AB31">
    <cfRule type="cellIs" dxfId="2604" priority="20" operator="lessThan">
      <formula>7.4</formula>
    </cfRule>
  </conditionalFormatting>
  <conditionalFormatting sqref="Z5:AB6">
    <cfRule type="cellIs" dxfId="2603" priority="21" operator="lessThan">
      <formula>6.9</formula>
    </cfRule>
  </conditionalFormatting>
  <conditionalFormatting sqref="AD3:AF31">
    <cfRule type="cellIs" dxfId="2602" priority="16" operator="lessThan">
      <formula>7.9</formula>
    </cfRule>
  </conditionalFormatting>
  <conditionalFormatting sqref="AD3:AF31">
    <cfRule type="cellIs" dxfId="2601" priority="17" operator="lessThan">
      <formula>7.4</formula>
    </cfRule>
  </conditionalFormatting>
  <conditionalFormatting sqref="AD5:AF6">
    <cfRule type="cellIs" dxfId="2600" priority="18" operator="lessThan">
      <formula>6.9</formula>
    </cfRule>
  </conditionalFormatting>
  <conditionalFormatting sqref="AH3:AJ31">
    <cfRule type="cellIs" dxfId="2599" priority="13" operator="lessThan">
      <formula>7.9</formula>
    </cfRule>
  </conditionalFormatting>
  <conditionalFormatting sqref="AH3:AJ31">
    <cfRule type="cellIs" dxfId="2598" priority="14" operator="lessThan">
      <formula>7.4</formula>
    </cfRule>
  </conditionalFormatting>
  <conditionalFormatting sqref="AH5:AJ6">
    <cfRule type="cellIs" dxfId="2597" priority="15" operator="lessThan">
      <formula>6.9</formula>
    </cfRule>
  </conditionalFormatting>
  <conditionalFormatting sqref="AL3:AN31">
    <cfRule type="cellIs" dxfId="2596" priority="10" operator="lessThan">
      <formula>7.9</formula>
    </cfRule>
  </conditionalFormatting>
  <conditionalFormatting sqref="AL3:AN31">
    <cfRule type="cellIs" dxfId="2595" priority="11" operator="lessThan">
      <formula>7.4</formula>
    </cfRule>
  </conditionalFormatting>
  <conditionalFormatting sqref="AL5:AN6">
    <cfRule type="cellIs" dxfId="2594" priority="12" operator="lessThan">
      <formula>6.9</formula>
    </cfRule>
  </conditionalFormatting>
  <conditionalFormatting sqref="AP3:AR31">
    <cfRule type="cellIs" dxfId="2593" priority="7" operator="lessThan">
      <formula>7.9</formula>
    </cfRule>
  </conditionalFormatting>
  <conditionalFormatting sqref="AP3:AR31">
    <cfRule type="cellIs" dxfId="2592" priority="8" operator="lessThan">
      <formula>7.4</formula>
    </cfRule>
  </conditionalFormatting>
  <conditionalFormatting sqref="AP5:AR6">
    <cfRule type="cellIs" dxfId="2591" priority="9" operator="lessThan">
      <formula>6.9</formula>
    </cfRule>
  </conditionalFormatting>
  <conditionalFormatting sqref="AT3:AV31">
    <cfRule type="cellIs" dxfId="2590" priority="4" operator="lessThan">
      <formula>7.9</formula>
    </cfRule>
  </conditionalFormatting>
  <conditionalFormatting sqref="AT3:AV31">
    <cfRule type="cellIs" dxfId="2589" priority="5" operator="lessThan">
      <formula>7.4</formula>
    </cfRule>
  </conditionalFormatting>
  <conditionalFormatting sqref="AT5:AV6">
    <cfRule type="cellIs" dxfId="2588" priority="6" operator="lessThan">
      <formula>6.9</formula>
    </cfRule>
  </conditionalFormatting>
  <conditionalFormatting sqref="AX3:AZ31">
    <cfRule type="cellIs" dxfId="2587" priority="1" operator="lessThan">
      <formula>7.9</formula>
    </cfRule>
  </conditionalFormatting>
  <conditionalFormatting sqref="AX3:AZ31">
    <cfRule type="cellIs" dxfId="2586" priority="2" operator="lessThan">
      <formula>7.4</formula>
    </cfRule>
  </conditionalFormatting>
  <conditionalFormatting sqref="AX5:AZ6">
    <cfRule type="cellIs" dxfId="2585" priority="3" operator="lessThan">
      <formula>6.9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F37"/>
  <sheetViews>
    <sheetView topLeftCell="AL1" zoomScale="80" zoomScaleNormal="80" workbookViewId="0">
      <selection activeCell="BF3" sqref="BF3:BF37"/>
    </sheetView>
  </sheetViews>
  <sheetFormatPr baseColWidth="10" defaultColWidth="12.5703125" defaultRowHeight="15.75" customHeight="1" x14ac:dyDescent="0.2"/>
  <cols>
    <col min="1" max="1" width="11.140625" bestFit="1" customWidth="1"/>
    <col min="2" max="2" width="51" bestFit="1" customWidth="1"/>
    <col min="3" max="3" width="9.5703125" bestFit="1" customWidth="1"/>
    <col min="4" max="4" width="6.5703125" bestFit="1" customWidth="1"/>
    <col min="5" max="5" width="6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</cols>
  <sheetData>
    <row r="1" spans="1:58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194" t="s">
        <v>889</v>
      </c>
      <c r="BC1" s="195"/>
      <c r="BD1" s="195"/>
      <c r="BE1" s="196"/>
      <c r="BF1" s="71" t="s">
        <v>2</v>
      </c>
    </row>
    <row r="2" spans="1:58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1" t="s">
        <v>12</v>
      </c>
    </row>
    <row r="3" spans="1:58" ht="15.75" customHeight="1" x14ac:dyDescent="0.25">
      <c r="A3" s="13" t="s">
        <v>460</v>
      </c>
      <c r="B3" s="16" t="s">
        <v>461</v>
      </c>
      <c r="C3" s="13" t="s">
        <v>15</v>
      </c>
      <c r="D3" s="231">
        <v>5</v>
      </c>
      <c r="E3" s="25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0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132">
        <v>0</v>
      </c>
      <c r="BC3" s="132">
        <v>0</v>
      </c>
      <c r="BD3" s="132">
        <v>0</v>
      </c>
      <c r="BE3" s="84">
        <f>AVERAGE(BB3:BD3)</f>
        <v>0</v>
      </c>
      <c r="BF3" s="64">
        <f>AVERAGE(I3,M3,Q3,U3,Y3,AC3,AG3,AK3,AO3,AS3,AW3,BA3,BE3)</f>
        <v>0</v>
      </c>
    </row>
    <row r="4" spans="1:58" ht="15.75" customHeight="1" x14ac:dyDescent="0.25">
      <c r="A4" s="13" t="s">
        <v>430</v>
      </c>
      <c r="B4" s="16" t="s">
        <v>431</v>
      </c>
      <c r="C4" s="13" t="s">
        <v>15</v>
      </c>
      <c r="D4" s="231">
        <v>5</v>
      </c>
      <c r="E4" s="25" t="s">
        <v>16</v>
      </c>
      <c r="F4" s="132">
        <v>0</v>
      </c>
      <c r="G4" s="132">
        <v>0</v>
      </c>
      <c r="H4" s="132">
        <v>0</v>
      </c>
      <c r="I4" s="84">
        <f t="shared" ref="I4:I30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0" si="2">AVERAGE(N4:P4)</f>
        <v>0</v>
      </c>
      <c r="R4" s="132">
        <v>0</v>
      </c>
      <c r="S4" s="132">
        <v>0</v>
      </c>
      <c r="T4" s="132">
        <v>0</v>
      </c>
      <c r="U4" s="84">
        <f t="shared" ref="U4:U30" si="3">AVERAGE(R4:T4)</f>
        <v>0</v>
      </c>
      <c r="V4" s="132">
        <v>0</v>
      </c>
      <c r="W4" s="132">
        <v>0</v>
      </c>
      <c r="X4" s="132">
        <v>0</v>
      </c>
      <c r="Y4" s="84">
        <f t="shared" ref="Y4:Y30" si="4">AVERAGE(V4:X4)</f>
        <v>0</v>
      </c>
      <c r="Z4" s="132">
        <v>0</v>
      </c>
      <c r="AA4" s="132">
        <v>0</v>
      </c>
      <c r="AB4" s="132">
        <v>0</v>
      </c>
      <c r="AC4" s="84">
        <f t="shared" ref="AC4:AC30" si="5">AVERAGE(Z4:AB4)</f>
        <v>0</v>
      </c>
      <c r="AD4" s="132">
        <v>0</v>
      </c>
      <c r="AE4" s="132">
        <v>0</v>
      </c>
      <c r="AF4" s="132">
        <v>0</v>
      </c>
      <c r="AG4" s="84">
        <f t="shared" ref="AG4:AG30" si="6">AVERAGE(AD4:AF4)</f>
        <v>0</v>
      </c>
      <c r="AH4" s="132">
        <v>0</v>
      </c>
      <c r="AI4" s="132">
        <v>0</v>
      </c>
      <c r="AJ4" s="132">
        <v>0</v>
      </c>
      <c r="AK4" s="84">
        <f t="shared" ref="AK4:AK30" si="7">AVERAGE(AH4:AJ4)</f>
        <v>0</v>
      </c>
      <c r="AL4" s="132">
        <v>0</v>
      </c>
      <c r="AM4" s="132">
        <v>0</v>
      </c>
      <c r="AN4" s="132">
        <v>0</v>
      </c>
      <c r="AO4" s="84">
        <f t="shared" ref="AO4:AO30" si="8">AVERAGE(AL4:AN4)</f>
        <v>0</v>
      </c>
      <c r="AP4" s="132">
        <v>0</v>
      </c>
      <c r="AQ4" s="132">
        <v>0</v>
      </c>
      <c r="AR4" s="132">
        <v>0</v>
      </c>
      <c r="AS4" s="84">
        <f t="shared" ref="AS4:AS30" si="9">AVERAGE(AP4:AR4)</f>
        <v>0</v>
      </c>
      <c r="AT4" s="132">
        <v>0</v>
      </c>
      <c r="AU4" s="132">
        <v>0</v>
      </c>
      <c r="AV4" s="132">
        <v>0</v>
      </c>
      <c r="AW4" s="84">
        <f t="shared" ref="AW4:AW30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0" si="11">AVERAGE(AX4:AZ4)</f>
        <v>0</v>
      </c>
      <c r="BB4" s="132">
        <v>0</v>
      </c>
      <c r="BC4" s="132">
        <v>0</v>
      </c>
      <c r="BD4" s="132">
        <v>0</v>
      </c>
      <c r="BE4" s="84">
        <f t="shared" ref="BE4:BE37" si="12">AVERAGE(BB4:BD4)</f>
        <v>0</v>
      </c>
      <c r="BF4" s="64">
        <f t="shared" ref="BF4:BF37" si="13">AVERAGE(I4,M4,Q4,U4,Y4,AC4,AG4,AK4,AO4,AS4,AW4,BA4,BE4)</f>
        <v>0</v>
      </c>
    </row>
    <row r="5" spans="1:58" ht="15.75" customHeight="1" x14ac:dyDescent="0.25">
      <c r="A5" s="13" t="s">
        <v>474</v>
      </c>
      <c r="B5" s="16" t="s">
        <v>475</v>
      </c>
      <c r="C5" s="13" t="s">
        <v>15</v>
      </c>
      <c r="D5" s="231">
        <v>5</v>
      </c>
      <c r="E5" s="25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132">
        <v>0</v>
      </c>
      <c r="BC5" s="132">
        <v>0</v>
      </c>
      <c r="BD5" s="132">
        <v>0</v>
      </c>
      <c r="BE5" s="84">
        <f t="shared" si="12"/>
        <v>0</v>
      </c>
      <c r="BF5" s="64">
        <f t="shared" si="13"/>
        <v>0</v>
      </c>
    </row>
    <row r="6" spans="1:58" ht="15.75" customHeight="1" x14ac:dyDescent="0.25">
      <c r="A6" s="13" t="s">
        <v>426</v>
      </c>
      <c r="B6" s="16" t="s">
        <v>427</v>
      </c>
      <c r="C6" s="13" t="s">
        <v>15</v>
      </c>
      <c r="D6" s="231">
        <v>5</v>
      </c>
      <c r="E6" s="25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132">
        <v>0</v>
      </c>
      <c r="BC6" s="132">
        <v>0</v>
      </c>
      <c r="BD6" s="132">
        <v>0</v>
      </c>
      <c r="BE6" s="84">
        <f t="shared" si="12"/>
        <v>0</v>
      </c>
      <c r="BF6" s="64">
        <f t="shared" si="13"/>
        <v>0</v>
      </c>
    </row>
    <row r="7" spans="1:58" ht="15.75" customHeight="1" x14ac:dyDescent="0.25">
      <c r="A7" s="13" t="s">
        <v>432</v>
      </c>
      <c r="B7" s="16" t="s">
        <v>433</v>
      </c>
      <c r="C7" s="13" t="s">
        <v>15</v>
      </c>
      <c r="D7" s="231">
        <v>5</v>
      </c>
      <c r="E7" s="25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132">
        <v>0</v>
      </c>
      <c r="BC7" s="132">
        <v>0</v>
      </c>
      <c r="BD7" s="132">
        <v>0</v>
      </c>
      <c r="BE7" s="84">
        <f t="shared" si="12"/>
        <v>0</v>
      </c>
      <c r="BF7" s="64">
        <f t="shared" si="13"/>
        <v>0</v>
      </c>
    </row>
    <row r="8" spans="1:58" ht="15.75" customHeight="1" x14ac:dyDescent="0.25">
      <c r="A8" s="13" t="s">
        <v>446</v>
      </c>
      <c r="B8" s="16" t="s">
        <v>447</v>
      </c>
      <c r="C8" s="13" t="s">
        <v>15</v>
      </c>
      <c r="D8" s="231">
        <v>5</v>
      </c>
      <c r="E8" s="25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132">
        <v>0</v>
      </c>
      <c r="BC8" s="132">
        <v>0</v>
      </c>
      <c r="BD8" s="132">
        <v>0</v>
      </c>
      <c r="BE8" s="84">
        <f t="shared" si="12"/>
        <v>0</v>
      </c>
      <c r="BF8" s="64">
        <f t="shared" si="13"/>
        <v>0</v>
      </c>
    </row>
    <row r="9" spans="1:58" ht="15.75" customHeight="1" x14ac:dyDescent="0.25">
      <c r="A9" s="13" t="s">
        <v>454</v>
      </c>
      <c r="B9" s="16" t="s">
        <v>455</v>
      </c>
      <c r="C9" s="13" t="s">
        <v>15</v>
      </c>
      <c r="D9" s="231">
        <v>5</v>
      </c>
      <c r="E9" s="25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132">
        <v>0</v>
      </c>
      <c r="BC9" s="132">
        <v>0</v>
      </c>
      <c r="BD9" s="132">
        <v>0</v>
      </c>
      <c r="BE9" s="84">
        <f t="shared" si="12"/>
        <v>0</v>
      </c>
      <c r="BF9" s="64">
        <f t="shared" si="13"/>
        <v>0</v>
      </c>
    </row>
    <row r="10" spans="1:58" ht="15.75" customHeight="1" x14ac:dyDescent="0.25">
      <c r="A10" s="13" t="s">
        <v>434</v>
      </c>
      <c r="B10" s="16" t="s">
        <v>435</v>
      </c>
      <c r="C10" s="13" t="s">
        <v>15</v>
      </c>
      <c r="D10" s="231">
        <v>5</v>
      </c>
      <c r="E10" s="25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132">
        <v>0</v>
      </c>
      <c r="BC10" s="132">
        <v>0</v>
      </c>
      <c r="BD10" s="132">
        <v>0</v>
      </c>
      <c r="BE10" s="84">
        <f t="shared" si="12"/>
        <v>0</v>
      </c>
      <c r="BF10" s="64">
        <f t="shared" si="13"/>
        <v>0</v>
      </c>
    </row>
    <row r="11" spans="1:58" ht="15.75" customHeight="1" x14ac:dyDescent="0.25">
      <c r="A11" s="13" t="s">
        <v>418</v>
      </c>
      <c r="B11" s="16" t="s">
        <v>419</v>
      </c>
      <c r="C11" s="13" t="s">
        <v>15</v>
      </c>
      <c r="D11" s="231">
        <v>5</v>
      </c>
      <c r="E11" s="25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132">
        <v>0</v>
      </c>
      <c r="BC11" s="132">
        <v>0</v>
      </c>
      <c r="BD11" s="132">
        <v>0</v>
      </c>
      <c r="BE11" s="84">
        <f t="shared" si="12"/>
        <v>0</v>
      </c>
      <c r="BF11" s="64">
        <f t="shared" si="13"/>
        <v>0</v>
      </c>
    </row>
    <row r="12" spans="1:58" ht="15.75" customHeight="1" x14ac:dyDescent="0.25">
      <c r="A12" s="13" t="s">
        <v>436</v>
      </c>
      <c r="B12" s="17" t="s">
        <v>437</v>
      </c>
      <c r="C12" s="13" t="s">
        <v>15</v>
      </c>
      <c r="D12" s="231">
        <v>5</v>
      </c>
      <c r="E12" s="25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132">
        <v>0</v>
      </c>
      <c r="BC12" s="132">
        <v>0</v>
      </c>
      <c r="BD12" s="132">
        <v>0</v>
      </c>
      <c r="BE12" s="84">
        <f t="shared" si="12"/>
        <v>0</v>
      </c>
      <c r="BF12" s="64">
        <f t="shared" si="13"/>
        <v>0</v>
      </c>
    </row>
    <row r="13" spans="1:58" ht="15.75" customHeight="1" x14ac:dyDescent="0.25">
      <c r="A13" s="13" t="s">
        <v>472</v>
      </c>
      <c r="B13" s="16" t="s">
        <v>473</v>
      </c>
      <c r="C13" s="13" t="s">
        <v>15</v>
      </c>
      <c r="D13" s="231">
        <v>5</v>
      </c>
      <c r="E13" s="25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132">
        <v>0</v>
      </c>
      <c r="BC13" s="132">
        <v>0</v>
      </c>
      <c r="BD13" s="132">
        <v>0</v>
      </c>
      <c r="BE13" s="84">
        <f t="shared" si="12"/>
        <v>0</v>
      </c>
      <c r="BF13" s="64">
        <f t="shared" si="13"/>
        <v>0</v>
      </c>
    </row>
    <row r="14" spans="1:58" ht="15.75" customHeight="1" x14ac:dyDescent="0.25">
      <c r="A14" s="13" t="s">
        <v>484</v>
      </c>
      <c r="B14" s="16" t="s">
        <v>485</v>
      </c>
      <c r="C14" s="13" t="s">
        <v>15</v>
      </c>
      <c r="D14" s="231">
        <v>5</v>
      </c>
      <c r="E14" s="25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132">
        <v>0</v>
      </c>
      <c r="BC14" s="132">
        <v>0</v>
      </c>
      <c r="BD14" s="132">
        <v>0</v>
      </c>
      <c r="BE14" s="84">
        <f t="shared" si="12"/>
        <v>0</v>
      </c>
      <c r="BF14" s="64">
        <f t="shared" si="13"/>
        <v>0</v>
      </c>
    </row>
    <row r="15" spans="1:58" ht="15.75" customHeight="1" x14ac:dyDescent="0.25">
      <c r="A15" s="21"/>
      <c r="B15" s="26" t="s">
        <v>867</v>
      </c>
      <c r="C15" s="13" t="s">
        <v>15</v>
      </c>
      <c r="D15" s="231">
        <v>5</v>
      </c>
      <c r="E15" s="25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132">
        <v>0</v>
      </c>
      <c r="BC15" s="132">
        <v>0</v>
      </c>
      <c r="BD15" s="132">
        <v>0</v>
      </c>
      <c r="BE15" s="84">
        <f t="shared" si="12"/>
        <v>0</v>
      </c>
      <c r="BF15" s="64">
        <f t="shared" si="13"/>
        <v>0</v>
      </c>
    </row>
    <row r="16" spans="1:58" ht="15.75" customHeight="1" x14ac:dyDescent="0.25">
      <c r="A16" s="13" t="s">
        <v>452</v>
      </c>
      <c r="B16" s="16" t="s">
        <v>453</v>
      </c>
      <c r="C16" s="13" t="s">
        <v>15</v>
      </c>
      <c r="D16" s="231">
        <v>5</v>
      </c>
      <c r="E16" s="25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132">
        <v>0</v>
      </c>
      <c r="BC16" s="132">
        <v>0</v>
      </c>
      <c r="BD16" s="132">
        <v>0</v>
      </c>
      <c r="BE16" s="84">
        <f t="shared" si="12"/>
        <v>0</v>
      </c>
      <c r="BF16" s="64">
        <f t="shared" si="13"/>
        <v>0</v>
      </c>
    </row>
    <row r="17" spans="1:58" ht="15.75" customHeight="1" x14ac:dyDescent="0.25">
      <c r="A17" s="13" t="s">
        <v>468</v>
      </c>
      <c r="B17" s="16" t="s">
        <v>469</v>
      </c>
      <c r="C17" s="13" t="s">
        <v>15</v>
      </c>
      <c r="D17" s="231">
        <v>5</v>
      </c>
      <c r="E17" s="25" t="s">
        <v>16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132">
        <v>0</v>
      </c>
      <c r="BC17" s="132">
        <v>0</v>
      </c>
      <c r="BD17" s="132">
        <v>0</v>
      </c>
      <c r="BE17" s="84">
        <f t="shared" si="12"/>
        <v>0</v>
      </c>
      <c r="BF17" s="64">
        <f t="shared" si="13"/>
        <v>0</v>
      </c>
    </row>
    <row r="18" spans="1:58" ht="15.75" customHeight="1" x14ac:dyDescent="0.25">
      <c r="A18" s="13" t="s">
        <v>420</v>
      </c>
      <c r="B18" s="16" t="s">
        <v>421</v>
      </c>
      <c r="C18" s="13" t="s">
        <v>15</v>
      </c>
      <c r="D18" s="231">
        <v>5</v>
      </c>
      <c r="E18" s="25" t="s">
        <v>16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132">
        <v>0</v>
      </c>
      <c r="BC18" s="132">
        <v>0</v>
      </c>
      <c r="BD18" s="132">
        <v>0</v>
      </c>
      <c r="BE18" s="103">
        <f t="shared" si="12"/>
        <v>0</v>
      </c>
      <c r="BF18" s="64">
        <f t="shared" si="13"/>
        <v>0</v>
      </c>
    </row>
    <row r="19" spans="1:58" ht="15.75" customHeight="1" x14ac:dyDescent="0.25">
      <c r="A19" s="13" t="s">
        <v>462</v>
      </c>
      <c r="B19" s="16" t="s">
        <v>463</v>
      </c>
      <c r="C19" s="13" t="s">
        <v>15</v>
      </c>
      <c r="D19" s="231">
        <v>5</v>
      </c>
      <c r="E19" s="25" t="s">
        <v>16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132">
        <v>0</v>
      </c>
      <c r="BC19" s="132">
        <v>0</v>
      </c>
      <c r="BD19" s="132">
        <v>0</v>
      </c>
      <c r="BE19" s="84">
        <f t="shared" si="12"/>
        <v>0</v>
      </c>
      <c r="BF19" s="64">
        <f t="shared" si="13"/>
        <v>0</v>
      </c>
    </row>
    <row r="20" spans="1:58" ht="15.75" customHeight="1" x14ac:dyDescent="0.25">
      <c r="A20" s="13" t="s">
        <v>458</v>
      </c>
      <c r="B20" s="16" t="s">
        <v>459</v>
      </c>
      <c r="C20" s="13" t="s">
        <v>15</v>
      </c>
      <c r="D20" s="231">
        <v>5</v>
      </c>
      <c r="E20" s="25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132">
        <v>0</v>
      </c>
      <c r="BC20" s="132">
        <v>0</v>
      </c>
      <c r="BD20" s="132">
        <v>0</v>
      </c>
      <c r="BE20" s="84">
        <f t="shared" si="12"/>
        <v>0</v>
      </c>
      <c r="BF20" s="64">
        <f t="shared" si="13"/>
        <v>0</v>
      </c>
    </row>
    <row r="21" spans="1:58" ht="15.75" customHeight="1" x14ac:dyDescent="0.25">
      <c r="A21" s="13" t="s">
        <v>480</v>
      </c>
      <c r="B21" s="16" t="s">
        <v>481</v>
      </c>
      <c r="C21" s="13" t="s">
        <v>15</v>
      </c>
      <c r="D21" s="231">
        <v>5</v>
      </c>
      <c r="E21" s="25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132">
        <v>0</v>
      </c>
      <c r="BC21" s="132">
        <v>0</v>
      </c>
      <c r="BD21" s="132">
        <v>0</v>
      </c>
      <c r="BE21" s="84">
        <f t="shared" si="12"/>
        <v>0</v>
      </c>
      <c r="BF21" s="64">
        <f t="shared" si="13"/>
        <v>0</v>
      </c>
    </row>
    <row r="22" spans="1:58" ht="15.75" customHeight="1" x14ac:dyDescent="0.25">
      <c r="A22" s="13" t="s">
        <v>428</v>
      </c>
      <c r="B22" s="16" t="s">
        <v>429</v>
      </c>
      <c r="C22" s="13" t="s">
        <v>15</v>
      </c>
      <c r="D22" s="231">
        <v>5</v>
      </c>
      <c r="E22" s="25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132">
        <v>0</v>
      </c>
      <c r="BC22" s="132">
        <v>0</v>
      </c>
      <c r="BD22" s="132">
        <v>0</v>
      </c>
      <c r="BE22" s="84">
        <f t="shared" si="12"/>
        <v>0</v>
      </c>
      <c r="BF22" s="64">
        <f t="shared" si="13"/>
        <v>0</v>
      </c>
    </row>
    <row r="23" spans="1:58" ht="15.75" customHeight="1" x14ac:dyDescent="0.25">
      <c r="A23" s="13" t="s">
        <v>450</v>
      </c>
      <c r="B23" s="16" t="s">
        <v>451</v>
      </c>
      <c r="C23" s="13" t="s">
        <v>15</v>
      </c>
      <c r="D23" s="231">
        <v>5</v>
      </c>
      <c r="E23" s="25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132">
        <v>0</v>
      </c>
      <c r="BC23" s="132">
        <v>0</v>
      </c>
      <c r="BD23" s="132">
        <v>0</v>
      </c>
      <c r="BE23" s="108">
        <f t="shared" si="12"/>
        <v>0</v>
      </c>
      <c r="BF23" s="64">
        <f t="shared" si="13"/>
        <v>0</v>
      </c>
    </row>
    <row r="24" spans="1:58" ht="15.75" customHeight="1" x14ac:dyDescent="0.25">
      <c r="A24" s="13" t="s">
        <v>470</v>
      </c>
      <c r="B24" s="16" t="s">
        <v>471</v>
      </c>
      <c r="C24" s="13" t="s">
        <v>15</v>
      </c>
      <c r="D24" s="231">
        <v>5</v>
      </c>
      <c r="E24" s="25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132">
        <v>0</v>
      </c>
      <c r="BC24" s="132">
        <v>0</v>
      </c>
      <c r="BD24" s="132">
        <v>0</v>
      </c>
      <c r="BE24" s="84">
        <f t="shared" si="12"/>
        <v>0</v>
      </c>
      <c r="BF24" s="64">
        <f t="shared" si="13"/>
        <v>0</v>
      </c>
    </row>
    <row r="25" spans="1:58" ht="15.75" customHeight="1" x14ac:dyDescent="0.25">
      <c r="A25" s="13" t="s">
        <v>438</v>
      </c>
      <c r="B25" s="16" t="s">
        <v>439</v>
      </c>
      <c r="C25" s="13" t="s">
        <v>15</v>
      </c>
      <c r="D25" s="231">
        <v>5</v>
      </c>
      <c r="E25" s="25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132">
        <v>0</v>
      </c>
      <c r="BC25" s="132">
        <v>0</v>
      </c>
      <c r="BD25" s="132">
        <v>0</v>
      </c>
      <c r="BE25" s="108">
        <f t="shared" si="12"/>
        <v>0</v>
      </c>
      <c r="BF25" s="64">
        <f t="shared" si="13"/>
        <v>0</v>
      </c>
    </row>
    <row r="26" spans="1:58" ht="15.75" customHeight="1" x14ac:dyDescent="0.25">
      <c r="A26" s="13" t="s">
        <v>422</v>
      </c>
      <c r="B26" s="16" t="s">
        <v>423</v>
      </c>
      <c r="C26" s="13" t="s">
        <v>15</v>
      </c>
      <c r="D26" s="231">
        <v>5</v>
      </c>
      <c r="E26" s="25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132">
        <v>0</v>
      </c>
      <c r="BC26" s="132">
        <v>0</v>
      </c>
      <c r="BD26" s="132">
        <v>0</v>
      </c>
      <c r="BE26" s="84">
        <f t="shared" si="12"/>
        <v>0</v>
      </c>
      <c r="BF26" s="64">
        <f t="shared" si="13"/>
        <v>0</v>
      </c>
    </row>
    <row r="27" spans="1:58" ht="15.75" customHeight="1" x14ac:dyDescent="0.25">
      <c r="A27" s="13" t="s">
        <v>448</v>
      </c>
      <c r="B27" s="16" t="s">
        <v>449</v>
      </c>
      <c r="C27" s="13" t="s">
        <v>15</v>
      </c>
      <c r="D27" s="231">
        <v>5</v>
      </c>
      <c r="E27" s="25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132">
        <v>0</v>
      </c>
      <c r="BC27" s="132">
        <v>0</v>
      </c>
      <c r="BD27" s="132">
        <v>0</v>
      </c>
      <c r="BE27" s="84">
        <f t="shared" si="12"/>
        <v>0</v>
      </c>
      <c r="BF27" s="64">
        <f t="shared" si="13"/>
        <v>0</v>
      </c>
    </row>
    <row r="28" spans="1:58" ht="15.75" customHeight="1" x14ac:dyDescent="0.25">
      <c r="A28" s="13" t="s">
        <v>466</v>
      </c>
      <c r="B28" s="16" t="s">
        <v>467</v>
      </c>
      <c r="C28" s="13" t="s">
        <v>15</v>
      </c>
      <c r="D28" s="231">
        <v>5</v>
      </c>
      <c r="E28" s="25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132">
        <v>0</v>
      </c>
      <c r="BC28" s="132">
        <v>0</v>
      </c>
      <c r="BD28" s="132">
        <v>0</v>
      </c>
      <c r="BE28" s="84">
        <f t="shared" si="12"/>
        <v>0</v>
      </c>
      <c r="BF28" s="64">
        <f t="shared" si="13"/>
        <v>0</v>
      </c>
    </row>
    <row r="29" spans="1:58" ht="15.75" customHeight="1" x14ac:dyDescent="0.25">
      <c r="A29" s="13" t="s">
        <v>478</v>
      </c>
      <c r="B29" s="16" t="s">
        <v>479</v>
      </c>
      <c r="C29" s="13" t="s">
        <v>15</v>
      </c>
      <c r="D29" s="231">
        <v>5</v>
      </c>
      <c r="E29" s="25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132">
        <v>0</v>
      </c>
      <c r="BC29" s="132">
        <v>0</v>
      </c>
      <c r="BD29" s="132">
        <v>0</v>
      </c>
      <c r="BE29" s="84">
        <f t="shared" si="12"/>
        <v>0</v>
      </c>
      <c r="BF29" s="64">
        <f t="shared" si="13"/>
        <v>0</v>
      </c>
    </row>
    <row r="30" spans="1:58" ht="15.75" customHeight="1" x14ac:dyDescent="0.25">
      <c r="A30" s="13" t="s">
        <v>476</v>
      </c>
      <c r="B30" s="16" t="s">
        <v>477</v>
      </c>
      <c r="C30" s="13" t="s">
        <v>15</v>
      </c>
      <c r="D30" s="231">
        <v>5</v>
      </c>
      <c r="E30" s="25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132">
        <v>0</v>
      </c>
      <c r="BC30" s="132">
        <v>0</v>
      </c>
      <c r="BD30" s="132">
        <v>0</v>
      </c>
      <c r="BE30" s="84">
        <f t="shared" si="12"/>
        <v>0</v>
      </c>
      <c r="BF30" s="64">
        <f t="shared" si="13"/>
        <v>0</v>
      </c>
    </row>
    <row r="31" spans="1:58" ht="15.75" customHeight="1" x14ac:dyDescent="0.25">
      <c r="A31" s="13" t="s">
        <v>444</v>
      </c>
      <c r="B31" s="16" t="s">
        <v>445</v>
      </c>
      <c r="C31" s="13" t="s">
        <v>15</v>
      </c>
      <c r="D31" s="231">
        <v>5</v>
      </c>
      <c r="E31" s="25" t="s">
        <v>41</v>
      </c>
      <c r="F31" s="132">
        <v>0</v>
      </c>
      <c r="G31" s="132">
        <v>0</v>
      </c>
      <c r="H31" s="132">
        <v>0</v>
      </c>
      <c r="I31" s="84">
        <f t="shared" ref="I31:I37" si="14">AVERAGE(F31:H31)</f>
        <v>0</v>
      </c>
      <c r="J31" s="132">
        <v>0</v>
      </c>
      <c r="K31" s="132">
        <v>0</v>
      </c>
      <c r="L31" s="132">
        <v>0</v>
      </c>
      <c r="M31" s="84">
        <f t="shared" ref="M31:M37" si="15">AVERAGE(J31:L31)</f>
        <v>0</v>
      </c>
      <c r="N31" s="132">
        <v>0</v>
      </c>
      <c r="O31" s="132">
        <v>0</v>
      </c>
      <c r="P31" s="132">
        <v>0</v>
      </c>
      <c r="Q31" s="84">
        <f t="shared" ref="Q31:Q37" si="16">AVERAGE(N31:P31)</f>
        <v>0</v>
      </c>
      <c r="R31" s="132">
        <v>0</v>
      </c>
      <c r="S31" s="132">
        <v>0</v>
      </c>
      <c r="T31" s="132">
        <v>0</v>
      </c>
      <c r="U31" s="84">
        <f t="shared" ref="U31:U37" si="17">AVERAGE(R31:T31)</f>
        <v>0</v>
      </c>
      <c r="V31" s="132">
        <v>0</v>
      </c>
      <c r="W31" s="132">
        <v>0</v>
      </c>
      <c r="X31" s="132">
        <v>0</v>
      </c>
      <c r="Y31" s="84">
        <f t="shared" ref="Y31:Y37" si="18">AVERAGE(V31:X31)</f>
        <v>0</v>
      </c>
      <c r="Z31" s="132">
        <v>0</v>
      </c>
      <c r="AA31" s="132">
        <v>0</v>
      </c>
      <c r="AB31" s="132">
        <v>0</v>
      </c>
      <c r="AC31" s="84">
        <f t="shared" ref="AC31:AC37" si="19">AVERAGE(Z31:AB31)</f>
        <v>0</v>
      </c>
      <c r="AD31" s="132">
        <v>0</v>
      </c>
      <c r="AE31" s="132">
        <v>0</v>
      </c>
      <c r="AF31" s="132">
        <v>0</v>
      </c>
      <c r="AG31" s="84">
        <f t="shared" ref="AG31:AG37" si="20">AVERAGE(AD31:AF31)</f>
        <v>0</v>
      </c>
      <c r="AH31" s="132">
        <v>0</v>
      </c>
      <c r="AI31" s="132">
        <v>0</v>
      </c>
      <c r="AJ31" s="132">
        <v>0</v>
      </c>
      <c r="AK31" s="84">
        <f t="shared" ref="AK31:AK37" si="21">AVERAGE(AH31:AJ31)</f>
        <v>0</v>
      </c>
      <c r="AL31" s="132">
        <v>0</v>
      </c>
      <c r="AM31" s="132">
        <v>0</v>
      </c>
      <c r="AN31" s="132">
        <v>0</v>
      </c>
      <c r="AO31" s="84">
        <f t="shared" ref="AO31:AO37" si="22">AVERAGE(AL31:AN31)</f>
        <v>0</v>
      </c>
      <c r="AP31" s="132">
        <v>0</v>
      </c>
      <c r="AQ31" s="132">
        <v>0</v>
      </c>
      <c r="AR31" s="132">
        <v>0</v>
      </c>
      <c r="AS31" s="84">
        <f t="shared" ref="AS31:AS37" si="23">AVERAGE(AP31:AR31)</f>
        <v>0</v>
      </c>
      <c r="AT31" s="132">
        <v>0</v>
      </c>
      <c r="AU31" s="132">
        <v>0</v>
      </c>
      <c r="AV31" s="132">
        <v>0</v>
      </c>
      <c r="AW31" s="84">
        <f t="shared" ref="AW31:AW37" si="24">AVERAGE(AT31:AV31)</f>
        <v>0</v>
      </c>
      <c r="AX31" s="132">
        <v>0</v>
      </c>
      <c r="AY31" s="132">
        <v>0</v>
      </c>
      <c r="AZ31" s="132">
        <v>0</v>
      </c>
      <c r="BA31" s="84">
        <f t="shared" ref="BA31:BA37" si="25">AVERAGE(AX31:AZ31)</f>
        <v>0</v>
      </c>
      <c r="BB31" s="132">
        <v>0</v>
      </c>
      <c r="BC31" s="132">
        <v>0</v>
      </c>
      <c r="BD31" s="132">
        <v>0</v>
      </c>
      <c r="BE31" s="84">
        <f t="shared" si="12"/>
        <v>0</v>
      </c>
      <c r="BF31" s="64">
        <f t="shared" si="13"/>
        <v>0</v>
      </c>
    </row>
    <row r="32" spans="1:58" ht="15.75" customHeight="1" x14ac:dyDescent="0.25">
      <c r="A32" s="13" t="s">
        <v>456</v>
      </c>
      <c r="B32" s="16" t="s">
        <v>457</v>
      </c>
      <c r="C32" s="13" t="s">
        <v>15</v>
      </c>
      <c r="D32" s="231">
        <v>5</v>
      </c>
      <c r="E32" s="25" t="s">
        <v>41</v>
      </c>
      <c r="F32" s="132">
        <v>0</v>
      </c>
      <c r="G32" s="132">
        <v>0</v>
      </c>
      <c r="H32" s="132">
        <v>0</v>
      </c>
      <c r="I32" s="84">
        <f t="shared" si="14"/>
        <v>0</v>
      </c>
      <c r="J32" s="132">
        <v>0</v>
      </c>
      <c r="K32" s="132">
        <v>0</v>
      </c>
      <c r="L32" s="132">
        <v>0</v>
      </c>
      <c r="M32" s="84">
        <f t="shared" si="15"/>
        <v>0</v>
      </c>
      <c r="N32" s="132">
        <v>0</v>
      </c>
      <c r="O32" s="132">
        <v>0</v>
      </c>
      <c r="P32" s="132">
        <v>0</v>
      </c>
      <c r="Q32" s="84">
        <f t="shared" si="16"/>
        <v>0</v>
      </c>
      <c r="R32" s="132">
        <v>0</v>
      </c>
      <c r="S32" s="132">
        <v>0</v>
      </c>
      <c r="T32" s="132">
        <v>0</v>
      </c>
      <c r="U32" s="84">
        <f t="shared" si="17"/>
        <v>0</v>
      </c>
      <c r="V32" s="132">
        <v>0</v>
      </c>
      <c r="W32" s="132">
        <v>0</v>
      </c>
      <c r="X32" s="132">
        <v>0</v>
      </c>
      <c r="Y32" s="84">
        <f t="shared" si="18"/>
        <v>0</v>
      </c>
      <c r="Z32" s="132">
        <v>0</v>
      </c>
      <c r="AA32" s="132">
        <v>0</v>
      </c>
      <c r="AB32" s="132">
        <v>0</v>
      </c>
      <c r="AC32" s="84">
        <f t="shared" si="19"/>
        <v>0</v>
      </c>
      <c r="AD32" s="132">
        <v>0</v>
      </c>
      <c r="AE32" s="132">
        <v>0</v>
      </c>
      <c r="AF32" s="132">
        <v>0</v>
      </c>
      <c r="AG32" s="84">
        <f t="shared" si="20"/>
        <v>0</v>
      </c>
      <c r="AH32" s="132">
        <v>0</v>
      </c>
      <c r="AI32" s="132">
        <v>0</v>
      </c>
      <c r="AJ32" s="132">
        <v>0</v>
      </c>
      <c r="AK32" s="84">
        <f t="shared" si="21"/>
        <v>0</v>
      </c>
      <c r="AL32" s="132">
        <v>0</v>
      </c>
      <c r="AM32" s="132">
        <v>0</v>
      </c>
      <c r="AN32" s="132">
        <v>0</v>
      </c>
      <c r="AO32" s="84">
        <f t="shared" si="22"/>
        <v>0</v>
      </c>
      <c r="AP32" s="132">
        <v>0</v>
      </c>
      <c r="AQ32" s="132">
        <v>0</v>
      </c>
      <c r="AR32" s="132">
        <v>0</v>
      </c>
      <c r="AS32" s="84">
        <f t="shared" si="23"/>
        <v>0</v>
      </c>
      <c r="AT32" s="132">
        <v>0</v>
      </c>
      <c r="AU32" s="132">
        <v>0</v>
      </c>
      <c r="AV32" s="132">
        <v>0</v>
      </c>
      <c r="AW32" s="84">
        <f t="shared" si="24"/>
        <v>0</v>
      </c>
      <c r="AX32" s="132">
        <v>0</v>
      </c>
      <c r="AY32" s="132">
        <v>0</v>
      </c>
      <c r="AZ32" s="132">
        <v>0</v>
      </c>
      <c r="BA32" s="84">
        <f t="shared" si="25"/>
        <v>0</v>
      </c>
      <c r="BB32" s="132">
        <v>0</v>
      </c>
      <c r="BC32" s="132">
        <v>0</v>
      </c>
      <c r="BD32" s="132">
        <v>0</v>
      </c>
      <c r="BE32" s="84">
        <f t="shared" si="12"/>
        <v>0</v>
      </c>
      <c r="BF32" s="64">
        <f t="shared" si="13"/>
        <v>0</v>
      </c>
    </row>
    <row r="33" spans="1:58" ht="15.75" customHeight="1" x14ac:dyDescent="0.25">
      <c r="A33" s="13" t="s">
        <v>464</v>
      </c>
      <c r="B33" s="16" t="s">
        <v>465</v>
      </c>
      <c r="C33" s="13" t="s">
        <v>15</v>
      </c>
      <c r="D33" s="231">
        <v>5</v>
      </c>
      <c r="E33" s="25" t="s">
        <v>41</v>
      </c>
      <c r="F33" s="132">
        <v>0</v>
      </c>
      <c r="G33" s="132">
        <v>0</v>
      </c>
      <c r="H33" s="132">
        <v>0</v>
      </c>
      <c r="I33" s="84">
        <f t="shared" si="14"/>
        <v>0</v>
      </c>
      <c r="J33" s="132">
        <v>0</v>
      </c>
      <c r="K33" s="132">
        <v>0</v>
      </c>
      <c r="L33" s="132">
        <v>0</v>
      </c>
      <c r="M33" s="84">
        <f t="shared" si="15"/>
        <v>0</v>
      </c>
      <c r="N33" s="132">
        <v>0</v>
      </c>
      <c r="O33" s="132">
        <v>0</v>
      </c>
      <c r="P33" s="132">
        <v>0</v>
      </c>
      <c r="Q33" s="84">
        <f t="shared" si="16"/>
        <v>0</v>
      </c>
      <c r="R33" s="132">
        <v>0</v>
      </c>
      <c r="S33" s="132">
        <v>0</v>
      </c>
      <c r="T33" s="132">
        <v>0</v>
      </c>
      <c r="U33" s="84">
        <f t="shared" si="17"/>
        <v>0</v>
      </c>
      <c r="V33" s="132">
        <v>0</v>
      </c>
      <c r="W33" s="132">
        <v>0</v>
      </c>
      <c r="X33" s="132">
        <v>0</v>
      </c>
      <c r="Y33" s="84">
        <f t="shared" si="18"/>
        <v>0</v>
      </c>
      <c r="Z33" s="132">
        <v>0</v>
      </c>
      <c r="AA33" s="132">
        <v>0</v>
      </c>
      <c r="AB33" s="132">
        <v>0</v>
      </c>
      <c r="AC33" s="84">
        <f t="shared" si="19"/>
        <v>0</v>
      </c>
      <c r="AD33" s="132">
        <v>0</v>
      </c>
      <c r="AE33" s="132">
        <v>0</v>
      </c>
      <c r="AF33" s="132">
        <v>0</v>
      </c>
      <c r="AG33" s="84">
        <f t="shared" si="20"/>
        <v>0</v>
      </c>
      <c r="AH33" s="132">
        <v>0</v>
      </c>
      <c r="AI33" s="132">
        <v>0</v>
      </c>
      <c r="AJ33" s="132">
        <v>0</v>
      </c>
      <c r="AK33" s="84">
        <f t="shared" si="21"/>
        <v>0</v>
      </c>
      <c r="AL33" s="132">
        <v>0</v>
      </c>
      <c r="AM33" s="132">
        <v>0</v>
      </c>
      <c r="AN33" s="132">
        <v>0</v>
      </c>
      <c r="AO33" s="84">
        <f t="shared" si="22"/>
        <v>0</v>
      </c>
      <c r="AP33" s="132">
        <v>0</v>
      </c>
      <c r="AQ33" s="132">
        <v>0</v>
      </c>
      <c r="AR33" s="132">
        <v>0</v>
      </c>
      <c r="AS33" s="84">
        <f t="shared" si="23"/>
        <v>0</v>
      </c>
      <c r="AT33" s="132">
        <v>0</v>
      </c>
      <c r="AU33" s="132">
        <v>0</v>
      </c>
      <c r="AV33" s="132">
        <v>0</v>
      </c>
      <c r="AW33" s="84">
        <f t="shared" si="24"/>
        <v>0</v>
      </c>
      <c r="AX33" s="132">
        <v>0</v>
      </c>
      <c r="AY33" s="132">
        <v>0</v>
      </c>
      <c r="AZ33" s="132">
        <v>0</v>
      </c>
      <c r="BA33" s="84">
        <f t="shared" si="25"/>
        <v>0</v>
      </c>
      <c r="BB33" s="132">
        <v>0</v>
      </c>
      <c r="BC33" s="132">
        <v>0</v>
      </c>
      <c r="BD33" s="132">
        <v>0</v>
      </c>
      <c r="BE33" s="84">
        <f t="shared" si="12"/>
        <v>0</v>
      </c>
      <c r="BF33" s="64">
        <f t="shared" si="13"/>
        <v>0</v>
      </c>
    </row>
    <row r="34" spans="1:58" ht="15.75" customHeight="1" x14ac:dyDescent="0.25">
      <c r="A34" s="13" t="s">
        <v>424</v>
      </c>
      <c r="B34" s="16" t="s">
        <v>425</v>
      </c>
      <c r="C34" s="13" t="s">
        <v>15</v>
      </c>
      <c r="D34" s="231">
        <v>5</v>
      </c>
      <c r="E34" s="25" t="s">
        <v>41</v>
      </c>
      <c r="F34" s="132">
        <v>0</v>
      </c>
      <c r="G34" s="132">
        <v>0</v>
      </c>
      <c r="H34" s="132">
        <v>0</v>
      </c>
      <c r="I34" s="84">
        <f t="shared" si="14"/>
        <v>0</v>
      </c>
      <c r="J34" s="132">
        <v>0</v>
      </c>
      <c r="K34" s="132">
        <v>0</v>
      </c>
      <c r="L34" s="132">
        <v>0</v>
      </c>
      <c r="M34" s="84">
        <f t="shared" si="15"/>
        <v>0</v>
      </c>
      <c r="N34" s="132">
        <v>0</v>
      </c>
      <c r="O34" s="132">
        <v>0</v>
      </c>
      <c r="P34" s="132">
        <v>0</v>
      </c>
      <c r="Q34" s="84">
        <f t="shared" si="16"/>
        <v>0</v>
      </c>
      <c r="R34" s="132">
        <v>0</v>
      </c>
      <c r="S34" s="132">
        <v>0</v>
      </c>
      <c r="T34" s="132">
        <v>0</v>
      </c>
      <c r="U34" s="84">
        <f t="shared" si="17"/>
        <v>0</v>
      </c>
      <c r="V34" s="132">
        <v>0</v>
      </c>
      <c r="W34" s="132">
        <v>0</v>
      </c>
      <c r="X34" s="132">
        <v>0</v>
      </c>
      <c r="Y34" s="84">
        <f t="shared" si="18"/>
        <v>0</v>
      </c>
      <c r="Z34" s="132">
        <v>0</v>
      </c>
      <c r="AA34" s="132">
        <v>0</v>
      </c>
      <c r="AB34" s="132">
        <v>0</v>
      </c>
      <c r="AC34" s="84">
        <f t="shared" si="19"/>
        <v>0</v>
      </c>
      <c r="AD34" s="132">
        <v>0</v>
      </c>
      <c r="AE34" s="132">
        <v>0</v>
      </c>
      <c r="AF34" s="132">
        <v>0</v>
      </c>
      <c r="AG34" s="84">
        <f t="shared" si="20"/>
        <v>0</v>
      </c>
      <c r="AH34" s="132">
        <v>0</v>
      </c>
      <c r="AI34" s="132">
        <v>0</v>
      </c>
      <c r="AJ34" s="132">
        <v>0</v>
      </c>
      <c r="AK34" s="84">
        <f t="shared" si="21"/>
        <v>0</v>
      </c>
      <c r="AL34" s="132">
        <v>0</v>
      </c>
      <c r="AM34" s="132">
        <v>0</v>
      </c>
      <c r="AN34" s="132">
        <v>0</v>
      </c>
      <c r="AO34" s="84">
        <f t="shared" si="22"/>
        <v>0</v>
      </c>
      <c r="AP34" s="132">
        <v>0</v>
      </c>
      <c r="AQ34" s="132">
        <v>0</v>
      </c>
      <c r="AR34" s="132">
        <v>0</v>
      </c>
      <c r="AS34" s="84">
        <f t="shared" si="23"/>
        <v>0</v>
      </c>
      <c r="AT34" s="132">
        <v>0</v>
      </c>
      <c r="AU34" s="132">
        <v>0</v>
      </c>
      <c r="AV34" s="132">
        <v>0</v>
      </c>
      <c r="AW34" s="84">
        <f t="shared" si="24"/>
        <v>0</v>
      </c>
      <c r="AX34" s="132">
        <v>0</v>
      </c>
      <c r="AY34" s="132">
        <v>0</v>
      </c>
      <c r="AZ34" s="132">
        <v>0</v>
      </c>
      <c r="BA34" s="84">
        <f t="shared" si="25"/>
        <v>0</v>
      </c>
      <c r="BB34" s="132">
        <v>0</v>
      </c>
      <c r="BC34" s="132">
        <v>0</v>
      </c>
      <c r="BD34" s="132">
        <v>0</v>
      </c>
      <c r="BE34" s="84">
        <f t="shared" si="12"/>
        <v>0</v>
      </c>
      <c r="BF34" s="64">
        <f t="shared" si="13"/>
        <v>0</v>
      </c>
    </row>
    <row r="35" spans="1:58" ht="15.75" customHeight="1" x14ac:dyDescent="0.25">
      <c r="A35" s="13" t="s">
        <v>442</v>
      </c>
      <c r="B35" s="16" t="s">
        <v>443</v>
      </c>
      <c r="C35" s="13" t="s">
        <v>15</v>
      </c>
      <c r="D35" s="231">
        <v>5</v>
      </c>
      <c r="E35" s="25" t="s">
        <v>41</v>
      </c>
      <c r="F35" s="132">
        <v>0</v>
      </c>
      <c r="G35" s="132">
        <v>0</v>
      </c>
      <c r="H35" s="132">
        <v>0</v>
      </c>
      <c r="I35" s="84">
        <f t="shared" si="14"/>
        <v>0</v>
      </c>
      <c r="J35" s="132">
        <v>0</v>
      </c>
      <c r="K35" s="132">
        <v>0</v>
      </c>
      <c r="L35" s="132">
        <v>0</v>
      </c>
      <c r="M35" s="84">
        <f t="shared" si="15"/>
        <v>0</v>
      </c>
      <c r="N35" s="132">
        <v>0</v>
      </c>
      <c r="O35" s="132">
        <v>0</v>
      </c>
      <c r="P35" s="132">
        <v>0</v>
      </c>
      <c r="Q35" s="84">
        <f t="shared" si="16"/>
        <v>0</v>
      </c>
      <c r="R35" s="132">
        <v>0</v>
      </c>
      <c r="S35" s="132">
        <v>0</v>
      </c>
      <c r="T35" s="132">
        <v>0</v>
      </c>
      <c r="U35" s="84">
        <f t="shared" si="17"/>
        <v>0</v>
      </c>
      <c r="V35" s="132">
        <v>0</v>
      </c>
      <c r="W35" s="132">
        <v>0</v>
      </c>
      <c r="X35" s="132">
        <v>0</v>
      </c>
      <c r="Y35" s="84">
        <f t="shared" si="18"/>
        <v>0</v>
      </c>
      <c r="Z35" s="132">
        <v>0</v>
      </c>
      <c r="AA35" s="132">
        <v>0</v>
      </c>
      <c r="AB35" s="132">
        <v>0</v>
      </c>
      <c r="AC35" s="84">
        <f t="shared" si="19"/>
        <v>0</v>
      </c>
      <c r="AD35" s="132">
        <v>0</v>
      </c>
      <c r="AE35" s="132">
        <v>0</v>
      </c>
      <c r="AF35" s="132">
        <v>0</v>
      </c>
      <c r="AG35" s="84">
        <f t="shared" si="20"/>
        <v>0</v>
      </c>
      <c r="AH35" s="132">
        <v>0</v>
      </c>
      <c r="AI35" s="132">
        <v>0</v>
      </c>
      <c r="AJ35" s="132">
        <v>0</v>
      </c>
      <c r="AK35" s="84">
        <f t="shared" si="21"/>
        <v>0</v>
      </c>
      <c r="AL35" s="132">
        <v>0</v>
      </c>
      <c r="AM35" s="132">
        <v>0</v>
      </c>
      <c r="AN35" s="132">
        <v>0</v>
      </c>
      <c r="AO35" s="84">
        <f t="shared" si="22"/>
        <v>0</v>
      </c>
      <c r="AP35" s="132">
        <v>0</v>
      </c>
      <c r="AQ35" s="132">
        <v>0</v>
      </c>
      <c r="AR35" s="132">
        <v>0</v>
      </c>
      <c r="AS35" s="84">
        <f t="shared" si="23"/>
        <v>0</v>
      </c>
      <c r="AT35" s="132">
        <v>0</v>
      </c>
      <c r="AU35" s="132">
        <v>0</v>
      </c>
      <c r="AV35" s="132">
        <v>0</v>
      </c>
      <c r="AW35" s="84">
        <f t="shared" si="24"/>
        <v>0</v>
      </c>
      <c r="AX35" s="132">
        <v>0</v>
      </c>
      <c r="AY35" s="132">
        <v>0</v>
      </c>
      <c r="AZ35" s="132">
        <v>0</v>
      </c>
      <c r="BA35" s="84">
        <f t="shared" si="25"/>
        <v>0</v>
      </c>
      <c r="BB35" s="132">
        <v>0</v>
      </c>
      <c r="BC35" s="132">
        <v>0</v>
      </c>
      <c r="BD35" s="132">
        <v>0</v>
      </c>
      <c r="BE35" s="84">
        <f t="shared" si="12"/>
        <v>0</v>
      </c>
      <c r="BF35" s="64">
        <f t="shared" si="13"/>
        <v>0</v>
      </c>
    </row>
    <row r="36" spans="1:58" ht="15.75" customHeight="1" x14ac:dyDescent="0.25">
      <c r="A36" s="13" t="s">
        <v>482</v>
      </c>
      <c r="B36" s="16" t="s">
        <v>483</v>
      </c>
      <c r="C36" s="13" t="s">
        <v>15</v>
      </c>
      <c r="D36" s="231">
        <v>5</v>
      </c>
      <c r="E36" s="25" t="s">
        <v>41</v>
      </c>
      <c r="F36" s="132">
        <v>0</v>
      </c>
      <c r="G36" s="132">
        <v>0</v>
      </c>
      <c r="H36" s="132">
        <v>0</v>
      </c>
      <c r="I36" s="84">
        <f t="shared" si="14"/>
        <v>0</v>
      </c>
      <c r="J36" s="132">
        <v>0</v>
      </c>
      <c r="K36" s="132">
        <v>0</v>
      </c>
      <c r="L36" s="132">
        <v>0</v>
      </c>
      <c r="M36" s="84">
        <f t="shared" si="15"/>
        <v>0</v>
      </c>
      <c r="N36" s="132">
        <v>0</v>
      </c>
      <c r="O36" s="132">
        <v>0</v>
      </c>
      <c r="P36" s="132">
        <v>0</v>
      </c>
      <c r="Q36" s="84">
        <f t="shared" si="16"/>
        <v>0</v>
      </c>
      <c r="R36" s="132">
        <v>0</v>
      </c>
      <c r="S36" s="132">
        <v>0</v>
      </c>
      <c r="T36" s="132">
        <v>0</v>
      </c>
      <c r="U36" s="84">
        <f t="shared" si="17"/>
        <v>0</v>
      </c>
      <c r="V36" s="132">
        <v>0</v>
      </c>
      <c r="W36" s="132">
        <v>0</v>
      </c>
      <c r="X36" s="132">
        <v>0</v>
      </c>
      <c r="Y36" s="84">
        <f t="shared" si="18"/>
        <v>0</v>
      </c>
      <c r="Z36" s="132">
        <v>0</v>
      </c>
      <c r="AA36" s="132">
        <v>0</v>
      </c>
      <c r="AB36" s="132">
        <v>0</v>
      </c>
      <c r="AC36" s="84">
        <f t="shared" si="19"/>
        <v>0</v>
      </c>
      <c r="AD36" s="132">
        <v>0</v>
      </c>
      <c r="AE36" s="132">
        <v>0</v>
      </c>
      <c r="AF36" s="132">
        <v>0</v>
      </c>
      <c r="AG36" s="84">
        <f t="shared" si="20"/>
        <v>0</v>
      </c>
      <c r="AH36" s="132">
        <v>0</v>
      </c>
      <c r="AI36" s="132">
        <v>0</v>
      </c>
      <c r="AJ36" s="132">
        <v>0</v>
      </c>
      <c r="AK36" s="84">
        <f t="shared" si="21"/>
        <v>0</v>
      </c>
      <c r="AL36" s="132">
        <v>0</v>
      </c>
      <c r="AM36" s="132">
        <v>0</v>
      </c>
      <c r="AN36" s="132">
        <v>0</v>
      </c>
      <c r="AO36" s="84">
        <f t="shared" si="22"/>
        <v>0</v>
      </c>
      <c r="AP36" s="132">
        <v>0</v>
      </c>
      <c r="AQ36" s="132">
        <v>0</v>
      </c>
      <c r="AR36" s="132">
        <v>0</v>
      </c>
      <c r="AS36" s="84">
        <f t="shared" si="23"/>
        <v>0</v>
      </c>
      <c r="AT36" s="132">
        <v>0</v>
      </c>
      <c r="AU36" s="132">
        <v>0</v>
      </c>
      <c r="AV36" s="132">
        <v>0</v>
      </c>
      <c r="AW36" s="84">
        <f t="shared" si="24"/>
        <v>0</v>
      </c>
      <c r="AX36" s="132">
        <v>0</v>
      </c>
      <c r="AY36" s="132">
        <v>0</v>
      </c>
      <c r="AZ36" s="132">
        <v>0</v>
      </c>
      <c r="BA36" s="84">
        <f t="shared" si="25"/>
        <v>0</v>
      </c>
      <c r="BB36" s="132">
        <v>0</v>
      </c>
      <c r="BC36" s="132">
        <v>0</v>
      </c>
      <c r="BD36" s="132">
        <v>0</v>
      </c>
      <c r="BE36" s="84">
        <f t="shared" si="12"/>
        <v>0</v>
      </c>
      <c r="BF36" s="64">
        <f t="shared" si="13"/>
        <v>0</v>
      </c>
    </row>
    <row r="37" spans="1:58" x14ac:dyDescent="0.25">
      <c r="A37" s="13" t="s">
        <v>440</v>
      </c>
      <c r="B37" s="16" t="s">
        <v>441</v>
      </c>
      <c r="C37" s="13" t="s">
        <v>15</v>
      </c>
      <c r="D37" s="231">
        <v>5</v>
      </c>
      <c r="E37" s="25" t="s">
        <v>41</v>
      </c>
      <c r="F37" s="132">
        <v>0</v>
      </c>
      <c r="G37" s="132">
        <v>0</v>
      </c>
      <c r="H37" s="132">
        <v>0</v>
      </c>
      <c r="I37" s="84">
        <f t="shared" si="14"/>
        <v>0</v>
      </c>
      <c r="J37" s="132">
        <v>0</v>
      </c>
      <c r="K37" s="132">
        <v>0</v>
      </c>
      <c r="L37" s="132">
        <v>0</v>
      </c>
      <c r="M37" s="84">
        <f t="shared" si="15"/>
        <v>0</v>
      </c>
      <c r="N37" s="132">
        <v>0</v>
      </c>
      <c r="O37" s="132">
        <v>0</v>
      </c>
      <c r="P37" s="132">
        <v>0</v>
      </c>
      <c r="Q37" s="84">
        <f t="shared" si="16"/>
        <v>0</v>
      </c>
      <c r="R37" s="132">
        <v>0</v>
      </c>
      <c r="S37" s="132">
        <v>0</v>
      </c>
      <c r="T37" s="132">
        <v>0</v>
      </c>
      <c r="U37" s="84">
        <f t="shared" si="17"/>
        <v>0</v>
      </c>
      <c r="V37" s="132">
        <v>0</v>
      </c>
      <c r="W37" s="132">
        <v>0</v>
      </c>
      <c r="X37" s="132">
        <v>0</v>
      </c>
      <c r="Y37" s="84">
        <f t="shared" si="18"/>
        <v>0</v>
      </c>
      <c r="Z37" s="132">
        <v>0</v>
      </c>
      <c r="AA37" s="132">
        <v>0</v>
      </c>
      <c r="AB37" s="132">
        <v>0</v>
      </c>
      <c r="AC37" s="84">
        <f t="shared" si="19"/>
        <v>0</v>
      </c>
      <c r="AD37" s="132">
        <v>0</v>
      </c>
      <c r="AE37" s="132">
        <v>0</v>
      </c>
      <c r="AF37" s="132">
        <v>0</v>
      </c>
      <c r="AG37" s="84">
        <f t="shared" si="20"/>
        <v>0</v>
      </c>
      <c r="AH37" s="132">
        <v>0</v>
      </c>
      <c r="AI37" s="132">
        <v>0</v>
      </c>
      <c r="AJ37" s="132">
        <v>0</v>
      </c>
      <c r="AK37" s="84">
        <f t="shared" si="21"/>
        <v>0</v>
      </c>
      <c r="AL37" s="132">
        <v>0</v>
      </c>
      <c r="AM37" s="132">
        <v>0</v>
      </c>
      <c r="AN37" s="132">
        <v>0</v>
      </c>
      <c r="AO37" s="84">
        <f t="shared" si="22"/>
        <v>0</v>
      </c>
      <c r="AP37" s="132">
        <v>0</v>
      </c>
      <c r="AQ37" s="132">
        <v>0</v>
      </c>
      <c r="AR37" s="132">
        <v>0</v>
      </c>
      <c r="AS37" s="84">
        <f t="shared" si="23"/>
        <v>0</v>
      </c>
      <c r="AT37" s="132">
        <v>0</v>
      </c>
      <c r="AU37" s="132">
        <v>0</v>
      </c>
      <c r="AV37" s="132">
        <v>0</v>
      </c>
      <c r="AW37" s="84">
        <f t="shared" si="24"/>
        <v>0</v>
      </c>
      <c r="AX37" s="132">
        <v>0</v>
      </c>
      <c r="AY37" s="132">
        <v>0</v>
      </c>
      <c r="AZ37" s="132">
        <v>0</v>
      </c>
      <c r="BA37" s="84">
        <f t="shared" si="25"/>
        <v>0</v>
      </c>
      <c r="BB37" s="132">
        <v>0</v>
      </c>
      <c r="BC37" s="132">
        <v>0</v>
      </c>
      <c r="BD37" s="132">
        <v>0</v>
      </c>
      <c r="BE37" s="84">
        <f t="shared" si="12"/>
        <v>0</v>
      </c>
      <c r="BF37" s="64">
        <f t="shared" si="13"/>
        <v>0</v>
      </c>
    </row>
  </sheetData>
  <sortState xmlns:xlrd2="http://schemas.microsoft.com/office/spreadsheetml/2017/richdata2" ref="A1:AX37">
    <sortCondition ref="B3:B37"/>
  </sortState>
  <mergeCells count="13">
    <mergeCell ref="AX1:BA1"/>
    <mergeCell ref="BB1:BE1"/>
    <mergeCell ref="AH1:AK1"/>
    <mergeCell ref="AL1:AO1"/>
    <mergeCell ref="AT1:AW1"/>
    <mergeCell ref="F1:I1"/>
    <mergeCell ref="J1:M1"/>
    <mergeCell ref="N1:Q1"/>
    <mergeCell ref="R1:U1"/>
    <mergeCell ref="V1:Y1"/>
    <mergeCell ref="Z1:AC1"/>
    <mergeCell ref="AD1:AG1"/>
    <mergeCell ref="AP1:AS1"/>
  </mergeCells>
  <conditionalFormatting sqref="F3:H37">
    <cfRule type="cellIs" dxfId="2584" priority="49" operator="lessThan">
      <formula>7.9</formula>
    </cfRule>
  </conditionalFormatting>
  <conditionalFormatting sqref="F3:H37">
    <cfRule type="cellIs" dxfId="2583" priority="50" operator="lessThan">
      <formula>7.4</formula>
    </cfRule>
  </conditionalFormatting>
  <conditionalFormatting sqref="F5:H6">
    <cfRule type="cellIs" dxfId="2582" priority="51" operator="lessThan">
      <formula>6.9</formula>
    </cfRule>
  </conditionalFormatting>
  <conditionalFormatting sqref="I3:I37">
    <cfRule type="cellIs" dxfId="2581" priority="52" operator="lessThan">
      <formula>7.9</formula>
    </cfRule>
    <cfRule type="cellIs" dxfId="2580" priority="61" operator="lessThan">
      <formula>6.9</formula>
    </cfRule>
    <cfRule type="cellIs" dxfId="2579" priority="62" operator="lessThan">
      <formula>7.4</formula>
    </cfRule>
    <cfRule type="cellIs" dxfId="2578" priority="63" operator="lessThan">
      <formula>7.9</formula>
    </cfRule>
  </conditionalFormatting>
  <conditionalFormatting sqref="I3:I37">
    <cfRule type="cellIs" dxfId="2577" priority="53" operator="lessThan">
      <formula>6.9</formula>
    </cfRule>
    <cfRule type="cellIs" dxfId="2576" priority="54" operator="lessThan">
      <formula>7.4</formula>
    </cfRule>
    <cfRule type="cellIs" dxfId="2575" priority="55" operator="lessThan">
      <formula>7.9</formula>
    </cfRule>
    <cfRule type="cellIs" dxfId="2574" priority="56" operator="lessThan">
      <formula>6.9</formula>
    </cfRule>
    <cfRule type="cellIs" dxfId="2573" priority="57" operator="lessThan">
      <formula>7.9</formula>
    </cfRule>
    <cfRule type="cellIs" dxfId="2572" priority="58" operator="lessThan">
      <formula>7.4</formula>
    </cfRule>
    <cfRule type="cellIs" dxfId="2571" priority="59" operator="lessThan">
      <formula>6.9</formula>
    </cfRule>
    <cfRule type="cellIs" dxfId="2570" priority="60" operator="lessThan">
      <formula>7.9</formula>
    </cfRule>
  </conditionalFormatting>
  <conditionalFormatting sqref="M3:M37">
    <cfRule type="cellIs" dxfId="2569" priority="64" operator="lessThan">
      <formula>7.9</formula>
    </cfRule>
    <cfRule type="cellIs" dxfId="2568" priority="65" operator="lessThan">
      <formula>6.9</formula>
    </cfRule>
    <cfRule type="cellIs" dxfId="2567" priority="66" operator="lessThan">
      <formula>7.4</formula>
    </cfRule>
    <cfRule type="cellIs" dxfId="2566" priority="67" operator="lessThan">
      <formula>7.9</formula>
    </cfRule>
    <cfRule type="cellIs" dxfId="2565" priority="68" operator="lessThan">
      <formula>6.9</formula>
    </cfRule>
    <cfRule type="cellIs" dxfId="2564" priority="69" operator="lessThan">
      <formula>7.9</formula>
    </cfRule>
    <cfRule type="cellIs" dxfId="2563" priority="70" operator="lessThan">
      <formula>7.4</formula>
    </cfRule>
    <cfRule type="cellIs" dxfId="2562" priority="71" operator="lessThan">
      <formula>6.9</formula>
    </cfRule>
    <cfRule type="cellIs" dxfId="2561" priority="72" operator="lessThan">
      <formula>7.9</formula>
    </cfRule>
    <cfRule type="cellIs" dxfId="2560" priority="73" operator="lessThan">
      <formula>6.9</formula>
    </cfRule>
    <cfRule type="cellIs" dxfId="2559" priority="74" operator="lessThan">
      <formula>7.4</formula>
    </cfRule>
    <cfRule type="cellIs" dxfId="2558" priority="75" operator="lessThan">
      <formula>6.9</formula>
    </cfRule>
    <cfRule type="cellIs" dxfId="2557" priority="76" operator="lessThan">
      <formula>7.4</formula>
    </cfRule>
    <cfRule type="cellIs" dxfId="2556" priority="77" operator="lessThan">
      <formula>7.9</formula>
    </cfRule>
  </conditionalFormatting>
  <conditionalFormatting sqref="Q3:Q37">
    <cfRule type="cellIs" dxfId="2555" priority="103" operator="lessThan">
      <formula>6.9</formula>
    </cfRule>
    <cfRule type="cellIs" dxfId="2554" priority="104" operator="lessThan">
      <formula>7.9</formula>
    </cfRule>
  </conditionalFormatting>
  <conditionalFormatting sqref="Q3:Q37">
    <cfRule type="cellIs" dxfId="2553" priority="102" operator="lessThan">
      <formula>7.9</formula>
    </cfRule>
    <cfRule type="cellIs" dxfId="2552" priority="113" operator="lessThan">
      <formula>7.4</formula>
    </cfRule>
    <cfRule type="cellIs" dxfId="2551" priority="190" operator="lessThan">
      <formula>6.9</formula>
    </cfRule>
    <cfRule type="cellIs" dxfId="2550" priority="191" operator="lessThan">
      <formula>7.9</formula>
    </cfRule>
    <cfRule type="cellIs" dxfId="2549" priority="192" operator="lessThan">
      <formula>7.4</formula>
    </cfRule>
    <cfRule type="cellIs" dxfId="2548" priority="193" operator="lessThan">
      <formula>6.9</formula>
    </cfRule>
    <cfRule type="cellIs" dxfId="2547" priority="194" operator="lessThan">
      <formula>7.9</formula>
    </cfRule>
    <cfRule type="cellIs" dxfId="2546" priority="195" operator="lessThan">
      <formula>6.9</formula>
    </cfRule>
    <cfRule type="cellIs" dxfId="2545" priority="196" operator="lessThan">
      <formula>7.4</formula>
    </cfRule>
    <cfRule type="cellIs" dxfId="2544" priority="197" operator="lessThan">
      <formula>7.9</formula>
    </cfRule>
  </conditionalFormatting>
  <conditionalFormatting sqref="U3:U37">
    <cfRule type="cellIs" dxfId="2543" priority="100" operator="lessThan">
      <formula>6.9</formula>
    </cfRule>
    <cfRule type="cellIs" dxfId="2542" priority="101" operator="lessThan">
      <formula>7.9</formula>
    </cfRule>
  </conditionalFormatting>
  <conditionalFormatting sqref="U3:U37">
    <cfRule type="cellIs" dxfId="2541" priority="99" operator="lessThan">
      <formula>7.9</formula>
    </cfRule>
    <cfRule type="cellIs" dxfId="2540" priority="112" operator="lessThan">
      <formula>7.4</formula>
    </cfRule>
    <cfRule type="cellIs" dxfId="2539" priority="182" operator="lessThan">
      <formula>6.9</formula>
    </cfRule>
    <cfRule type="cellIs" dxfId="2538" priority="183" operator="lessThan">
      <formula>7.9</formula>
    </cfRule>
    <cfRule type="cellIs" dxfId="2537" priority="184" operator="lessThan">
      <formula>7.4</formula>
    </cfRule>
    <cfRule type="cellIs" dxfId="2536" priority="185" operator="lessThan">
      <formula>6.9</formula>
    </cfRule>
    <cfRule type="cellIs" dxfId="2535" priority="186" operator="lessThan">
      <formula>7.9</formula>
    </cfRule>
    <cfRule type="cellIs" dxfId="2534" priority="187" operator="lessThan">
      <formula>6.9</formula>
    </cfRule>
    <cfRule type="cellIs" dxfId="2533" priority="188" operator="lessThan">
      <formula>7.4</formula>
    </cfRule>
    <cfRule type="cellIs" dxfId="2532" priority="189" operator="lessThan">
      <formula>7.9</formula>
    </cfRule>
  </conditionalFormatting>
  <conditionalFormatting sqref="Y3:Y37">
    <cfRule type="cellIs" dxfId="2531" priority="98" operator="lessThan">
      <formula>7.9</formula>
    </cfRule>
  </conditionalFormatting>
  <conditionalFormatting sqref="Y3:Y37">
    <cfRule type="cellIs" dxfId="2530" priority="96" operator="lessThan">
      <formula>7.9</formula>
    </cfRule>
    <cfRule type="cellIs" dxfId="2529" priority="97" operator="lessThan">
      <formula>6.9</formula>
    </cfRule>
    <cfRule type="cellIs" dxfId="2528" priority="111" operator="lessThan">
      <formula>7.4</formula>
    </cfRule>
    <cfRule type="cellIs" dxfId="2527" priority="174" operator="lessThan">
      <formula>6.9</formula>
    </cfRule>
    <cfRule type="cellIs" dxfId="2526" priority="175" operator="lessThan">
      <formula>7.9</formula>
    </cfRule>
    <cfRule type="cellIs" dxfId="2525" priority="176" operator="lessThan">
      <formula>7.4</formula>
    </cfRule>
    <cfRule type="cellIs" dxfId="2524" priority="177" operator="lessThan">
      <formula>6.9</formula>
    </cfRule>
    <cfRule type="cellIs" dxfId="2523" priority="178" operator="lessThan">
      <formula>7.9</formula>
    </cfRule>
    <cfRule type="cellIs" dxfId="2522" priority="179" operator="lessThan">
      <formula>6.9</formula>
    </cfRule>
    <cfRule type="cellIs" dxfId="2521" priority="180" operator="lessThan">
      <formula>7.4</formula>
    </cfRule>
    <cfRule type="cellIs" dxfId="2520" priority="181" operator="lessThan">
      <formula>7.9</formula>
    </cfRule>
  </conditionalFormatting>
  <conditionalFormatting sqref="AC3:AC37">
    <cfRule type="cellIs" dxfId="2519" priority="93" operator="lessThan">
      <formula>7.9</formula>
    </cfRule>
    <cfRule type="cellIs" dxfId="2518" priority="94" operator="lessThan">
      <formula>6.9</formula>
    </cfRule>
    <cfRule type="cellIs" dxfId="2517" priority="95" operator="lessThan">
      <formula>7.9</formula>
    </cfRule>
  </conditionalFormatting>
  <conditionalFormatting sqref="AC3:AC37">
    <cfRule type="cellIs" dxfId="2516" priority="110" operator="lessThan">
      <formula>7.4</formula>
    </cfRule>
    <cfRule type="cellIs" dxfId="2515" priority="166" operator="lessThan">
      <formula>6.9</formula>
    </cfRule>
    <cfRule type="cellIs" dxfId="2514" priority="167" operator="lessThan">
      <formula>7.9</formula>
    </cfRule>
    <cfRule type="cellIs" dxfId="2513" priority="168" operator="lessThan">
      <formula>7.4</formula>
    </cfRule>
    <cfRule type="cellIs" dxfId="2512" priority="169" operator="lessThan">
      <formula>6.9</formula>
    </cfRule>
    <cfRule type="cellIs" dxfId="2511" priority="170" operator="lessThan">
      <formula>7.9</formula>
    </cfRule>
    <cfRule type="cellIs" dxfId="2510" priority="171" operator="lessThan">
      <formula>6.9</formula>
    </cfRule>
    <cfRule type="cellIs" dxfId="2509" priority="172" operator="lessThan">
      <formula>7.4</formula>
    </cfRule>
    <cfRule type="cellIs" dxfId="2508" priority="173" operator="lessThan">
      <formula>7.9</formula>
    </cfRule>
  </conditionalFormatting>
  <conditionalFormatting sqref="AG3:AG37">
    <cfRule type="cellIs" dxfId="2507" priority="90" operator="lessThan">
      <formula>7.9</formula>
    </cfRule>
    <cfRule type="cellIs" dxfId="2506" priority="91" operator="lessThan">
      <formula>6.9</formula>
    </cfRule>
    <cfRule type="cellIs" dxfId="2505" priority="92" operator="lessThan">
      <formula>7.9</formula>
    </cfRule>
  </conditionalFormatting>
  <conditionalFormatting sqref="AG3:AG37">
    <cfRule type="cellIs" dxfId="2504" priority="109" operator="lessThan">
      <formula>7.4</formula>
    </cfRule>
    <cfRule type="cellIs" dxfId="2503" priority="158" operator="lessThan">
      <formula>6.9</formula>
    </cfRule>
    <cfRule type="cellIs" dxfId="2502" priority="159" operator="lessThan">
      <formula>7.9</formula>
    </cfRule>
    <cfRule type="cellIs" dxfId="2501" priority="160" operator="lessThan">
      <formula>7.4</formula>
    </cfRule>
    <cfRule type="cellIs" dxfId="2500" priority="161" operator="lessThan">
      <formula>6.9</formula>
    </cfRule>
    <cfRule type="cellIs" dxfId="2499" priority="162" operator="lessThan">
      <formula>7.9</formula>
    </cfRule>
    <cfRule type="cellIs" dxfId="2498" priority="163" operator="lessThan">
      <formula>6.9</formula>
    </cfRule>
    <cfRule type="cellIs" dxfId="2497" priority="164" operator="lessThan">
      <formula>7.4</formula>
    </cfRule>
    <cfRule type="cellIs" dxfId="2496" priority="165" operator="lessThan">
      <formula>7.9</formula>
    </cfRule>
  </conditionalFormatting>
  <conditionalFormatting sqref="AK3:AK37">
    <cfRule type="cellIs" dxfId="2495" priority="87" operator="lessThan">
      <formula>7.9</formula>
    </cfRule>
    <cfRule type="cellIs" dxfId="2494" priority="88" operator="lessThan">
      <formula>6.9</formula>
    </cfRule>
    <cfRule type="cellIs" dxfId="2493" priority="89" operator="lessThan">
      <formula>7.9</formula>
    </cfRule>
  </conditionalFormatting>
  <conditionalFormatting sqref="AK3:AK37">
    <cfRule type="cellIs" dxfId="2492" priority="108" operator="lessThan">
      <formula>7.4</formula>
    </cfRule>
    <cfRule type="cellIs" dxfId="2491" priority="150" operator="lessThan">
      <formula>6.9</formula>
    </cfRule>
    <cfRule type="cellIs" dxfId="2490" priority="151" operator="lessThan">
      <formula>7.9</formula>
    </cfRule>
    <cfRule type="cellIs" dxfId="2489" priority="152" operator="lessThan">
      <formula>7.4</formula>
    </cfRule>
    <cfRule type="cellIs" dxfId="2488" priority="153" operator="lessThan">
      <formula>6.9</formula>
    </cfRule>
    <cfRule type="cellIs" dxfId="2487" priority="154" operator="lessThan">
      <formula>7.9</formula>
    </cfRule>
    <cfRule type="cellIs" dxfId="2486" priority="155" operator="lessThan">
      <formula>6.9</formula>
    </cfRule>
    <cfRule type="cellIs" dxfId="2485" priority="156" operator="lessThan">
      <formula>7.4</formula>
    </cfRule>
    <cfRule type="cellIs" dxfId="2484" priority="157" operator="lessThan">
      <formula>7.9</formula>
    </cfRule>
  </conditionalFormatting>
  <conditionalFormatting sqref="AO3:AO37">
    <cfRule type="cellIs" dxfId="2483" priority="84" operator="lessThan">
      <formula>7.9</formula>
    </cfRule>
    <cfRule type="cellIs" dxfId="2482" priority="85" operator="lessThan">
      <formula>6.9</formula>
    </cfRule>
    <cfRule type="cellIs" dxfId="2481" priority="86" operator="lessThan">
      <formula>7.9</formula>
    </cfRule>
  </conditionalFormatting>
  <conditionalFormatting sqref="AO3:AO37">
    <cfRule type="cellIs" dxfId="2480" priority="107" operator="lessThan">
      <formula>7.4</formula>
    </cfRule>
    <cfRule type="cellIs" dxfId="2479" priority="142" operator="lessThan">
      <formula>6.9</formula>
    </cfRule>
    <cfRule type="cellIs" dxfId="2478" priority="143" operator="lessThan">
      <formula>7.9</formula>
    </cfRule>
    <cfRule type="cellIs" dxfId="2477" priority="144" operator="lessThan">
      <formula>7.4</formula>
    </cfRule>
    <cfRule type="cellIs" dxfId="2476" priority="145" operator="lessThan">
      <formula>6.9</formula>
    </cfRule>
    <cfRule type="cellIs" dxfId="2475" priority="146" operator="lessThan">
      <formula>7.9</formula>
    </cfRule>
    <cfRule type="cellIs" dxfId="2474" priority="147" operator="lessThan">
      <formula>6.9</formula>
    </cfRule>
    <cfRule type="cellIs" dxfId="2473" priority="148" operator="lessThan">
      <formula>7.4</formula>
    </cfRule>
    <cfRule type="cellIs" dxfId="2472" priority="149" operator="lessThan">
      <formula>7.9</formula>
    </cfRule>
  </conditionalFormatting>
  <conditionalFormatting sqref="AS3:AS37">
    <cfRule type="cellIs" dxfId="2471" priority="81" operator="lessThan">
      <formula>7.9</formula>
    </cfRule>
    <cfRule type="cellIs" dxfId="2470" priority="82" operator="lessThan">
      <formula>6.9</formula>
    </cfRule>
    <cfRule type="cellIs" dxfId="2469" priority="83" operator="lessThan">
      <formula>7.9</formula>
    </cfRule>
    <cfRule type="cellIs" dxfId="2468" priority="106" operator="lessThan">
      <formula>7.4</formula>
    </cfRule>
  </conditionalFormatting>
  <conditionalFormatting sqref="AS3:AS37">
    <cfRule type="cellIs" dxfId="2467" priority="134" operator="lessThan">
      <formula>6.9</formula>
    </cfRule>
    <cfRule type="cellIs" dxfId="2466" priority="135" operator="lessThan">
      <formula>7.9</formula>
    </cfRule>
    <cfRule type="cellIs" dxfId="2465" priority="136" operator="lessThan">
      <formula>7.4</formula>
    </cfRule>
    <cfRule type="cellIs" dxfId="2464" priority="137" operator="lessThan">
      <formula>6.9</formula>
    </cfRule>
    <cfRule type="cellIs" dxfId="2463" priority="138" operator="lessThan">
      <formula>7.9</formula>
    </cfRule>
    <cfRule type="cellIs" dxfId="2462" priority="139" operator="lessThan">
      <formula>6.9</formula>
    </cfRule>
    <cfRule type="cellIs" dxfId="2461" priority="140" operator="lessThan">
      <formula>7.4</formula>
    </cfRule>
    <cfRule type="cellIs" dxfId="2460" priority="141" operator="lessThan">
      <formula>7.9</formula>
    </cfRule>
  </conditionalFormatting>
  <conditionalFormatting sqref="AW3:AW37">
    <cfRule type="cellIs" dxfId="2459" priority="78" operator="lessThan">
      <formula>7.9</formula>
    </cfRule>
    <cfRule type="cellIs" dxfId="2458" priority="79" operator="lessThan">
      <formula>6.9</formula>
    </cfRule>
    <cfRule type="cellIs" dxfId="2457" priority="80" operator="lessThan">
      <formula>7.4</formula>
    </cfRule>
    <cfRule type="cellIs" dxfId="2456" priority="105" operator="lessThan">
      <formula>7.9</formula>
    </cfRule>
  </conditionalFormatting>
  <conditionalFormatting sqref="AW3:AW37">
    <cfRule type="cellIs" dxfId="2455" priority="126" operator="lessThan">
      <formula>6.9</formula>
    </cfRule>
    <cfRule type="cellIs" dxfId="2454" priority="127" operator="lessThan">
      <formula>7.9</formula>
    </cfRule>
    <cfRule type="cellIs" dxfId="2453" priority="128" operator="lessThan">
      <formula>7.4</formula>
    </cfRule>
    <cfRule type="cellIs" dxfId="2452" priority="129" operator="lessThan">
      <formula>6.9</formula>
    </cfRule>
    <cfRule type="cellIs" dxfId="2451" priority="130" operator="lessThan">
      <formula>7.9</formula>
    </cfRule>
    <cfRule type="cellIs" dxfId="2450" priority="131" operator="lessThan">
      <formula>6.9</formula>
    </cfRule>
    <cfRule type="cellIs" dxfId="2449" priority="132" operator="lessThan">
      <formula>7.4</formula>
    </cfRule>
    <cfRule type="cellIs" dxfId="2448" priority="133" operator="lessThan">
      <formula>7.9</formula>
    </cfRule>
  </conditionalFormatting>
  <conditionalFormatting sqref="BA3:BA37">
    <cfRule type="cellIs" dxfId="2447" priority="114" operator="lessThan">
      <formula>7.9</formula>
    </cfRule>
    <cfRule type="cellIs" dxfId="2446" priority="115" operator="lessThan">
      <formula>6.9</formula>
    </cfRule>
    <cfRule type="cellIs" dxfId="2445" priority="116" operator="lessThan">
      <formula>7.4</formula>
    </cfRule>
    <cfRule type="cellIs" dxfId="2444" priority="117" operator="lessThan">
      <formula>7.9</formula>
    </cfRule>
    <cfRule type="cellIs" dxfId="2443" priority="118" operator="lessThan">
      <formula>6.9</formula>
    </cfRule>
    <cfRule type="cellIs" dxfId="2442" priority="119" operator="lessThan">
      <formula>7.9</formula>
    </cfRule>
    <cfRule type="cellIs" dxfId="2441" priority="120" operator="lessThan">
      <formula>7.4</formula>
    </cfRule>
    <cfRule type="cellIs" dxfId="2440" priority="121" operator="lessThan">
      <formula>6.9</formula>
    </cfRule>
    <cfRule type="cellIs" dxfId="2439" priority="122" operator="lessThan">
      <formula>7.9</formula>
    </cfRule>
    <cfRule type="cellIs" dxfId="2438" priority="123" operator="lessThan">
      <formula>6.9</formula>
    </cfRule>
    <cfRule type="cellIs" dxfId="2437" priority="124" operator="lessThan">
      <formula>7.4</formula>
    </cfRule>
    <cfRule type="cellIs" dxfId="2436" priority="125" operator="lessThan">
      <formula>7.9</formula>
    </cfRule>
  </conditionalFormatting>
  <conditionalFormatting sqref="J3:L37">
    <cfRule type="cellIs" dxfId="2435" priority="46" operator="lessThan">
      <formula>7.9</formula>
    </cfRule>
  </conditionalFormatting>
  <conditionalFormatting sqref="J3:L37">
    <cfRule type="cellIs" dxfId="2434" priority="47" operator="lessThan">
      <formula>7.4</formula>
    </cfRule>
  </conditionalFormatting>
  <conditionalFormatting sqref="J5:L6">
    <cfRule type="cellIs" dxfId="2433" priority="48" operator="lessThan">
      <formula>6.9</formula>
    </cfRule>
  </conditionalFormatting>
  <conditionalFormatting sqref="N3:P37">
    <cfRule type="cellIs" dxfId="2432" priority="43" operator="lessThan">
      <formula>7.9</formula>
    </cfRule>
  </conditionalFormatting>
  <conditionalFormatting sqref="N3:P37">
    <cfRule type="cellIs" dxfId="2431" priority="44" operator="lessThan">
      <formula>7.4</formula>
    </cfRule>
  </conditionalFormatting>
  <conditionalFormatting sqref="N5:P6">
    <cfRule type="cellIs" dxfId="2430" priority="45" operator="lessThan">
      <formula>6.9</formula>
    </cfRule>
  </conditionalFormatting>
  <conditionalFormatting sqref="R3:T37">
    <cfRule type="cellIs" dxfId="2429" priority="40" operator="lessThan">
      <formula>7.9</formula>
    </cfRule>
  </conditionalFormatting>
  <conditionalFormatting sqref="R3:T37">
    <cfRule type="cellIs" dxfId="2428" priority="41" operator="lessThan">
      <formula>7.4</formula>
    </cfRule>
  </conditionalFormatting>
  <conditionalFormatting sqref="R5:T6">
    <cfRule type="cellIs" dxfId="2427" priority="42" operator="lessThan">
      <formula>6.9</formula>
    </cfRule>
  </conditionalFormatting>
  <conditionalFormatting sqref="V3:X37">
    <cfRule type="cellIs" dxfId="2426" priority="37" operator="lessThan">
      <formula>7.9</formula>
    </cfRule>
  </conditionalFormatting>
  <conditionalFormatting sqref="V3:X37">
    <cfRule type="cellIs" dxfId="2425" priority="38" operator="lessThan">
      <formula>7.4</formula>
    </cfRule>
  </conditionalFormatting>
  <conditionalFormatting sqref="V5:X6">
    <cfRule type="cellIs" dxfId="2424" priority="39" operator="lessThan">
      <formula>6.9</formula>
    </cfRule>
  </conditionalFormatting>
  <conditionalFormatting sqref="Z3:AB37">
    <cfRule type="cellIs" dxfId="2423" priority="34" operator="lessThan">
      <formula>7.9</formula>
    </cfRule>
  </conditionalFormatting>
  <conditionalFormatting sqref="Z3:AB37">
    <cfRule type="cellIs" dxfId="2422" priority="35" operator="lessThan">
      <formula>7.4</formula>
    </cfRule>
  </conditionalFormatting>
  <conditionalFormatting sqref="Z5:AB6">
    <cfRule type="cellIs" dxfId="2421" priority="36" operator="lessThan">
      <formula>6.9</formula>
    </cfRule>
  </conditionalFormatting>
  <conditionalFormatting sqref="AD3:AF37">
    <cfRule type="cellIs" dxfId="2420" priority="31" operator="lessThan">
      <formula>7.9</formula>
    </cfRule>
  </conditionalFormatting>
  <conditionalFormatting sqref="AD3:AF37">
    <cfRule type="cellIs" dxfId="2419" priority="32" operator="lessThan">
      <formula>7.4</formula>
    </cfRule>
  </conditionalFormatting>
  <conditionalFormatting sqref="AD5:AF6">
    <cfRule type="cellIs" dxfId="2418" priority="33" operator="lessThan">
      <formula>6.9</formula>
    </cfRule>
  </conditionalFormatting>
  <conditionalFormatting sqref="AH3:AJ37">
    <cfRule type="cellIs" dxfId="2417" priority="28" operator="lessThan">
      <formula>7.9</formula>
    </cfRule>
  </conditionalFormatting>
  <conditionalFormatting sqref="AH3:AJ37">
    <cfRule type="cellIs" dxfId="2416" priority="29" operator="lessThan">
      <formula>7.4</formula>
    </cfRule>
  </conditionalFormatting>
  <conditionalFormatting sqref="AH5:AJ6">
    <cfRule type="cellIs" dxfId="2415" priority="30" operator="lessThan">
      <formula>6.9</formula>
    </cfRule>
  </conditionalFormatting>
  <conditionalFormatting sqref="AL3:AN37">
    <cfRule type="cellIs" dxfId="2414" priority="25" operator="lessThan">
      <formula>7.9</formula>
    </cfRule>
  </conditionalFormatting>
  <conditionalFormatting sqref="AL3:AN37">
    <cfRule type="cellIs" dxfId="2413" priority="26" operator="lessThan">
      <formula>7.4</formula>
    </cfRule>
  </conditionalFormatting>
  <conditionalFormatting sqref="AL5:AN6">
    <cfRule type="cellIs" dxfId="2412" priority="27" operator="lessThan">
      <formula>6.9</formula>
    </cfRule>
  </conditionalFormatting>
  <conditionalFormatting sqref="AP3:AR37">
    <cfRule type="cellIs" dxfId="2411" priority="22" operator="lessThan">
      <formula>7.9</formula>
    </cfRule>
  </conditionalFormatting>
  <conditionalFormatting sqref="AP3:AR37">
    <cfRule type="cellIs" dxfId="2410" priority="23" operator="lessThan">
      <formula>7.4</formula>
    </cfRule>
  </conditionalFormatting>
  <conditionalFormatting sqref="AP5:AR6">
    <cfRule type="cellIs" dxfId="2409" priority="24" operator="lessThan">
      <formula>6.9</formula>
    </cfRule>
  </conditionalFormatting>
  <conditionalFormatting sqref="AT3:AV37">
    <cfRule type="cellIs" dxfId="2408" priority="19" operator="lessThan">
      <formula>7.9</formula>
    </cfRule>
  </conditionalFormatting>
  <conditionalFormatting sqref="AT3:AV37">
    <cfRule type="cellIs" dxfId="2407" priority="20" operator="lessThan">
      <formula>7.4</formula>
    </cfRule>
  </conditionalFormatting>
  <conditionalFormatting sqref="AT5:AV6">
    <cfRule type="cellIs" dxfId="2406" priority="21" operator="lessThan">
      <formula>6.9</formula>
    </cfRule>
  </conditionalFormatting>
  <conditionalFormatting sqref="AX3:AZ37">
    <cfRule type="cellIs" dxfId="2405" priority="16" operator="lessThan">
      <formula>7.9</formula>
    </cfRule>
  </conditionalFormatting>
  <conditionalFormatting sqref="AX3:AZ37">
    <cfRule type="cellIs" dxfId="2404" priority="17" operator="lessThan">
      <formula>7.4</formula>
    </cfRule>
  </conditionalFormatting>
  <conditionalFormatting sqref="AX5:AZ6">
    <cfRule type="cellIs" dxfId="2403" priority="18" operator="lessThan">
      <formula>6.9</formula>
    </cfRule>
  </conditionalFormatting>
  <conditionalFormatting sqref="BE3:BE37">
    <cfRule type="cellIs" dxfId="2402" priority="4" operator="lessThan">
      <formula>7.9</formula>
    </cfRule>
    <cfRule type="cellIs" dxfId="2401" priority="5" operator="lessThan">
      <formula>6.9</formula>
    </cfRule>
    <cfRule type="cellIs" dxfId="2400" priority="6" operator="lessThan">
      <formula>7.4</formula>
    </cfRule>
    <cfRule type="cellIs" dxfId="2399" priority="7" operator="lessThan">
      <formula>7.9</formula>
    </cfRule>
    <cfRule type="cellIs" dxfId="2398" priority="8" operator="lessThan">
      <formula>6.9</formula>
    </cfRule>
    <cfRule type="cellIs" dxfId="2397" priority="9" operator="lessThan">
      <formula>7.9</formula>
    </cfRule>
    <cfRule type="cellIs" dxfId="2396" priority="10" operator="lessThan">
      <formula>7.4</formula>
    </cfRule>
    <cfRule type="cellIs" dxfId="2395" priority="11" operator="lessThan">
      <formula>6.9</formula>
    </cfRule>
    <cfRule type="cellIs" dxfId="2394" priority="12" operator="lessThan">
      <formula>7.9</formula>
    </cfRule>
    <cfRule type="cellIs" dxfId="2393" priority="13" operator="lessThan">
      <formula>6.9</formula>
    </cfRule>
    <cfRule type="cellIs" dxfId="2392" priority="14" operator="lessThan">
      <formula>7.4</formula>
    </cfRule>
    <cfRule type="cellIs" dxfId="2391" priority="15" operator="lessThan">
      <formula>7.9</formula>
    </cfRule>
  </conditionalFormatting>
  <conditionalFormatting sqref="BB3:BD37">
    <cfRule type="cellIs" dxfId="2390" priority="1" operator="lessThan">
      <formula>7.9</formula>
    </cfRule>
  </conditionalFormatting>
  <conditionalFormatting sqref="BB3:BD37">
    <cfRule type="cellIs" dxfId="2389" priority="2" operator="lessThan">
      <formula>7.4</formula>
    </cfRule>
  </conditionalFormatting>
  <conditionalFormatting sqref="BB5:BD6">
    <cfRule type="cellIs" dxfId="2388" priority="3" operator="lessThan">
      <formula>6.9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B30"/>
  <sheetViews>
    <sheetView zoomScale="80" zoomScaleNormal="80" workbookViewId="0">
      <selection activeCell="F2" sqref="F1:BB1048576"/>
    </sheetView>
  </sheetViews>
  <sheetFormatPr baseColWidth="10" defaultColWidth="12.5703125" defaultRowHeight="15.75" customHeight="1" x14ac:dyDescent="0.2"/>
  <cols>
    <col min="1" max="1" width="12.7109375" bestFit="1" customWidth="1"/>
    <col min="2" max="2" width="62" bestFit="1" customWidth="1"/>
    <col min="3" max="3" width="11.5703125" bestFit="1" customWidth="1"/>
    <col min="4" max="4" width="7.5703125" bestFit="1" customWidth="1"/>
    <col min="5" max="5" width="7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</cols>
  <sheetData>
    <row r="1" spans="1:54" ht="15" x14ac:dyDescent="0.2">
      <c r="A1" s="1"/>
      <c r="B1" s="1"/>
      <c r="C1" s="1"/>
      <c r="D1" s="1"/>
      <c r="E1" s="1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138</v>
      </c>
      <c r="O1" s="195"/>
      <c r="P1" s="195"/>
      <c r="Q1" s="196"/>
      <c r="R1" s="194" t="s">
        <v>865</v>
      </c>
      <c r="S1" s="195"/>
      <c r="T1" s="195"/>
      <c r="U1" s="196"/>
      <c r="V1" s="194" t="s">
        <v>888</v>
      </c>
      <c r="W1" s="195"/>
      <c r="X1" s="195"/>
      <c r="Y1" s="196"/>
      <c r="Z1" s="194" t="s">
        <v>136</v>
      </c>
      <c r="AA1" s="195"/>
      <c r="AB1" s="195"/>
      <c r="AC1" s="196"/>
      <c r="AD1" s="194" t="s">
        <v>137</v>
      </c>
      <c r="AE1" s="195"/>
      <c r="AF1" s="195"/>
      <c r="AG1" s="196"/>
      <c r="AH1" s="194" t="s">
        <v>871</v>
      </c>
      <c r="AI1" s="195"/>
      <c r="AJ1" s="195"/>
      <c r="AK1" s="196"/>
      <c r="AL1" s="194" t="s">
        <v>544</v>
      </c>
      <c r="AM1" s="195"/>
      <c r="AN1" s="195"/>
      <c r="AO1" s="196"/>
      <c r="AP1" s="194" t="s">
        <v>0</v>
      </c>
      <c r="AQ1" s="195"/>
      <c r="AR1" s="195"/>
      <c r="AS1" s="196"/>
      <c r="AT1" s="194" t="s">
        <v>873</v>
      </c>
      <c r="AU1" s="195"/>
      <c r="AV1" s="195"/>
      <c r="AW1" s="196"/>
      <c r="AX1" s="194" t="s">
        <v>874</v>
      </c>
      <c r="AY1" s="195"/>
      <c r="AZ1" s="195"/>
      <c r="BA1" s="196"/>
      <c r="BB1" s="71" t="s">
        <v>2</v>
      </c>
    </row>
    <row r="2" spans="1:54" x14ac:dyDescent="0.2">
      <c r="A2" s="1" t="s">
        <v>3</v>
      </c>
      <c r="B2" s="1" t="s">
        <v>4</v>
      </c>
      <c r="C2" s="75" t="s">
        <v>5</v>
      </c>
      <c r="D2" s="75" t="s">
        <v>6</v>
      </c>
      <c r="E2" s="75" t="s">
        <v>7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1" t="s">
        <v>12</v>
      </c>
    </row>
    <row r="3" spans="1:54" ht="15.75" customHeight="1" x14ac:dyDescent="0.25">
      <c r="A3" s="13" t="s">
        <v>540</v>
      </c>
      <c r="B3" s="16" t="s">
        <v>541</v>
      </c>
      <c r="C3" s="13" t="s">
        <v>15</v>
      </c>
      <c r="D3" s="50">
        <v>6</v>
      </c>
      <c r="E3" s="50" t="s">
        <v>16</v>
      </c>
      <c r="F3" s="132">
        <v>0</v>
      </c>
      <c r="G3" s="132">
        <v>0</v>
      </c>
      <c r="H3" s="132">
        <v>0</v>
      </c>
      <c r="I3" s="84">
        <f>AVERAGE(F3:H3)</f>
        <v>0</v>
      </c>
      <c r="J3" s="132">
        <v>0</v>
      </c>
      <c r="K3" s="132">
        <v>0</v>
      </c>
      <c r="L3" s="132">
        <v>0</v>
      </c>
      <c r="M3" s="84">
        <f t="shared" ref="M3:M30" si="0">AVERAGE(J3:L3)</f>
        <v>0</v>
      </c>
      <c r="N3" s="132">
        <v>0</v>
      </c>
      <c r="O3" s="132">
        <v>0</v>
      </c>
      <c r="P3" s="132">
        <v>0</v>
      </c>
      <c r="Q3" s="84">
        <f>AVERAGE(N3:P3)</f>
        <v>0</v>
      </c>
      <c r="R3" s="132">
        <v>0</v>
      </c>
      <c r="S3" s="132">
        <v>0</v>
      </c>
      <c r="T3" s="132">
        <v>0</v>
      </c>
      <c r="U3" s="84">
        <f>AVERAGE(R3:T3)</f>
        <v>0</v>
      </c>
      <c r="V3" s="132">
        <v>0</v>
      </c>
      <c r="W3" s="132">
        <v>0</v>
      </c>
      <c r="X3" s="132">
        <v>0</v>
      </c>
      <c r="Y3" s="84">
        <f>AVERAGE(V3:X3)</f>
        <v>0</v>
      </c>
      <c r="Z3" s="132">
        <v>0</v>
      </c>
      <c r="AA3" s="132">
        <v>0</v>
      </c>
      <c r="AB3" s="132">
        <v>0</v>
      </c>
      <c r="AC3" s="84">
        <f>AVERAGE(Z3:AB3)</f>
        <v>0</v>
      </c>
      <c r="AD3" s="132">
        <v>0</v>
      </c>
      <c r="AE3" s="132">
        <v>0</v>
      </c>
      <c r="AF3" s="132">
        <v>0</v>
      </c>
      <c r="AG3" s="84">
        <f>AVERAGE(AD3:AF3)</f>
        <v>0</v>
      </c>
      <c r="AH3" s="132">
        <v>0</v>
      </c>
      <c r="AI3" s="132">
        <v>0</v>
      </c>
      <c r="AJ3" s="132">
        <v>0</v>
      </c>
      <c r="AK3" s="84">
        <f>AVERAGE(AH3:AJ3)</f>
        <v>0</v>
      </c>
      <c r="AL3" s="132">
        <v>0</v>
      </c>
      <c r="AM3" s="132">
        <v>0</v>
      </c>
      <c r="AN3" s="132">
        <v>0</v>
      </c>
      <c r="AO3" s="84">
        <f>AVERAGE(AL3:AN3)</f>
        <v>0</v>
      </c>
      <c r="AP3" s="132">
        <v>0</v>
      </c>
      <c r="AQ3" s="132">
        <v>0</v>
      </c>
      <c r="AR3" s="132">
        <v>0</v>
      </c>
      <c r="AS3" s="84">
        <f>AVERAGE(AP3:AR3)</f>
        <v>0</v>
      </c>
      <c r="AT3" s="132">
        <v>0</v>
      </c>
      <c r="AU3" s="132">
        <v>0</v>
      </c>
      <c r="AV3" s="132">
        <v>0</v>
      </c>
      <c r="AW3" s="84">
        <f>AVERAGE(AT3:AV3)</f>
        <v>0</v>
      </c>
      <c r="AX3" s="132">
        <v>0</v>
      </c>
      <c r="AY3" s="132">
        <v>0</v>
      </c>
      <c r="AZ3" s="132">
        <v>0</v>
      </c>
      <c r="BA3" s="84">
        <f>AVERAGE(AX3:AZ3)</f>
        <v>0</v>
      </c>
      <c r="BB3" s="64">
        <f>AVERAGE(I3,M3,Q3,U3,Y3,AC3,AG3,AK3,AO3,AS3,AW3,BA3)</f>
        <v>0</v>
      </c>
    </row>
    <row r="4" spans="1:54" ht="15.75" customHeight="1" x14ac:dyDescent="0.25">
      <c r="A4" s="13" t="s">
        <v>514</v>
      </c>
      <c r="B4" s="16" t="s">
        <v>515</v>
      </c>
      <c r="C4" s="13" t="s">
        <v>15</v>
      </c>
      <c r="D4" s="50">
        <v>6</v>
      </c>
      <c r="E4" s="50" t="s">
        <v>16</v>
      </c>
      <c r="F4" s="132">
        <v>0</v>
      </c>
      <c r="G4" s="132">
        <v>0</v>
      </c>
      <c r="H4" s="132">
        <v>0</v>
      </c>
      <c r="I4" s="84">
        <f t="shared" ref="I4:I30" si="1">AVERAGE(F4:H4)</f>
        <v>0</v>
      </c>
      <c r="J4" s="132">
        <v>0</v>
      </c>
      <c r="K4" s="132">
        <v>0</v>
      </c>
      <c r="L4" s="132">
        <v>0</v>
      </c>
      <c r="M4" s="84">
        <f t="shared" si="0"/>
        <v>0</v>
      </c>
      <c r="N4" s="132">
        <v>0</v>
      </c>
      <c r="O4" s="132">
        <v>0</v>
      </c>
      <c r="P4" s="132">
        <v>0</v>
      </c>
      <c r="Q4" s="84">
        <f t="shared" ref="Q4:Q30" si="2">AVERAGE(N4:P4)</f>
        <v>0</v>
      </c>
      <c r="R4" s="132">
        <v>0</v>
      </c>
      <c r="S4" s="132">
        <v>0</v>
      </c>
      <c r="T4" s="132">
        <v>0</v>
      </c>
      <c r="U4" s="84">
        <f t="shared" ref="U4:U30" si="3">AVERAGE(R4:T4)</f>
        <v>0</v>
      </c>
      <c r="V4" s="132">
        <v>0</v>
      </c>
      <c r="W4" s="132">
        <v>0</v>
      </c>
      <c r="X4" s="132">
        <v>0</v>
      </c>
      <c r="Y4" s="84">
        <f t="shared" ref="Y4:Y30" si="4">AVERAGE(V4:X4)</f>
        <v>0</v>
      </c>
      <c r="Z4" s="132">
        <v>0</v>
      </c>
      <c r="AA4" s="132">
        <v>0</v>
      </c>
      <c r="AB4" s="132">
        <v>0</v>
      </c>
      <c r="AC4" s="84">
        <f t="shared" ref="AC4:AC30" si="5">AVERAGE(Z4:AB4)</f>
        <v>0</v>
      </c>
      <c r="AD4" s="132">
        <v>0</v>
      </c>
      <c r="AE4" s="132">
        <v>0</v>
      </c>
      <c r="AF4" s="132">
        <v>0</v>
      </c>
      <c r="AG4" s="84">
        <f t="shared" ref="AG4:AG30" si="6">AVERAGE(AD4:AF4)</f>
        <v>0</v>
      </c>
      <c r="AH4" s="132">
        <v>0</v>
      </c>
      <c r="AI4" s="132">
        <v>0</v>
      </c>
      <c r="AJ4" s="132">
        <v>0</v>
      </c>
      <c r="AK4" s="84">
        <f t="shared" ref="AK4:AK30" si="7">AVERAGE(AH4:AJ4)</f>
        <v>0</v>
      </c>
      <c r="AL4" s="132">
        <v>0</v>
      </c>
      <c r="AM4" s="132">
        <v>0</v>
      </c>
      <c r="AN4" s="132">
        <v>0</v>
      </c>
      <c r="AO4" s="84">
        <f t="shared" ref="AO4:AO30" si="8">AVERAGE(AL4:AN4)</f>
        <v>0</v>
      </c>
      <c r="AP4" s="132">
        <v>0</v>
      </c>
      <c r="AQ4" s="132">
        <v>0</v>
      </c>
      <c r="AR4" s="132">
        <v>0</v>
      </c>
      <c r="AS4" s="84">
        <f t="shared" ref="AS4:AS30" si="9">AVERAGE(AP4:AR4)</f>
        <v>0</v>
      </c>
      <c r="AT4" s="132">
        <v>0</v>
      </c>
      <c r="AU4" s="132">
        <v>0</v>
      </c>
      <c r="AV4" s="132">
        <v>0</v>
      </c>
      <c r="AW4" s="84">
        <f t="shared" ref="AW4:AW30" si="10">AVERAGE(AT4:AV4)</f>
        <v>0</v>
      </c>
      <c r="AX4" s="132">
        <v>0</v>
      </c>
      <c r="AY4" s="132">
        <v>0</v>
      </c>
      <c r="AZ4" s="132">
        <v>0</v>
      </c>
      <c r="BA4" s="84">
        <f t="shared" ref="BA4:BA30" si="11">AVERAGE(AX4:AZ4)</f>
        <v>0</v>
      </c>
      <c r="BB4" s="64">
        <f t="shared" ref="BB4:BB30" si="12">AVERAGE(I4,M4,Q4,U4,Y4,AC4,AG4,AK4,AO4,AS4,AW4,BA4)</f>
        <v>0</v>
      </c>
    </row>
    <row r="5" spans="1:54" ht="15.75" customHeight="1" x14ac:dyDescent="0.25">
      <c r="A5" s="13" t="s">
        <v>490</v>
      </c>
      <c r="B5" s="16" t="s">
        <v>491</v>
      </c>
      <c r="C5" s="13" t="s">
        <v>15</v>
      </c>
      <c r="D5" s="50">
        <v>6</v>
      </c>
      <c r="E5" s="50" t="s">
        <v>16</v>
      </c>
      <c r="F5" s="132">
        <v>0</v>
      </c>
      <c r="G5" s="132">
        <v>0</v>
      </c>
      <c r="H5" s="132">
        <v>0</v>
      </c>
      <c r="I5" s="84">
        <f t="shared" si="1"/>
        <v>0</v>
      </c>
      <c r="J5" s="132">
        <v>0</v>
      </c>
      <c r="K5" s="132">
        <v>0</v>
      </c>
      <c r="L5" s="132">
        <v>0</v>
      </c>
      <c r="M5" s="84">
        <f t="shared" si="0"/>
        <v>0</v>
      </c>
      <c r="N5" s="132">
        <v>0</v>
      </c>
      <c r="O5" s="132">
        <v>0</v>
      </c>
      <c r="P5" s="132">
        <v>0</v>
      </c>
      <c r="Q5" s="84">
        <f t="shared" si="2"/>
        <v>0</v>
      </c>
      <c r="R5" s="132">
        <v>0</v>
      </c>
      <c r="S5" s="132">
        <v>0</v>
      </c>
      <c r="T5" s="132">
        <v>0</v>
      </c>
      <c r="U5" s="84">
        <f t="shared" si="3"/>
        <v>0</v>
      </c>
      <c r="V5" s="132">
        <v>0</v>
      </c>
      <c r="W5" s="132">
        <v>0</v>
      </c>
      <c r="X5" s="132">
        <v>0</v>
      </c>
      <c r="Y5" s="84">
        <f t="shared" si="4"/>
        <v>0</v>
      </c>
      <c r="Z5" s="132">
        <v>0</v>
      </c>
      <c r="AA5" s="132">
        <v>0</v>
      </c>
      <c r="AB5" s="132">
        <v>0</v>
      </c>
      <c r="AC5" s="84">
        <f t="shared" si="5"/>
        <v>0</v>
      </c>
      <c r="AD5" s="132">
        <v>0</v>
      </c>
      <c r="AE5" s="132">
        <v>0</v>
      </c>
      <c r="AF5" s="132">
        <v>0</v>
      </c>
      <c r="AG5" s="84">
        <f t="shared" si="6"/>
        <v>0</v>
      </c>
      <c r="AH5" s="132">
        <v>0</v>
      </c>
      <c r="AI5" s="132">
        <v>0</v>
      </c>
      <c r="AJ5" s="132">
        <v>0</v>
      </c>
      <c r="AK5" s="84">
        <f t="shared" si="7"/>
        <v>0</v>
      </c>
      <c r="AL5" s="132">
        <v>0</v>
      </c>
      <c r="AM5" s="132">
        <v>0</v>
      </c>
      <c r="AN5" s="132">
        <v>0</v>
      </c>
      <c r="AO5" s="84">
        <f t="shared" si="8"/>
        <v>0</v>
      </c>
      <c r="AP5" s="132">
        <v>0</v>
      </c>
      <c r="AQ5" s="132">
        <v>0</v>
      </c>
      <c r="AR5" s="132">
        <v>0</v>
      </c>
      <c r="AS5" s="84">
        <f t="shared" si="9"/>
        <v>0</v>
      </c>
      <c r="AT5" s="132">
        <v>0</v>
      </c>
      <c r="AU5" s="132">
        <v>0</v>
      </c>
      <c r="AV5" s="132">
        <v>0</v>
      </c>
      <c r="AW5" s="84">
        <f t="shared" si="10"/>
        <v>0</v>
      </c>
      <c r="AX5" s="132">
        <v>0</v>
      </c>
      <c r="AY5" s="132">
        <v>0</v>
      </c>
      <c r="AZ5" s="132">
        <v>0</v>
      </c>
      <c r="BA5" s="84">
        <f t="shared" si="11"/>
        <v>0</v>
      </c>
      <c r="BB5" s="64">
        <f t="shared" si="12"/>
        <v>0</v>
      </c>
    </row>
    <row r="6" spans="1:54" ht="15.75" customHeight="1" x14ac:dyDescent="0.25">
      <c r="A6" s="13" t="s">
        <v>516</v>
      </c>
      <c r="B6" s="16" t="s">
        <v>517</v>
      </c>
      <c r="C6" s="13" t="s">
        <v>15</v>
      </c>
      <c r="D6" s="50">
        <v>6</v>
      </c>
      <c r="E6" s="50" t="s">
        <v>16</v>
      </c>
      <c r="F6" s="132">
        <v>0</v>
      </c>
      <c r="G6" s="132">
        <v>0</v>
      </c>
      <c r="H6" s="132">
        <v>0</v>
      </c>
      <c r="I6" s="84">
        <f t="shared" si="1"/>
        <v>0</v>
      </c>
      <c r="J6" s="132">
        <v>0</v>
      </c>
      <c r="K6" s="132">
        <v>0</v>
      </c>
      <c r="L6" s="132">
        <v>0</v>
      </c>
      <c r="M6" s="84">
        <f t="shared" si="0"/>
        <v>0</v>
      </c>
      <c r="N6" s="132">
        <v>0</v>
      </c>
      <c r="O6" s="132">
        <v>0</v>
      </c>
      <c r="P6" s="132">
        <v>0</v>
      </c>
      <c r="Q6" s="84">
        <f t="shared" si="2"/>
        <v>0</v>
      </c>
      <c r="R6" s="132">
        <v>0</v>
      </c>
      <c r="S6" s="132">
        <v>0</v>
      </c>
      <c r="T6" s="132">
        <v>0</v>
      </c>
      <c r="U6" s="84">
        <f t="shared" si="3"/>
        <v>0</v>
      </c>
      <c r="V6" s="132">
        <v>0</v>
      </c>
      <c r="W6" s="132">
        <v>0</v>
      </c>
      <c r="X6" s="132">
        <v>0</v>
      </c>
      <c r="Y6" s="84">
        <f t="shared" si="4"/>
        <v>0</v>
      </c>
      <c r="Z6" s="132">
        <v>0</v>
      </c>
      <c r="AA6" s="132">
        <v>0</v>
      </c>
      <c r="AB6" s="132">
        <v>0</v>
      </c>
      <c r="AC6" s="84">
        <f t="shared" si="5"/>
        <v>0</v>
      </c>
      <c r="AD6" s="132">
        <v>0</v>
      </c>
      <c r="AE6" s="132">
        <v>0</v>
      </c>
      <c r="AF6" s="132">
        <v>0</v>
      </c>
      <c r="AG6" s="84">
        <f t="shared" si="6"/>
        <v>0</v>
      </c>
      <c r="AH6" s="132">
        <v>0</v>
      </c>
      <c r="AI6" s="132">
        <v>0</v>
      </c>
      <c r="AJ6" s="132">
        <v>0</v>
      </c>
      <c r="AK6" s="84">
        <f t="shared" si="7"/>
        <v>0</v>
      </c>
      <c r="AL6" s="132">
        <v>0</v>
      </c>
      <c r="AM6" s="132">
        <v>0</v>
      </c>
      <c r="AN6" s="132">
        <v>0</v>
      </c>
      <c r="AO6" s="84">
        <f t="shared" si="8"/>
        <v>0</v>
      </c>
      <c r="AP6" s="132">
        <v>0</v>
      </c>
      <c r="AQ6" s="132">
        <v>0</v>
      </c>
      <c r="AR6" s="132">
        <v>0</v>
      </c>
      <c r="AS6" s="84">
        <f t="shared" si="9"/>
        <v>0</v>
      </c>
      <c r="AT6" s="132">
        <v>0</v>
      </c>
      <c r="AU6" s="132">
        <v>0</v>
      </c>
      <c r="AV6" s="132">
        <v>0</v>
      </c>
      <c r="AW6" s="84">
        <f t="shared" si="10"/>
        <v>0</v>
      </c>
      <c r="AX6" s="132">
        <v>0</v>
      </c>
      <c r="AY6" s="132">
        <v>0</v>
      </c>
      <c r="AZ6" s="132">
        <v>0</v>
      </c>
      <c r="BA6" s="84">
        <f t="shared" si="11"/>
        <v>0</v>
      </c>
      <c r="BB6" s="64">
        <f t="shared" si="12"/>
        <v>0</v>
      </c>
    </row>
    <row r="7" spans="1:54" ht="15.75" customHeight="1" x14ac:dyDescent="0.25">
      <c r="A7" s="13" t="s">
        <v>500</v>
      </c>
      <c r="B7" s="16" t="s">
        <v>501</v>
      </c>
      <c r="C7" s="13" t="s">
        <v>15</v>
      </c>
      <c r="D7" s="50">
        <v>6</v>
      </c>
      <c r="E7" s="50" t="s">
        <v>16</v>
      </c>
      <c r="F7" s="132">
        <v>0</v>
      </c>
      <c r="G7" s="132">
        <v>0</v>
      </c>
      <c r="H7" s="132">
        <v>0</v>
      </c>
      <c r="I7" s="84">
        <f t="shared" si="1"/>
        <v>0</v>
      </c>
      <c r="J7" s="132">
        <v>0</v>
      </c>
      <c r="K7" s="132">
        <v>0</v>
      </c>
      <c r="L7" s="132">
        <v>0</v>
      </c>
      <c r="M7" s="84">
        <f t="shared" si="0"/>
        <v>0</v>
      </c>
      <c r="N7" s="132">
        <v>0</v>
      </c>
      <c r="O7" s="132">
        <v>0</v>
      </c>
      <c r="P7" s="132">
        <v>0</v>
      </c>
      <c r="Q7" s="84">
        <f t="shared" si="2"/>
        <v>0</v>
      </c>
      <c r="R7" s="132">
        <v>0</v>
      </c>
      <c r="S7" s="132">
        <v>0</v>
      </c>
      <c r="T7" s="132">
        <v>0</v>
      </c>
      <c r="U7" s="84">
        <f t="shared" si="3"/>
        <v>0</v>
      </c>
      <c r="V7" s="132">
        <v>0</v>
      </c>
      <c r="W7" s="132">
        <v>0</v>
      </c>
      <c r="X7" s="132">
        <v>0</v>
      </c>
      <c r="Y7" s="84">
        <f t="shared" si="4"/>
        <v>0</v>
      </c>
      <c r="Z7" s="132">
        <v>0</v>
      </c>
      <c r="AA7" s="132">
        <v>0</v>
      </c>
      <c r="AB7" s="132">
        <v>0</v>
      </c>
      <c r="AC7" s="84">
        <f t="shared" si="5"/>
        <v>0</v>
      </c>
      <c r="AD7" s="132">
        <v>0</v>
      </c>
      <c r="AE7" s="132">
        <v>0</v>
      </c>
      <c r="AF7" s="132">
        <v>0</v>
      </c>
      <c r="AG7" s="84">
        <f t="shared" si="6"/>
        <v>0</v>
      </c>
      <c r="AH7" s="132">
        <v>0</v>
      </c>
      <c r="AI7" s="132">
        <v>0</v>
      </c>
      <c r="AJ7" s="132">
        <v>0</v>
      </c>
      <c r="AK7" s="84">
        <f t="shared" si="7"/>
        <v>0</v>
      </c>
      <c r="AL7" s="132">
        <v>0</v>
      </c>
      <c r="AM7" s="132">
        <v>0</v>
      </c>
      <c r="AN7" s="132">
        <v>0</v>
      </c>
      <c r="AO7" s="84">
        <f t="shared" si="8"/>
        <v>0</v>
      </c>
      <c r="AP7" s="132">
        <v>0</v>
      </c>
      <c r="AQ7" s="132">
        <v>0</v>
      </c>
      <c r="AR7" s="132">
        <v>0</v>
      </c>
      <c r="AS7" s="84">
        <f t="shared" si="9"/>
        <v>0</v>
      </c>
      <c r="AT7" s="132">
        <v>0</v>
      </c>
      <c r="AU7" s="132">
        <v>0</v>
      </c>
      <c r="AV7" s="132">
        <v>0</v>
      </c>
      <c r="AW7" s="84">
        <f t="shared" si="10"/>
        <v>0</v>
      </c>
      <c r="AX7" s="132">
        <v>0</v>
      </c>
      <c r="AY7" s="132">
        <v>0</v>
      </c>
      <c r="AZ7" s="132">
        <v>0</v>
      </c>
      <c r="BA7" s="84">
        <f t="shared" si="11"/>
        <v>0</v>
      </c>
      <c r="BB7" s="64">
        <f t="shared" si="12"/>
        <v>0</v>
      </c>
    </row>
    <row r="8" spans="1:54" ht="15.75" customHeight="1" x14ac:dyDescent="0.25">
      <c r="A8" s="13" t="s">
        <v>532</v>
      </c>
      <c r="B8" s="16" t="s">
        <v>533</v>
      </c>
      <c r="C8" s="13" t="s">
        <v>15</v>
      </c>
      <c r="D8" s="50">
        <v>6</v>
      </c>
      <c r="E8" s="50" t="s">
        <v>16</v>
      </c>
      <c r="F8" s="132">
        <v>0</v>
      </c>
      <c r="G8" s="132">
        <v>0</v>
      </c>
      <c r="H8" s="132">
        <v>0</v>
      </c>
      <c r="I8" s="84">
        <f t="shared" si="1"/>
        <v>0</v>
      </c>
      <c r="J8" s="132">
        <v>0</v>
      </c>
      <c r="K8" s="132">
        <v>0</v>
      </c>
      <c r="L8" s="132">
        <v>0</v>
      </c>
      <c r="M8" s="84">
        <f t="shared" si="0"/>
        <v>0</v>
      </c>
      <c r="N8" s="132">
        <v>0</v>
      </c>
      <c r="O8" s="132">
        <v>0</v>
      </c>
      <c r="P8" s="132">
        <v>0</v>
      </c>
      <c r="Q8" s="84">
        <f t="shared" si="2"/>
        <v>0</v>
      </c>
      <c r="R8" s="132">
        <v>0</v>
      </c>
      <c r="S8" s="132">
        <v>0</v>
      </c>
      <c r="T8" s="132">
        <v>0</v>
      </c>
      <c r="U8" s="84">
        <f t="shared" si="3"/>
        <v>0</v>
      </c>
      <c r="V8" s="132">
        <v>0</v>
      </c>
      <c r="W8" s="132">
        <v>0</v>
      </c>
      <c r="X8" s="132">
        <v>0</v>
      </c>
      <c r="Y8" s="84">
        <f t="shared" si="4"/>
        <v>0</v>
      </c>
      <c r="Z8" s="132">
        <v>0</v>
      </c>
      <c r="AA8" s="132">
        <v>0</v>
      </c>
      <c r="AB8" s="132">
        <v>0</v>
      </c>
      <c r="AC8" s="84">
        <f t="shared" si="5"/>
        <v>0</v>
      </c>
      <c r="AD8" s="132">
        <v>0</v>
      </c>
      <c r="AE8" s="132">
        <v>0</v>
      </c>
      <c r="AF8" s="132">
        <v>0</v>
      </c>
      <c r="AG8" s="84">
        <f t="shared" si="6"/>
        <v>0</v>
      </c>
      <c r="AH8" s="132">
        <v>0</v>
      </c>
      <c r="AI8" s="132">
        <v>0</v>
      </c>
      <c r="AJ8" s="132">
        <v>0</v>
      </c>
      <c r="AK8" s="84">
        <f t="shared" si="7"/>
        <v>0</v>
      </c>
      <c r="AL8" s="132">
        <v>0</v>
      </c>
      <c r="AM8" s="132">
        <v>0</v>
      </c>
      <c r="AN8" s="132">
        <v>0</v>
      </c>
      <c r="AO8" s="84">
        <f t="shared" si="8"/>
        <v>0</v>
      </c>
      <c r="AP8" s="132">
        <v>0</v>
      </c>
      <c r="AQ8" s="132">
        <v>0</v>
      </c>
      <c r="AR8" s="132">
        <v>0</v>
      </c>
      <c r="AS8" s="84">
        <f t="shared" si="9"/>
        <v>0</v>
      </c>
      <c r="AT8" s="132">
        <v>0</v>
      </c>
      <c r="AU8" s="132">
        <v>0</v>
      </c>
      <c r="AV8" s="132">
        <v>0</v>
      </c>
      <c r="AW8" s="84">
        <f t="shared" si="10"/>
        <v>0</v>
      </c>
      <c r="AX8" s="132">
        <v>0</v>
      </c>
      <c r="AY8" s="132">
        <v>0</v>
      </c>
      <c r="AZ8" s="132">
        <v>0</v>
      </c>
      <c r="BA8" s="84">
        <f t="shared" si="11"/>
        <v>0</v>
      </c>
      <c r="BB8" s="64">
        <f t="shared" si="12"/>
        <v>0</v>
      </c>
    </row>
    <row r="9" spans="1:54" ht="15.75" customHeight="1" x14ac:dyDescent="0.25">
      <c r="A9" s="13" t="s">
        <v>536</v>
      </c>
      <c r="B9" s="16" t="s">
        <v>537</v>
      </c>
      <c r="C9" s="13" t="s">
        <v>15</v>
      </c>
      <c r="D9" s="50">
        <v>6</v>
      </c>
      <c r="E9" s="50" t="s">
        <v>16</v>
      </c>
      <c r="F9" s="132">
        <v>0</v>
      </c>
      <c r="G9" s="132">
        <v>0</v>
      </c>
      <c r="H9" s="132">
        <v>0</v>
      </c>
      <c r="I9" s="84">
        <f t="shared" si="1"/>
        <v>0</v>
      </c>
      <c r="J9" s="132">
        <v>0</v>
      </c>
      <c r="K9" s="132">
        <v>0</v>
      </c>
      <c r="L9" s="132">
        <v>0</v>
      </c>
      <c r="M9" s="84">
        <f t="shared" si="0"/>
        <v>0</v>
      </c>
      <c r="N9" s="132">
        <v>0</v>
      </c>
      <c r="O9" s="132">
        <v>0</v>
      </c>
      <c r="P9" s="132">
        <v>0</v>
      </c>
      <c r="Q9" s="84">
        <f t="shared" si="2"/>
        <v>0</v>
      </c>
      <c r="R9" s="132">
        <v>0</v>
      </c>
      <c r="S9" s="132">
        <v>0</v>
      </c>
      <c r="T9" s="132">
        <v>0</v>
      </c>
      <c r="U9" s="84">
        <f t="shared" si="3"/>
        <v>0</v>
      </c>
      <c r="V9" s="132">
        <v>0</v>
      </c>
      <c r="W9" s="132">
        <v>0</v>
      </c>
      <c r="X9" s="132">
        <v>0</v>
      </c>
      <c r="Y9" s="84">
        <f t="shared" si="4"/>
        <v>0</v>
      </c>
      <c r="Z9" s="132">
        <v>0</v>
      </c>
      <c r="AA9" s="132">
        <v>0</v>
      </c>
      <c r="AB9" s="132">
        <v>0</v>
      </c>
      <c r="AC9" s="84">
        <f t="shared" si="5"/>
        <v>0</v>
      </c>
      <c r="AD9" s="132">
        <v>0</v>
      </c>
      <c r="AE9" s="132">
        <v>0</v>
      </c>
      <c r="AF9" s="132">
        <v>0</v>
      </c>
      <c r="AG9" s="84">
        <f t="shared" si="6"/>
        <v>0</v>
      </c>
      <c r="AH9" s="132">
        <v>0</v>
      </c>
      <c r="AI9" s="132">
        <v>0</v>
      </c>
      <c r="AJ9" s="132">
        <v>0</v>
      </c>
      <c r="AK9" s="84">
        <f t="shared" si="7"/>
        <v>0</v>
      </c>
      <c r="AL9" s="132">
        <v>0</v>
      </c>
      <c r="AM9" s="132">
        <v>0</v>
      </c>
      <c r="AN9" s="132">
        <v>0</v>
      </c>
      <c r="AO9" s="84">
        <f t="shared" si="8"/>
        <v>0</v>
      </c>
      <c r="AP9" s="132">
        <v>0</v>
      </c>
      <c r="AQ9" s="132">
        <v>0</v>
      </c>
      <c r="AR9" s="132">
        <v>0</v>
      </c>
      <c r="AS9" s="84">
        <f t="shared" si="9"/>
        <v>0</v>
      </c>
      <c r="AT9" s="132">
        <v>0</v>
      </c>
      <c r="AU9" s="132">
        <v>0</v>
      </c>
      <c r="AV9" s="132">
        <v>0</v>
      </c>
      <c r="AW9" s="84">
        <f t="shared" si="10"/>
        <v>0</v>
      </c>
      <c r="AX9" s="132">
        <v>0</v>
      </c>
      <c r="AY9" s="132">
        <v>0</v>
      </c>
      <c r="AZ9" s="132">
        <v>0</v>
      </c>
      <c r="BA9" s="84">
        <f t="shared" si="11"/>
        <v>0</v>
      </c>
      <c r="BB9" s="64">
        <f t="shared" si="12"/>
        <v>0</v>
      </c>
    </row>
    <row r="10" spans="1:54" ht="15.75" customHeight="1" x14ac:dyDescent="0.25">
      <c r="A10" s="13" t="s">
        <v>492</v>
      </c>
      <c r="B10" s="16" t="s">
        <v>493</v>
      </c>
      <c r="C10" s="13" t="s">
        <v>15</v>
      </c>
      <c r="D10" s="50">
        <v>6</v>
      </c>
      <c r="E10" s="50" t="s">
        <v>16</v>
      </c>
      <c r="F10" s="132">
        <v>0</v>
      </c>
      <c r="G10" s="132">
        <v>0</v>
      </c>
      <c r="H10" s="132">
        <v>0</v>
      </c>
      <c r="I10" s="84">
        <f t="shared" si="1"/>
        <v>0</v>
      </c>
      <c r="J10" s="132">
        <v>0</v>
      </c>
      <c r="K10" s="132">
        <v>0</v>
      </c>
      <c r="L10" s="132">
        <v>0</v>
      </c>
      <c r="M10" s="84">
        <f t="shared" si="0"/>
        <v>0</v>
      </c>
      <c r="N10" s="132">
        <v>0</v>
      </c>
      <c r="O10" s="132">
        <v>0</v>
      </c>
      <c r="P10" s="132">
        <v>0</v>
      </c>
      <c r="Q10" s="84">
        <f t="shared" si="2"/>
        <v>0</v>
      </c>
      <c r="R10" s="132">
        <v>0</v>
      </c>
      <c r="S10" s="132">
        <v>0</v>
      </c>
      <c r="T10" s="132">
        <v>0</v>
      </c>
      <c r="U10" s="84">
        <f t="shared" si="3"/>
        <v>0</v>
      </c>
      <c r="V10" s="132">
        <v>0</v>
      </c>
      <c r="W10" s="132">
        <v>0</v>
      </c>
      <c r="X10" s="132">
        <v>0</v>
      </c>
      <c r="Y10" s="84">
        <f t="shared" si="4"/>
        <v>0</v>
      </c>
      <c r="Z10" s="132">
        <v>0</v>
      </c>
      <c r="AA10" s="132">
        <v>0</v>
      </c>
      <c r="AB10" s="132">
        <v>0</v>
      </c>
      <c r="AC10" s="84">
        <f t="shared" si="5"/>
        <v>0</v>
      </c>
      <c r="AD10" s="132">
        <v>0</v>
      </c>
      <c r="AE10" s="132">
        <v>0</v>
      </c>
      <c r="AF10" s="132">
        <v>0</v>
      </c>
      <c r="AG10" s="84">
        <f t="shared" si="6"/>
        <v>0</v>
      </c>
      <c r="AH10" s="132">
        <v>0</v>
      </c>
      <c r="AI10" s="132">
        <v>0</v>
      </c>
      <c r="AJ10" s="132">
        <v>0</v>
      </c>
      <c r="AK10" s="84">
        <f t="shared" si="7"/>
        <v>0</v>
      </c>
      <c r="AL10" s="132">
        <v>0</v>
      </c>
      <c r="AM10" s="132">
        <v>0</v>
      </c>
      <c r="AN10" s="132">
        <v>0</v>
      </c>
      <c r="AO10" s="84">
        <f t="shared" si="8"/>
        <v>0</v>
      </c>
      <c r="AP10" s="132">
        <v>0</v>
      </c>
      <c r="AQ10" s="132">
        <v>0</v>
      </c>
      <c r="AR10" s="132">
        <v>0</v>
      </c>
      <c r="AS10" s="84">
        <f t="shared" si="9"/>
        <v>0</v>
      </c>
      <c r="AT10" s="132">
        <v>0</v>
      </c>
      <c r="AU10" s="132">
        <v>0</v>
      </c>
      <c r="AV10" s="132">
        <v>0</v>
      </c>
      <c r="AW10" s="84">
        <f t="shared" si="10"/>
        <v>0</v>
      </c>
      <c r="AX10" s="132">
        <v>0</v>
      </c>
      <c r="AY10" s="132">
        <v>0</v>
      </c>
      <c r="AZ10" s="132">
        <v>0</v>
      </c>
      <c r="BA10" s="84">
        <f t="shared" si="11"/>
        <v>0</v>
      </c>
      <c r="BB10" s="64">
        <f t="shared" si="12"/>
        <v>0</v>
      </c>
    </row>
    <row r="11" spans="1:54" ht="15.75" customHeight="1" x14ac:dyDescent="0.25">
      <c r="A11" s="13" t="s">
        <v>494</v>
      </c>
      <c r="B11" s="16" t="s">
        <v>495</v>
      </c>
      <c r="C11" s="13" t="s">
        <v>15</v>
      </c>
      <c r="D11" s="50">
        <v>6</v>
      </c>
      <c r="E11" s="50" t="s">
        <v>16</v>
      </c>
      <c r="F11" s="132">
        <v>0</v>
      </c>
      <c r="G11" s="132">
        <v>0</v>
      </c>
      <c r="H11" s="132">
        <v>0</v>
      </c>
      <c r="I11" s="84">
        <f t="shared" si="1"/>
        <v>0</v>
      </c>
      <c r="J11" s="132">
        <v>0</v>
      </c>
      <c r="K11" s="132">
        <v>0</v>
      </c>
      <c r="L11" s="132">
        <v>0</v>
      </c>
      <c r="M11" s="84">
        <f t="shared" si="0"/>
        <v>0</v>
      </c>
      <c r="N11" s="132">
        <v>0</v>
      </c>
      <c r="O11" s="132">
        <v>0</v>
      </c>
      <c r="P11" s="132">
        <v>0</v>
      </c>
      <c r="Q11" s="84">
        <f t="shared" si="2"/>
        <v>0</v>
      </c>
      <c r="R11" s="132">
        <v>0</v>
      </c>
      <c r="S11" s="132">
        <v>0</v>
      </c>
      <c r="T11" s="132">
        <v>0</v>
      </c>
      <c r="U11" s="84">
        <f t="shared" si="3"/>
        <v>0</v>
      </c>
      <c r="V11" s="132">
        <v>0</v>
      </c>
      <c r="W11" s="132">
        <v>0</v>
      </c>
      <c r="X11" s="132">
        <v>0</v>
      </c>
      <c r="Y11" s="84">
        <f t="shared" si="4"/>
        <v>0</v>
      </c>
      <c r="Z11" s="132">
        <v>0</v>
      </c>
      <c r="AA11" s="132">
        <v>0</v>
      </c>
      <c r="AB11" s="132">
        <v>0</v>
      </c>
      <c r="AC11" s="84">
        <f t="shared" si="5"/>
        <v>0</v>
      </c>
      <c r="AD11" s="132">
        <v>0</v>
      </c>
      <c r="AE11" s="132">
        <v>0</v>
      </c>
      <c r="AF11" s="132">
        <v>0</v>
      </c>
      <c r="AG11" s="84">
        <f t="shared" si="6"/>
        <v>0</v>
      </c>
      <c r="AH11" s="132">
        <v>0</v>
      </c>
      <c r="AI11" s="132">
        <v>0</v>
      </c>
      <c r="AJ11" s="132">
        <v>0</v>
      </c>
      <c r="AK11" s="84">
        <f t="shared" si="7"/>
        <v>0</v>
      </c>
      <c r="AL11" s="132">
        <v>0</v>
      </c>
      <c r="AM11" s="132">
        <v>0</v>
      </c>
      <c r="AN11" s="132">
        <v>0</v>
      </c>
      <c r="AO11" s="84">
        <f t="shared" si="8"/>
        <v>0</v>
      </c>
      <c r="AP11" s="132">
        <v>0</v>
      </c>
      <c r="AQ11" s="132">
        <v>0</v>
      </c>
      <c r="AR11" s="132">
        <v>0</v>
      </c>
      <c r="AS11" s="84">
        <f t="shared" si="9"/>
        <v>0</v>
      </c>
      <c r="AT11" s="132">
        <v>0</v>
      </c>
      <c r="AU11" s="132">
        <v>0</v>
      </c>
      <c r="AV11" s="132">
        <v>0</v>
      </c>
      <c r="AW11" s="84">
        <f t="shared" si="10"/>
        <v>0</v>
      </c>
      <c r="AX11" s="132">
        <v>0</v>
      </c>
      <c r="AY11" s="132">
        <v>0</v>
      </c>
      <c r="AZ11" s="132">
        <v>0</v>
      </c>
      <c r="BA11" s="84">
        <f t="shared" si="11"/>
        <v>0</v>
      </c>
      <c r="BB11" s="64">
        <f t="shared" si="12"/>
        <v>0</v>
      </c>
    </row>
    <row r="12" spans="1:54" ht="15.75" customHeight="1" x14ac:dyDescent="0.25">
      <c r="A12" s="13" t="s">
        <v>512</v>
      </c>
      <c r="B12" s="16" t="s">
        <v>513</v>
      </c>
      <c r="C12" s="13" t="s">
        <v>15</v>
      </c>
      <c r="D12" s="50">
        <v>6</v>
      </c>
      <c r="E12" s="50" t="s">
        <v>16</v>
      </c>
      <c r="F12" s="132">
        <v>0</v>
      </c>
      <c r="G12" s="132">
        <v>0</v>
      </c>
      <c r="H12" s="132">
        <v>0</v>
      </c>
      <c r="I12" s="84">
        <f t="shared" si="1"/>
        <v>0</v>
      </c>
      <c r="J12" s="132">
        <v>0</v>
      </c>
      <c r="K12" s="132">
        <v>0</v>
      </c>
      <c r="L12" s="132">
        <v>0</v>
      </c>
      <c r="M12" s="84">
        <f t="shared" si="0"/>
        <v>0</v>
      </c>
      <c r="N12" s="132">
        <v>0</v>
      </c>
      <c r="O12" s="132">
        <v>0</v>
      </c>
      <c r="P12" s="132">
        <v>0</v>
      </c>
      <c r="Q12" s="84">
        <f t="shared" si="2"/>
        <v>0</v>
      </c>
      <c r="R12" s="132">
        <v>0</v>
      </c>
      <c r="S12" s="132">
        <v>0</v>
      </c>
      <c r="T12" s="132">
        <v>0</v>
      </c>
      <c r="U12" s="84">
        <f t="shared" si="3"/>
        <v>0</v>
      </c>
      <c r="V12" s="132">
        <v>0</v>
      </c>
      <c r="W12" s="132">
        <v>0</v>
      </c>
      <c r="X12" s="132">
        <v>0</v>
      </c>
      <c r="Y12" s="84">
        <f t="shared" si="4"/>
        <v>0</v>
      </c>
      <c r="Z12" s="132">
        <v>0</v>
      </c>
      <c r="AA12" s="132">
        <v>0</v>
      </c>
      <c r="AB12" s="132">
        <v>0</v>
      </c>
      <c r="AC12" s="84">
        <f t="shared" si="5"/>
        <v>0</v>
      </c>
      <c r="AD12" s="132">
        <v>0</v>
      </c>
      <c r="AE12" s="132">
        <v>0</v>
      </c>
      <c r="AF12" s="132">
        <v>0</v>
      </c>
      <c r="AG12" s="84">
        <f t="shared" si="6"/>
        <v>0</v>
      </c>
      <c r="AH12" s="132">
        <v>0</v>
      </c>
      <c r="AI12" s="132">
        <v>0</v>
      </c>
      <c r="AJ12" s="132">
        <v>0</v>
      </c>
      <c r="AK12" s="84">
        <f t="shared" si="7"/>
        <v>0</v>
      </c>
      <c r="AL12" s="132">
        <v>0</v>
      </c>
      <c r="AM12" s="132">
        <v>0</v>
      </c>
      <c r="AN12" s="132">
        <v>0</v>
      </c>
      <c r="AO12" s="84">
        <f t="shared" si="8"/>
        <v>0</v>
      </c>
      <c r="AP12" s="132">
        <v>0</v>
      </c>
      <c r="AQ12" s="132">
        <v>0</v>
      </c>
      <c r="AR12" s="132">
        <v>0</v>
      </c>
      <c r="AS12" s="84">
        <f t="shared" si="9"/>
        <v>0</v>
      </c>
      <c r="AT12" s="132">
        <v>0</v>
      </c>
      <c r="AU12" s="132">
        <v>0</v>
      </c>
      <c r="AV12" s="132">
        <v>0</v>
      </c>
      <c r="AW12" s="84">
        <f t="shared" si="10"/>
        <v>0</v>
      </c>
      <c r="AX12" s="132">
        <v>0</v>
      </c>
      <c r="AY12" s="132">
        <v>0</v>
      </c>
      <c r="AZ12" s="132">
        <v>0</v>
      </c>
      <c r="BA12" s="84">
        <f t="shared" si="11"/>
        <v>0</v>
      </c>
      <c r="BB12" s="64">
        <f t="shared" si="12"/>
        <v>0</v>
      </c>
    </row>
    <row r="13" spans="1:54" ht="15.75" customHeight="1" x14ac:dyDescent="0.25">
      <c r="A13" s="13" t="s">
        <v>498</v>
      </c>
      <c r="B13" s="16" t="s">
        <v>499</v>
      </c>
      <c r="C13" s="13" t="s">
        <v>15</v>
      </c>
      <c r="D13" s="50">
        <v>6</v>
      </c>
      <c r="E13" s="50" t="s">
        <v>16</v>
      </c>
      <c r="F13" s="132">
        <v>0</v>
      </c>
      <c r="G13" s="132">
        <v>0</v>
      </c>
      <c r="H13" s="132">
        <v>0</v>
      </c>
      <c r="I13" s="84">
        <f t="shared" si="1"/>
        <v>0</v>
      </c>
      <c r="J13" s="132">
        <v>0</v>
      </c>
      <c r="K13" s="132">
        <v>0</v>
      </c>
      <c r="L13" s="132">
        <v>0</v>
      </c>
      <c r="M13" s="84">
        <f t="shared" si="0"/>
        <v>0</v>
      </c>
      <c r="N13" s="132">
        <v>0</v>
      </c>
      <c r="O13" s="132">
        <v>0</v>
      </c>
      <c r="P13" s="132">
        <v>0</v>
      </c>
      <c r="Q13" s="84">
        <f t="shared" si="2"/>
        <v>0</v>
      </c>
      <c r="R13" s="132">
        <v>0</v>
      </c>
      <c r="S13" s="132">
        <v>0</v>
      </c>
      <c r="T13" s="132">
        <v>0</v>
      </c>
      <c r="U13" s="84">
        <f t="shared" si="3"/>
        <v>0</v>
      </c>
      <c r="V13" s="132">
        <v>0</v>
      </c>
      <c r="W13" s="132">
        <v>0</v>
      </c>
      <c r="X13" s="132">
        <v>0</v>
      </c>
      <c r="Y13" s="84">
        <f t="shared" si="4"/>
        <v>0</v>
      </c>
      <c r="Z13" s="132">
        <v>0</v>
      </c>
      <c r="AA13" s="132">
        <v>0</v>
      </c>
      <c r="AB13" s="132">
        <v>0</v>
      </c>
      <c r="AC13" s="84">
        <f t="shared" si="5"/>
        <v>0</v>
      </c>
      <c r="AD13" s="132">
        <v>0</v>
      </c>
      <c r="AE13" s="132">
        <v>0</v>
      </c>
      <c r="AF13" s="132">
        <v>0</v>
      </c>
      <c r="AG13" s="84">
        <f t="shared" si="6"/>
        <v>0</v>
      </c>
      <c r="AH13" s="132">
        <v>0</v>
      </c>
      <c r="AI13" s="132">
        <v>0</v>
      </c>
      <c r="AJ13" s="132">
        <v>0</v>
      </c>
      <c r="AK13" s="84">
        <f t="shared" si="7"/>
        <v>0</v>
      </c>
      <c r="AL13" s="132">
        <v>0</v>
      </c>
      <c r="AM13" s="132">
        <v>0</v>
      </c>
      <c r="AN13" s="132">
        <v>0</v>
      </c>
      <c r="AO13" s="84">
        <f t="shared" si="8"/>
        <v>0</v>
      </c>
      <c r="AP13" s="132">
        <v>0</v>
      </c>
      <c r="AQ13" s="132">
        <v>0</v>
      </c>
      <c r="AR13" s="132">
        <v>0</v>
      </c>
      <c r="AS13" s="84">
        <f t="shared" si="9"/>
        <v>0</v>
      </c>
      <c r="AT13" s="132">
        <v>0</v>
      </c>
      <c r="AU13" s="132">
        <v>0</v>
      </c>
      <c r="AV13" s="132">
        <v>0</v>
      </c>
      <c r="AW13" s="84">
        <f t="shared" si="10"/>
        <v>0</v>
      </c>
      <c r="AX13" s="132">
        <v>0</v>
      </c>
      <c r="AY13" s="132">
        <v>0</v>
      </c>
      <c r="AZ13" s="132">
        <v>0</v>
      </c>
      <c r="BA13" s="84">
        <f t="shared" si="11"/>
        <v>0</v>
      </c>
      <c r="BB13" s="64">
        <f t="shared" si="12"/>
        <v>0</v>
      </c>
    </row>
    <row r="14" spans="1:54" ht="15.75" customHeight="1" x14ac:dyDescent="0.25">
      <c r="A14" s="13" t="s">
        <v>530</v>
      </c>
      <c r="B14" s="16" t="s">
        <v>531</v>
      </c>
      <c r="C14" s="13" t="s">
        <v>15</v>
      </c>
      <c r="D14" s="50">
        <v>6</v>
      </c>
      <c r="E14" s="50" t="s">
        <v>16</v>
      </c>
      <c r="F14" s="132">
        <v>0</v>
      </c>
      <c r="G14" s="132">
        <v>0</v>
      </c>
      <c r="H14" s="132">
        <v>0</v>
      </c>
      <c r="I14" s="84">
        <f t="shared" si="1"/>
        <v>0</v>
      </c>
      <c r="J14" s="132">
        <v>0</v>
      </c>
      <c r="K14" s="132">
        <v>0</v>
      </c>
      <c r="L14" s="132">
        <v>0</v>
      </c>
      <c r="M14" s="84">
        <f t="shared" si="0"/>
        <v>0</v>
      </c>
      <c r="N14" s="132">
        <v>0</v>
      </c>
      <c r="O14" s="132">
        <v>0</v>
      </c>
      <c r="P14" s="132">
        <v>0</v>
      </c>
      <c r="Q14" s="84">
        <f t="shared" si="2"/>
        <v>0</v>
      </c>
      <c r="R14" s="132">
        <v>0</v>
      </c>
      <c r="S14" s="132">
        <v>0</v>
      </c>
      <c r="T14" s="132">
        <v>0</v>
      </c>
      <c r="U14" s="84">
        <f t="shared" si="3"/>
        <v>0</v>
      </c>
      <c r="V14" s="132">
        <v>0</v>
      </c>
      <c r="W14" s="132">
        <v>0</v>
      </c>
      <c r="X14" s="132">
        <v>0</v>
      </c>
      <c r="Y14" s="84">
        <f t="shared" si="4"/>
        <v>0</v>
      </c>
      <c r="Z14" s="132">
        <v>0</v>
      </c>
      <c r="AA14" s="132">
        <v>0</v>
      </c>
      <c r="AB14" s="132">
        <v>0</v>
      </c>
      <c r="AC14" s="84">
        <f t="shared" si="5"/>
        <v>0</v>
      </c>
      <c r="AD14" s="132">
        <v>0</v>
      </c>
      <c r="AE14" s="132">
        <v>0</v>
      </c>
      <c r="AF14" s="132">
        <v>0</v>
      </c>
      <c r="AG14" s="84">
        <f t="shared" si="6"/>
        <v>0</v>
      </c>
      <c r="AH14" s="132">
        <v>0</v>
      </c>
      <c r="AI14" s="132">
        <v>0</v>
      </c>
      <c r="AJ14" s="132">
        <v>0</v>
      </c>
      <c r="AK14" s="84">
        <f t="shared" si="7"/>
        <v>0</v>
      </c>
      <c r="AL14" s="132">
        <v>0</v>
      </c>
      <c r="AM14" s="132">
        <v>0</v>
      </c>
      <c r="AN14" s="132">
        <v>0</v>
      </c>
      <c r="AO14" s="84">
        <f t="shared" si="8"/>
        <v>0</v>
      </c>
      <c r="AP14" s="132">
        <v>0</v>
      </c>
      <c r="AQ14" s="132">
        <v>0</v>
      </c>
      <c r="AR14" s="132">
        <v>0</v>
      </c>
      <c r="AS14" s="84">
        <f t="shared" si="9"/>
        <v>0</v>
      </c>
      <c r="AT14" s="132">
        <v>0</v>
      </c>
      <c r="AU14" s="132">
        <v>0</v>
      </c>
      <c r="AV14" s="132">
        <v>0</v>
      </c>
      <c r="AW14" s="84">
        <f t="shared" si="10"/>
        <v>0</v>
      </c>
      <c r="AX14" s="132">
        <v>0</v>
      </c>
      <c r="AY14" s="132">
        <v>0</v>
      </c>
      <c r="AZ14" s="132">
        <v>0</v>
      </c>
      <c r="BA14" s="84">
        <f t="shared" si="11"/>
        <v>0</v>
      </c>
      <c r="BB14" s="64">
        <f t="shared" si="12"/>
        <v>0</v>
      </c>
    </row>
    <row r="15" spans="1:54" ht="15.75" customHeight="1" x14ac:dyDescent="0.25">
      <c r="A15" s="13" t="s">
        <v>510</v>
      </c>
      <c r="B15" s="16" t="s">
        <v>511</v>
      </c>
      <c r="C15" s="13" t="s">
        <v>15</v>
      </c>
      <c r="D15" s="50">
        <v>6</v>
      </c>
      <c r="E15" s="50" t="s">
        <v>16</v>
      </c>
      <c r="F15" s="132">
        <v>0</v>
      </c>
      <c r="G15" s="132">
        <v>0</v>
      </c>
      <c r="H15" s="132">
        <v>0</v>
      </c>
      <c r="I15" s="84">
        <f t="shared" si="1"/>
        <v>0</v>
      </c>
      <c r="J15" s="132">
        <v>0</v>
      </c>
      <c r="K15" s="132">
        <v>0</v>
      </c>
      <c r="L15" s="132">
        <v>0</v>
      </c>
      <c r="M15" s="84">
        <f t="shared" si="0"/>
        <v>0</v>
      </c>
      <c r="N15" s="132">
        <v>0</v>
      </c>
      <c r="O15" s="132">
        <v>0</v>
      </c>
      <c r="P15" s="132">
        <v>0</v>
      </c>
      <c r="Q15" s="84">
        <f t="shared" si="2"/>
        <v>0</v>
      </c>
      <c r="R15" s="132">
        <v>0</v>
      </c>
      <c r="S15" s="132">
        <v>0</v>
      </c>
      <c r="T15" s="132">
        <v>0</v>
      </c>
      <c r="U15" s="84">
        <f t="shared" si="3"/>
        <v>0</v>
      </c>
      <c r="V15" s="132">
        <v>0</v>
      </c>
      <c r="W15" s="132">
        <v>0</v>
      </c>
      <c r="X15" s="132">
        <v>0</v>
      </c>
      <c r="Y15" s="84">
        <f t="shared" si="4"/>
        <v>0</v>
      </c>
      <c r="Z15" s="132">
        <v>0</v>
      </c>
      <c r="AA15" s="132">
        <v>0</v>
      </c>
      <c r="AB15" s="132">
        <v>0</v>
      </c>
      <c r="AC15" s="84">
        <f t="shared" si="5"/>
        <v>0</v>
      </c>
      <c r="AD15" s="132">
        <v>0</v>
      </c>
      <c r="AE15" s="132">
        <v>0</v>
      </c>
      <c r="AF15" s="132">
        <v>0</v>
      </c>
      <c r="AG15" s="84">
        <f t="shared" si="6"/>
        <v>0</v>
      </c>
      <c r="AH15" s="132">
        <v>0</v>
      </c>
      <c r="AI15" s="132">
        <v>0</v>
      </c>
      <c r="AJ15" s="132">
        <v>0</v>
      </c>
      <c r="AK15" s="84">
        <f t="shared" si="7"/>
        <v>0</v>
      </c>
      <c r="AL15" s="132">
        <v>0</v>
      </c>
      <c r="AM15" s="132">
        <v>0</v>
      </c>
      <c r="AN15" s="132">
        <v>0</v>
      </c>
      <c r="AO15" s="84">
        <f t="shared" si="8"/>
        <v>0</v>
      </c>
      <c r="AP15" s="132">
        <v>0</v>
      </c>
      <c r="AQ15" s="132">
        <v>0</v>
      </c>
      <c r="AR15" s="132">
        <v>0</v>
      </c>
      <c r="AS15" s="84">
        <f t="shared" si="9"/>
        <v>0</v>
      </c>
      <c r="AT15" s="132">
        <v>0</v>
      </c>
      <c r="AU15" s="132">
        <v>0</v>
      </c>
      <c r="AV15" s="132">
        <v>0</v>
      </c>
      <c r="AW15" s="84">
        <f t="shared" si="10"/>
        <v>0</v>
      </c>
      <c r="AX15" s="132">
        <v>0</v>
      </c>
      <c r="AY15" s="132">
        <v>0</v>
      </c>
      <c r="AZ15" s="132">
        <v>0</v>
      </c>
      <c r="BA15" s="84">
        <f t="shared" si="11"/>
        <v>0</v>
      </c>
      <c r="BB15" s="64">
        <f t="shared" si="12"/>
        <v>0</v>
      </c>
    </row>
    <row r="16" spans="1:54" ht="15.75" customHeight="1" x14ac:dyDescent="0.25">
      <c r="A16" s="13" t="s">
        <v>504</v>
      </c>
      <c r="B16" s="16" t="s">
        <v>505</v>
      </c>
      <c r="C16" s="13" t="s">
        <v>15</v>
      </c>
      <c r="D16" s="50">
        <v>6</v>
      </c>
      <c r="E16" s="50" t="s">
        <v>16</v>
      </c>
      <c r="F16" s="132">
        <v>0</v>
      </c>
      <c r="G16" s="132">
        <v>0</v>
      </c>
      <c r="H16" s="132">
        <v>0</v>
      </c>
      <c r="I16" s="84">
        <f t="shared" si="1"/>
        <v>0</v>
      </c>
      <c r="J16" s="132">
        <v>0</v>
      </c>
      <c r="K16" s="132">
        <v>0</v>
      </c>
      <c r="L16" s="132">
        <v>0</v>
      </c>
      <c r="M16" s="84">
        <f t="shared" si="0"/>
        <v>0</v>
      </c>
      <c r="N16" s="132">
        <v>0</v>
      </c>
      <c r="O16" s="132">
        <v>0</v>
      </c>
      <c r="P16" s="132">
        <v>0</v>
      </c>
      <c r="Q16" s="84">
        <f t="shared" si="2"/>
        <v>0</v>
      </c>
      <c r="R16" s="132">
        <v>0</v>
      </c>
      <c r="S16" s="132">
        <v>0</v>
      </c>
      <c r="T16" s="132">
        <v>0</v>
      </c>
      <c r="U16" s="84">
        <f t="shared" si="3"/>
        <v>0</v>
      </c>
      <c r="V16" s="132">
        <v>0</v>
      </c>
      <c r="W16" s="132">
        <v>0</v>
      </c>
      <c r="X16" s="132">
        <v>0</v>
      </c>
      <c r="Y16" s="84">
        <f t="shared" si="4"/>
        <v>0</v>
      </c>
      <c r="Z16" s="132">
        <v>0</v>
      </c>
      <c r="AA16" s="132">
        <v>0</v>
      </c>
      <c r="AB16" s="132">
        <v>0</v>
      </c>
      <c r="AC16" s="84">
        <f t="shared" si="5"/>
        <v>0</v>
      </c>
      <c r="AD16" s="132">
        <v>0</v>
      </c>
      <c r="AE16" s="132">
        <v>0</v>
      </c>
      <c r="AF16" s="132">
        <v>0</v>
      </c>
      <c r="AG16" s="84">
        <f t="shared" si="6"/>
        <v>0</v>
      </c>
      <c r="AH16" s="132">
        <v>0</v>
      </c>
      <c r="AI16" s="132">
        <v>0</v>
      </c>
      <c r="AJ16" s="132">
        <v>0</v>
      </c>
      <c r="AK16" s="84">
        <f t="shared" si="7"/>
        <v>0</v>
      </c>
      <c r="AL16" s="132">
        <v>0</v>
      </c>
      <c r="AM16" s="132">
        <v>0</v>
      </c>
      <c r="AN16" s="132">
        <v>0</v>
      </c>
      <c r="AO16" s="84">
        <f t="shared" si="8"/>
        <v>0</v>
      </c>
      <c r="AP16" s="132">
        <v>0</v>
      </c>
      <c r="AQ16" s="132">
        <v>0</v>
      </c>
      <c r="AR16" s="132">
        <v>0</v>
      </c>
      <c r="AS16" s="84">
        <f t="shared" si="9"/>
        <v>0</v>
      </c>
      <c r="AT16" s="132">
        <v>0</v>
      </c>
      <c r="AU16" s="132">
        <v>0</v>
      </c>
      <c r="AV16" s="132">
        <v>0</v>
      </c>
      <c r="AW16" s="84">
        <f t="shared" si="10"/>
        <v>0</v>
      </c>
      <c r="AX16" s="132">
        <v>0</v>
      </c>
      <c r="AY16" s="132">
        <v>0</v>
      </c>
      <c r="AZ16" s="132">
        <v>0</v>
      </c>
      <c r="BA16" s="84">
        <f t="shared" si="11"/>
        <v>0</v>
      </c>
      <c r="BB16" s="64">
        <f t="shared" si="12"/>
        <v>0</v>
      </c>
    </row>
    <row r="17" spans="1:54" ht="15.75" customHeight="1" x14ac:dyDescent="0.25">
      <c r="A17" s="13" t="s">
        <v>526</v>
      </c>
      <c r="B17" s="16" t="s">
        <v>527</v>
      </c>
      <c r="C17" s="13" t="s">
        <v>15</v>
      </c>
      <c r="D17" s="50">
        <v>6</v>
      </c>
      <c r="E17" s="50" t="s">
        <v>41</v>
      </c>
      <c r="F17" s="132">
        <v>0</v>
      </c>
      <c r="G17" s="132">
        <v>0</v>
      </c>
      <c r="H17" s="132">
        <v>0</v>
      </c>
      <c r="I17" s="84">
        <f t="shared" si="1"/>
        <v>0</v>
      </c>
      <c r="J17" s="132">
        <v>0</v>
      </c>
      <c r="K17" s="132">
        <v>0</v>
      </c>
      <c r="L17" s="132">
        <v>0</v>
      </c>
      <c r="M17" s="84">
        <f t="shared" si="0"/>
        <v>0</v>
      </c>
      <c r="N17" s="132">
        <v>0</v>
      </c>
      <c r="O17" s="132">
        <v>0</v>
      </c>
      <c r="P17" s="132">
        <v>0</v>
      </c>
      <c r="Q17" s="84">
        <f t="shared" si="2"/>
        <v>0</v>
      </c>
      <c r="R17" s="132">
        <v>0</v>
      </c>
      <c r="S17" s="132">
        <v>0</v>
      </c>
      <c r="T17" s="132">
        <v>0</v>
      </c>
      <c r="U17" s="84">
        <f t="shared" si="3"/>
        <v>0</v>
      </c>
      <c r="V17" s="132">
        <v>0</v>
      </c>
      <c r="W17" s="132">
        <v>0</v>
      </c>
      <c r="X17" s="132">
        <v>0</v>
      </c>
      <c r="Y17" s="84">
        <f t="shared" si="4"/>
        <v>0</v>
      </c>
      <c r="Z17" s="132">
        <v>0</v>
      </c>
      <c r="AA17" s="132">
        <v>0</v>
      </c>
      <c r="AB17" s="132">
        <v>0</v>
      </c>
      <c r="AC17" s="84">
        <f t="shared" si="5"/>
        <v>0</v>
      </c>
      <c r="AD17" s="132">
        <v>0</v>
      </c>
      <c r="AE17" s="132">
        <v>0</v>
      </c>
      <c r="AF17" s="132">
        <v>0</v>
      </c>
      <c r="AG17" s="84">
        <f t="shared" si="6"/>
        <v>0</v>
      </c>
      <c r="AH17" s="132">
        <v>0</v>
      </c>
      <c r="AI17" s="132">
        <v>0</v>
      </c>
      <c r="AJ17" s="132">
        <v>0</v>
      </c>
      <c r="AK17" s="84">
        <f t="shared" si="7"/>
        <v>0</v>
      </c>
      <c r="AL17" s="132">
        <v>0</v>
      </c>
      <c r="AM17" s="132">
        <v>0</v>
      </c>
      <c r="AN17" s="132">
        <v>0</v>
      </c>
      <c r="AO17" s="84">
        <f t="shared" si="8"/>
        <v>0</v>
      </c>
      <c r="AP17" s="132">
        <v>0</v>
      </c>
      <c r="AQ17" s="132">
        <v>0</v>
      </c>
      <c r="AR17" s="132">
        <v>0</v>
      </c>
      <c r="AS17" s="84">
        <f t="shared" si="9"/>
        <v>0</v>
      </c>
      <c r="AT17" s="132">
        <v>0</v>
      </c>
      <c r="AU17" s="132">
        <v>0</v>
      </c>
      <c r="AV17" s="132">
        <v>0</v>
      </c>
      <c r="AW17" s="84">
        <f t="shared" si="10"/>
        <v>0</v>
      </c>
      <c r="AX17" s="132">
        <v>0</v>
      </c>
      <c r="AY17" s="132">
        <v>0</v>
      </c>
      <c r="AZ17" s="132">
        <v>0</v>
      </c>
      <c r="BA17" s="84">
        <f t="shared" si="11"/>
        <v>0</v>
      </c>
      <c r="BB17" s="64">
        <f t="shared" si="12"/>
        <v>0</v>
      </c>
    </row>
    <row r="18" spans="1:54" ht="15.75" customHeight="1" x14ac:dyDescent="0.25">
      <c r="A18" s="13" t="s">
        <v>522</v>
      </c>
      <c r="B18" s="16" t="s">
        <v>523</v>
      </c>
      <c r="C18" s="13" t="s">
        <v>15</v>
      </c>
      <c r="D18" s="50">
        <v>6</v>
      </c>
      <c r="E18" s="50" t="s">
        <v>41</v>
      </c>
      <c r="F18" s="132">
        <v>0</v>
      </c>
      <c r="G18" s="132">
        <v>0</v>
      </c>
      <c r="H18" s="132">
        <v>0</v>
      </c>
      <c r="I18" s="103">
        <f t="shared" si="1"/>
        <v>0</v>
      </c>
      <c r="J18" s="132">
        <v>0</v>
      </c>
      <c r="K18" s="132">
        <v>0</v>
      </c>
      <c r="L18" s="132">
        <v>0</v>
      </c>
      <c r="M18" s="103">
        <f t="shared" si="0"/>
        <v>0</v>
      </c>
      <c r="N18" s="132">
        <v>0</v>
      </c>
      <c r="O18" s="132">
        <v>0</v>
      </c>
      <c r="P18" s="132">
        <v>0</v>
      </c>
      <c r="Q18" s="103">
        <f t="shared" si="2"/>
        <v>0</v>
      </c>
      <c r="R18" s="132">
        <v>0</v>
      </c>
      <c r="S18" s="132">
        <v>0</v>
      </c>
      <c r="T18" s="132">
        <v>0</v>
      </c>
      <c r="U18" s="103">
        <f t="shared" si="3"/>
        <v>0</v>
      </c>
      <c r="V18" s="132">
        <v>0</v>
      </c>
      <c r="W18" s="132">
        <v>0</v>
      </c>
      <c r="X18" s="132">
        <v>0</v>
      </c>
      <c r="Y18" s="103">
        <f t="shared" si="4"/>
        <v>0</v>
      </c>
      <c r="Z18" s="132">
        <v>0</v>
      </c>
      <c r="AA18" s="132">
        <v>0</v>
      </c>
      <c r="AB18" s="132">
        <v>0</v>
      </c>
      <c r="AC18" s="103">
        <f t="shared" si="5"/>
        <v>0</v>
      </c>
      <c r="AD18" s="132">
        <v>0</v>
      </c>
      <c r="AE18" s="132">
        <v>0</v>
      </c>
      <c r="AF18" s="132">
        <v>0</v>
      </c>
      <c r="AG18" s="103">
        <f t="shared" si="6"/>
        <v>0</v>
      </c>
      <c r="AH18" s="132">
        <v>0</v>
      </c>
      <c r="AI18" s="132">
        <v>0</v>
      </c>
      <c r="AJ18" s="132">
        <v>0</v>
      </c>
      <c r="AK18" s="103">
        <f t="shared" si="7"/>
        <v>0</v>
      </c>
      <c r="AL18" s="132">
        <v>0</v>
      </c>
      <c r="AM18" s="132">
        <v>0</v>
      </c>
      <c r="AN18" s="132">
        <v>0</v>
      </c>
      <c r="AO18" s="103">
        <f t="shared" si="8"/>
        <v>0</v>
      </c>
      <c r="AP18" s="132">
        <v>0</v>
      </c>
      <c r="AQ18" s="132">
        <v>0</v>
      </c>
      <c r="AR18" s="132">
        <v>0</v>
      </c>
      <c r="AS18" s="103">
        <f t="shared" si="9"/>
        <v>0</v>
      </c>
      <c r="AT18" s="132">
        <v>0</v>
      </c>
      <c r="AU18" s="132">
        <v>0</v>
      </c>
      <c r="AV18" s="132">
        <v>0</v>
      </c>
      <c r="AW18" s="103">
        <f t="shared" si="10"/>
        <v>0</v>
      </c>
      <c r="AX18" s="132">
        <v>0</v>
      </c>
      <c r="AY18" s="132">
        <v>0</v>
      </c>
      <c r="AZ18" s="132">
        <v>0</v>
      </c>
      <c r="BA18" s="103">
        <f t="shared" si="11"/>
        <v>0</v>
      </c>
      <c r="BB18" s="64">
        <f t="shared" si="12"/>
        <v>0</v>
      </c>
    </row>
    <row r="19" spans="1:54" ht="15.75" customHeight="1" x14ac:dyDescent="0.25">
      <c r="A19" s="13" t="s">
        <v>518</v>
      </c>
      <c r="B19" s="16" t="s">
        <v>519</v>
      </c>
      <c r="C19" s="13" t="s">
        <v>15</v>
      </c>
      <c r="D19" s="50">
        <v>6</v>
      </c>
      <c r="E19" s="50" t="s">
        <v>41</v>
      </c>
      <c r="F19" s="132">
        <v>0</v>
      </c>
      <c r="G19" s="132">
        <v>0</v>
      </c>
      <c r="H19" s="132">
        <v>0</v>
      </c>
      <c r="I19" s="84">
        <f t="shared" si="1"/>
        <v>0</v>
      </c>
      <c r="J19" s="132">
        <v>0</v>
      </c>
      <c r="K19" s="132">
        <v>0</v>
      </c>
      <c r="L19" s="132">
        <v>0</v>
      </c>
      <c r="M19" s="84">
        <f t="shared" si="0"/>
        <v>0</v>
      </c>
      <c r="N19" s="132">
        <v>0</v>
      </c>
      <c r="O19" s="132">
        <v>0</v>
      </c>
      <c r="P19" s="132">
        <v>0</v>
      </c>
      <c r="Q19" s="84">
        <f t="shared" si="2"/>
        <v>0</v>
      </c>
      <c r="R19" s="132">
        <v>0</v>
      </c>
      <c r="S19" s="132">
        <v>0</v>
      </c>
      <c r="T19" s="132">
        <v>0</v>
      </c>
      <c r="U19" s="84">
        <f t="shared" si="3"/>
        <v>0</v>
      </c>
      <c r="V19" s="132">
        <v>0</v>
      </c>
      <c r="W19" s="132">
        <v>0</v>
      </c>
      <c r="X19" s="132">
        <v>0</v>
      </c>
      <c r="Y19" s="84">
        <f t="shared" si="4"/>
        <v>0</v>
      </c>
      <c r="Z19" s="132">
        <v>0</v>
      </c>
      <c r="AA19" s="132">
        <v>0</v>
      </c>
      <c r="AB19" s="132">
        <v>0</v>
      </c>
      <c r="AC19" s="84">
        <f t="shared" si="5"/>
        <v>0</v>
      </c>
      <c r="AD19" s="132">
        <v>0</v>
      </c>
      <c r="AE19" s="132">
        <v>0</v>
      </c>
      <c r="AF19" s="132">
        <v>0</v>
      </c>
      <c r="AG19" s="84">
        <f t="shared" si="6"/>
        <v>0</v>
      </c>
      <c r="AH19" s="132">
        <v>0</v>
      </c>
      <c r="AI19" s="132">
        <v>0</v>
      </c>
      <c r="AJ19" s="132">
        <v>0</v>
      </c>
      <c r="AK19" s="84">
        <f t="shared" si="7"/>
        <v>0</v>
      </c>
      <c r="AL19" s="132">
        <v>0</v>
      </c>
      <c r="AM19" s="132">
        <v>0</v>
      </c>
      <c r="AN19" s="132">
        <v>0</v>
      </c>
      <c r="AO19" s="84">
        <f t="shared" si="8"/>
        <v>0</v>
      </c>
      <c r="AP19" s="132">
        <v>0</v>
      </c>
      <c r="AQ19" s="132">
        <v>0</v>
      </c>
      <c r="AR19" s="132">
        <v>0</v>
      </c>
      <c r="AS19" s="84">
        <f t="shared" si="9"/>
        <v>0</v>
      </c>
      <c r="AT19" s="132">
        <v>0</v>
      </c>
      <c r="AU19" s="132">
        <v>0</v>
      </c>
      <c r="AV19" s="132">
        <v>0</v>
      </c>
      <c r="AW19" s="84">
        <f t="shared" si="10"/>
        <v>0</v>
      </c>
      <c r="AX19" s="132">
        <v>0</v>
      </c>
      <c r="AY19" s="132">
        <v>0</v>
      </c>
      <c r="AZ19" s="132">
        <v>0</v>
      </c>
      <c r="BA19" s="84">
        <f t="shared" si="11"/>
        <v>0</v>
      </c>
      <c r="BB19" s="64">
        <f t="shared" si="12"/>
        <v>0</v>
      </c>
    </row>
    <row r="20" spans="1:54" ht="15.75" customHeight="1" x14ac:dyDescent="0.25">
      <c r="A20" s="13" t="s">
        <v>506</v>
      </c>
      <c r="B20" s="17" t="s">
        <v>507</v>
      </c>
      <c r="C20" s="13" t="s">
        <v>15</v>
      </c>
      <c r="D20" s="50">
        <v>6</v>
      </c>
      <c r="E20" s="50" t="s">
        <v>41</v>
      </c>
      <c r="F20" s="132">
        <v>0</v>
      </c>
      <c r="G20" s="132">
        <v>0</v>
      </c>
      <c r="H20" s="132">
        <v>0</v>
      </c>
      <c r="I20" s="84">
        <f t="shared" si="1"/>
        <v>0</v>
      </c>
      <c r="J20" s="132">
        <v>0</v>
      </c>
      <c r="K20" s="132">
        <v>0</v>
      </c>
      <c r="L20" s="132">
        <v>0</v>
      </c>
      <c r="M20" s="84">
        <f t="shared" si="0"/>
        <v>0</v>
      </c>
      <c r="N20" s="132">
        <v>0</v>
      </c>
      <c r="O20" s="132">
        <v>0</v>
      </c>
      <c r="P20" s="132">
        <v>0</v>
      </c>
      <c r="Q20" s="84">
        <f t="shared" si="2"/>
        <v>0</v>
      </c>
      <c r="R20" s="132">
        <v>0</v>
      </c>
      <c r="S20" s="132">
        <v>0</v>
      </c>
      <c r="T20" s="132">
        <v>0</v>
      </c>
      <c r="U20" s="84">
        <f t="shared" si="3"/>
        <v>0</v>
      </c>
      <c r="V20" s="132">
        <v>0</v>
      </c>
      <c r="W20" s="132">
        <v>0</v>
      </c>
      <c r="X20" s="132">
        <v>0</v>
      </c>
      <c r="Y20" s="84">
        <f t="shared" si="4"/>
        <v>0</v>
      </c>
      <c r="Z20" s="132">
        <v>0</v>
      </c>
      <c r="AA20" s="132">
        <v>0</v>
      </c>
      <c r="AB20" s="132">
        <v>0</v>
      </c>
      <c r="AC20" s="84">
        <f t="shared" si="5"/>
        <v>0</v>
      </c>
      <c r="AD20" s="132">
        <v>0</v>
      </c>
      <c r="AE20" s="132">
        <v>0</v>
      </c>
      <c r="AF20" s="132">
        <v>0</v>
      </c>
      <c r="AG20" s="84">
        <f t="shared" si="6"/>
        <v>0</v>
      </c>
      <c r="AH20" s="132">
        <v>0</v>
      </c>
      <c r="AI20" s="132">
        <v>0</v>
      </c>
      <c r="AJ20" s="132">
        <v>0</v>
      </c>
      <c r="AK20" s="84">
        <f t="shared" si="7"/>
        <v>0</v>
      </c>
      <c r="AL20" s="132">
        <v>0</v>
      </c>
      <c r="AM20" s="132">
        <v>0</v>
      </c>
      <c r="AN20" s="132">
        <v>0</v>
      </c>
      <c r="AO20" s="84">
        <f t="shared" si="8"/>
        <v>0</v>
      </c>
      <c r="AP20" s="132">
        <v>0</v>
      </c>
      <c r="AQ20" s="132">
        <v>0</v>
      </c>
      <c r="AR20" s="132">
        <v>0</v>
      </c>
      <c r="AS20" s="84">
        <f t="shared" si="9"/>
        <v>0</v>
      </c>
      <c r="AT20" s="132">
        <v>0</v>
      </c>
      <c r="AU20" s="132">
        <v>0</v>
      </c>
      <c r="AV20" s="132">
        <v>0</v>
      </c>
      <c r="AW20" s="84">
        <f t="shared" si="10"/>
        <v>0</v>
      </c>
      <c r="AX20" s="132">
        <v>0</v>
      </c>
      <c r="AY20" s="132">
        <v>0</v>
      </c>
      <c r="AZ20" s="132">
        <v>0</v>
      </c>
      <c r="BA20" s="84">
        <f t="shared" si="11"/>
        <v>0</v>
      </c>
      <c r="BB20" s="64">
        <f t="shared" si="12"/>
        <v>0</v>
      </c>
    </row>
    <row r="21" spans="1:54" ht="15.75" customHeight="1" x14ac:dyDescent="0.25">
      <c r="A21" s="13" t="s">
        <v>486</v>
      </c>
      <c r="B21" s="16" t="s">
        <v>487</v>
      </c>
      <c r="C21" s="13" t="s">
        <v>15</v>
      </c>
      <c r="D21" s="50">
        <v>6</v>
      </c>
      <c r="E21" s="50" t="s">
        <v>41</v>
      </c>
      <c r="F21" s="132">
        <v>0</v>
      </c>
      <c r="G21" s="132">
        <v>0</v>
      </c>
      <c r="H21" s="132">
        <v>0</v>
      </c>
      <c r="I21" s="84">
        <f t="shared" si="1"/>
        <v>0</v>
      </c>
      <c r="J21" s="132">
        <v>0</v>
      </c>
      <c r="K21" s="132">
        <v>0</v>
      </c>
      <c r="L21" s="132">
        <v>0</v>
      </c>
      <c r="M21" s="84">
        <f t="shared" si="0"/>
        <v>0</v>
      </c>
      <c r="N21" s="132">
        <v>0</v>
      </c>
      <c r="O21" s="132">
        <v>0</v>
      </c>
      <c r="P21" s="132">
        <v>0</v>
      </c>
      <c r="Q21" s="84">
        <f t="shared" si="2"/>
        <v>0</v>
      </c>
      <c r="R21" s="132">
        <v>0</v>
      </c>
      <c r="S21" s="132">
        <v>0</v>
      </c>
      <c r="T21" s="132">
        <v>0</v>
      </c>
      <c r="U21" s="84">
        <f t="shared" si="3"/>
        <v>0</v>
      </c>
      <c r="V21" s="132">
        <v>0</v>
      </c>
      <c r="W21" s="132">
        <v>0</v>
      </c>
      <c r="X21" s="132">
        <v>0</v>
      </c>
      <c r="Y21" s="84">
        <f t="shared" si="4"/>
        <v>0</v>
      </c>
      <c r="Z21" s="132">
        <v>0</v>
      </c>
      <c r="AA21" s="132">
        <v>0</v>
      </c>
      <c r="AB21" s="132">
        <v>0</v>
      </c>
      <c r="AC21" s="84">
        <f t="shared" si="5"/>
        <v>0</v>
      </c>
      <c r="AD21" s="132">
        <v>0</v>
      </c>
      <c r="AE21" s="132">
        <v>0</v>
      </c>
      <c r="AF21" s="132">
        <v>0</v>
      </c>
      <c r="AG21" s="84">
        <f t="shared" si="6"/>
        <v>0</v>
      </c>
      <c r="AH21" s="132">
        <v>0</v>
      </c>
      <c r="AI21" s="132">
        <v>0</v>
      </c>
      <c r="AJ21" s="132">
        <v>0</v>
      </c>
      <c r="AK21" s="84">
        <f t="shared" si="7"/>
        <v>0</v>
      </c>
      <c r="AL21" s="132">
        <v>0</v>
      </c>
      <c r="AM21" s="132">
        <v>0</v>
      </c>
      <c r="AN21" s="132">
        <v>0</v>
      </c>
      <c r="AO21" s="84">
        <f t="shared" si="8"/>
        <v>0</v>
      </c>
      <c r="AP21" s="132">
        <v>0</v>
      </c>
      <c r="AQ21" s="132">
        <v>0</v>
      </c>
      <c r="AR21" s="132">
        <v>0</v>
      </c>
      <c r="AS21" s="84">
        <f t="shared" si="9"/>
        <v>0</v>
      </c>
      <c r="AT21" s="132">
        <v>0</v>
      </c>
      <c r="AU21" s="132">
        <v>0</v>
      </c>
      <c r="AV21" s="132">
        <v>0</v>
      </c>
      <c r="AW21" s="84">
        <f t="shared" si="10"/>
        <v>0</v>
      </c>
      <c r="AX21" s="132">
        <v>0</v>
      </c>
      <c r="AY21" s="132">
        <v>0</v>
      </c>
      <c r="AZ21" s="132">
        <v>0</v>
      </c>
      <c r="BA21" s="84">
        <f t="shared" si="11"/>
        <v>0</v>
      </c>
      <c r="BB21" s="64">
        <f t="shared" si="12"/>
        <v>0</v>
      </c>
    </row>
    <row r="22" spans="1:54" ht="15.75" customHeight="1" x14ac:dyDescent="0.25">
      <c r="A22" s="13" t="s">
        <v>534</v>
      </c>
      <c r="B22" s="16" t="s">
        <v>535</v>
      </c>
      <c r="C22" s="13" t="s">
        <v>15</v>
      </c>
      <c r="D22" s="50">
        <v>6</v>
      </c>
      <c r="E22" s="50" t="s">
        <v>41</v>
      </c>
      <c r="F22" s="132">
        <v>0</v>
      </c>
      <c r="G22" s="132">
        <v>0</v>
      </c>
      <c r="H22" s="132">
        <v>0</v>
      </c>
      <c r="I22" s="84">
        <f t="shared" si="1"/>
        <v>0</v>
      </c>
      <c r="J22" s="132">
        <v>0</v>
      </c>
      <c r="K22" s="132">
        <v>0</v>
      </c>
      <c r="L22" s="132">
        <v>0</v>
      </c>
      <c r="M22" s="84">
        <f t="shared" si="0"/>
        <v>0</v>
      </c>
      <c r="N22" s="132">
        <v>0</v>
      </c>
      <c r="O22" s="132">
        <v>0</v>
      </c>
      <c r="P22" s="132">
        <v>0</v>
      </c>
      <c r="Q22" s="84">
        <f t="shared" si="2"/>
        <v>0</v>
      </c>
      <c r="R22" s="132">
        <v>0</v>
      </c>
      <c r="S22" s="132">
        <v>0</v>
      </c>
      <c r="T22" s="132">
        <v>0</v>
      </c>
      <c r="U22" s="84">
        <f t="shared" si="3"/>
        <v>0</v>
      </c>
      <c r="V22" s="132">
        <v>0</v>
      </c>
      <c r="W22" s="132">
        <v>0</v>
      </c>
      <c r="X22" s="132">
        <v>0</v>
      </c>
      <c r="Y22" s="84">
        <f t="shared" si="4"/>
        <v>0</v>
      </c>
      <c r="Z22" s="132">
        <v>0</v>
      </c>
      <c r="AA22" s="132">
        <v>0</v>
      </c>
      <c r="AB22" s="132">
        <v>0</v>
      </c>
      <c r="AC22" s="84">
        <f t="shared" si="5"/>
        <v>0</v>
      </c>
      <c r="AD22" s="132">
        <v>0</v>
      </c>
      <c r="AE22" s="132">
        <v>0</v>
      </c>
      <c r="AF22" s="132">
        <v>0</v>
      </c>
      <c r="AG22" s="84">
        <f t="shared" si="6"/>
        <v>0</v>
      </c>
      <c r="AH22" s="132">
        <v>0</v>
      </c>
      <c r="AI22" s="132">
        <v>0</v>
      </c>
      <c r="AJ22" s="132">
        <v>0</v>
      </c>
      <c r="AK22" s="84">
        <f t="shared" si="7"/>
        <v>0</v>
      </c>
      <c r="AL22" s="132">
        <v>0</v>
      </c>
      <c r="AM22" s="132">
        <v>0</v>
      </c>
      <c r="AN22" s="132">
        <v>0</v>
      </c>
      <c r="AO22" s="84">
        <f t="shared" si="8"/>
        <v>0</v>
      </c>
      <c r="AP22" s="132">
        <v>0</v>
      </c>
      <c r="AQ22" s="132">
        <v>0</v>
      </c>
      <c r="AR22" s="132">
        <v>0</v>
      </c>
      <c r="AS22" s="84">
        <f t="shared" si="9"/>
        <v>0</v>
      </c>
      <c r="AT22" s="132">
        <v>0</v>
      </c>
      <c r="AU22" s="132">
        <v>0</v>
      </c>
      <c r="AV22" s="132">
        <v>0</v>
      </c>
      <c r="AW22" s="84">
        <f t="shared" si="10"/>
        <v>0</v>
      </c>
      <c r="AX22" s="132">
        <v>0</v>
      </c>
      <c r="AY22" s="132">
        <v>0</v>
      </c>
      <c r="AZ22" s="132">
        <v>0</v>
      </c>
      <c r="BA22" s="84">
        <f t="shared" si="11"/>
        <v>0</v>
      </c>
      <c r="BB22" s="64">
        <f t="shared" si="12"/>
        <v>0</v>
      </c>
    </row>
    <row r="23" spans="1:54" ht="15.75" customHeight="1" x14ac:dyDescent="0.25">
      <c r="A23" s="13" t="s">
        <v>520</v>
      </c>
      <c r="B23" s="16" t="s">
        <v>521</v>
      </c>
      <c r="C23" s="13" t="s">
        <v>15</v>
      </c>
      <c r="D23" s="50">
        <v>6</v>
      </c>
      <c r="E23" s="50" t="s">
        <v>41</v>
      </c>
      <c r="F23" s="132">
        <v>0</v>
      </c>
      <c r="G23" s="132">
        <v>0</v>
      </c>
      <c r="H23" s="132">
        <v>0</v>
      </c>
      <c r="I23" s="108">
        <f t="shared" si="1"/>
        <v>0</v>
      </c>
      <c r="J23" s="132">
        <v>0</v>
      </c>
      <c r="K23" s="132">
        <v>0</v>
      </c>
      <c r="L23" s="132">
        <v>0</v>
      </c>
      <c r="M23" s="108">
        <f t="shared" si="0"/>
        <v>0</v>
      </c>
      <c r="N23" s="132">
        <v>0</v>
      </c>
      <c r="O23" s="132">
        <v>0</v>
      </c>
      <c r="P23" s="132">
        <v>0</v>
      </c>
      <c r="Q23" s="108">
        <f t="shared" si="2"/>
        <v>0</v>
      </c>
      <c r="R23" s="132">
        <v>0</v>
      </c>
      <c r="S23" s="132">
        <v>0</v>
      </c>
      <c r="T23" s="132">
        <v>0</v>
      </c>
      <c r="U23" s="108">
        <f t="shared" si="3"/>
        <v>0</v>
      </c>
      <c r="V23" s="132">
        <v>0</v>
      </c>
      <c r="W23" s="132">
        <v>0</v>
      </c>
      <c r="X23" s="132">
        <v>0</v>
      </c>
      <c r="Y23" s="108">
        <f t="shared" si="4"/>
        <v>0</v>
      </c>
      <c r="Z23" s="132">
        <v>0</v>
      </c>
      <c r="AA23" s="132">
        <v>0</v>
      </c>
      <c r="AB23" s="132">
        <v>0</v>
      </c>
      <c r="AC23" s="108">
        <f t="shared" si="5"/>
        <v>0</v>
      </c>
      <c r="AD23" s="132">
        <v>0</v>
      </c>
      <c r="AE23" s="132">
        <v>0</v>
      </c>
      <c r="AF23" s="132">
        <v>0</v>
      </c>
      <c r="AG23" s="108">
        <f t="shared" si="6"/>
        <v>0</v>
      </c>
      <c r="AH23" s="132">
        <v>0</v>
      </c>
      <c r="AI23" s="132">
        <v>0</v>
      </c>
      <c r="AJ23" s="132">
        <v>0</v>
      </c>
      <c r="AK23" s="108">
        <f t="shared" si="7"/>
        <v>0</v>
      </c>
      <c r="AL23" s="132">
        <v>0</v>
      </c>
      <c r="AM23" s="132">
        <v>0</v>
      </c>
      <c r="AN23" s="132">
        <v>0</v>
      </c>
      <c r="AO23" s="108">
        <f t="shared" si="8"/>
        <v>0</v>
      </c>
      <c r="AP23" s="132">
        <v>0</v>
      </c>
      <c r="AQ23" s="132">
        <v>0</v>
      </c>
      <c r="AR23" s="132">
        <v>0</v>
      </c>
      <c r="AS23" s="108">
        <f t="shared" si="9"/>
        <v>0</v>
      </c>
      <c r="AT23" s="132">
        <v>0</v>
      </c>
      <c r="AU23" s="132">
        <v>0</v>
      </c>
      <c r="AV23" s="132">
        <v>0</v>
      </c>
      <c r="AW23" s="108">
        <f t="shared" si="10"/>
        <v>0</v>
      </c>
      <c r="AX23" s="132">
        <v>0</v>
      </c>
      <c r="AY23" s="132">
        <v>0</v>
      </c>
      <c r="AZ23" s="132">
        <v>0</v>
      </c>
      <c r="BA23" s="108">
        <f t="shared" si="11"/>
        <v>0</v>
      </c>
      <c r="BB23" s="64">
        <f t="shared" si="12"/>
        <v>0</v>
      </c>
    </row>
    <row r="24" spans="1:54" ht="15.75" customHeight="1" x14ac:dyDescent="0.25">
      <c r="A24" s="13" t="s">
        <v>496</v>
      </c>
      <c r="B24" s="16" t="s">
        <v>497</v>
      </c>
      <c r="C24" s="13" t="s">
        <v>15</v>
      </c>
      <c r="D24" s="50">
        <v>6</v>
      </c>
      <c r="E24" s="50" t="s">
        <v>41</v>
      </c>
      <c r="F24" s="132">
        <v>0</v>
      </c>
      <c r="G24" s="132">
        <v>0</v>
      </c>
      <c r="H24" s="132">
        <v>0</v>
      </c>
      <c r="I24" s="84">
        <f t="shared" si="1"/>
        <v>0</v>
      </c>
      <c r="J24" s="132">
        <v>0</v>
      </c>
      <c r="K24" s="132">
        <v>0</v>
      </c>
      <c r="L24" s="132">
        <v>0</v>
      </c>
      <c r="M24" s="84">
        <f t="shared" si="0"/>
        <v>0</v>
      </c>
      <c r="N24" s="132">
        <v>0</v>
      </c>
      <c r="O24" s="132">
        <v>0</v>
      </c>
      <c r="P24" s="132">
        <v>0</v>
      </c>
      <c r="Q24" s="84">
        <f t="shared" si="2"/>
        <v>0</v>
      </c>
      <c r="R24" s="132">
        <v>0</v>
      </c>
      <c r="S24" s="132">
        <v>0</v>
      </c>
      <c r="T24" s="132">
        <v>0</v>
      </c>
      <c r="U24" s="84">
        <f t="shared" si="3"/>
        <v>0</v>
      </c>
      <c r="V24" s="132">
        <v>0</v>
      </c>
      <c r="W24" s="132">
        <v>0</v>
      </c>
      <c r="X24" s="132">
        <v>0</v>
      </c>
      <c r="Y24" s="84">
        <f t="shared" si="4"/>
        <v>0</v>
      </c>
      <c r="Z24" s="132">
        <v>0</v>
      </c>
      <c r="AA24" s="132">
        <v>0</v>
      </c>
      <c r="AB24" s="132">
        <v>0</v>
      </c>
      <c r="AC24" s="84">
        <f t="shared" si="5"/>
        <v>0</v>
      </c>
      <c r="AD24" s="132">
        <v>0</v>
      </c>
      <c r="AE24" s="132">
        <v>0</v>
      </c>
      <c r="AF24" s="132">
        <v>0</v>
      </c>
      <c r="AG24" s="84">
        <f t="shared" si="6"/>
        <v>0</v>
      </c>
      <c r="AH24" s="132">
        <v>0</v>
      </c>
      <c r="AI24" s="132">
        <v>0</v>
      </c>
      <c r="AJ24" s="132">
        <v>0</v>
      </c>
      <c r="AK24" s="84">
        <f t="shared" si="7"/>
        <v>0</v>
      </c>
      <c r="AL24" s="132">
        <v>0</v>
      </c>
      <c r="AM24" s="132">
        <v>0</v>
      </c>
      <c r="AN24" s="132">
        <v>0</v>
      </c>
      <c r="AO24" s="84">
        <f t="shared" si="8"/>
        <v>0</v>
      </c>
      <c r="AP24" s="132">
        <v>0</v>
      </c>
      <c r="AQ24" s="132">
        <v>0</v>
      </c>
      <c r="AR24" s="132">
        <v>0</v>
      </c>
      <c r="AS24" s="84">
        <f t="shared" si="9"/>
        <v>0</v>
      </c>
      <c r="AT24" s="132">
        <v>0</v>
      </c>
      <c r="AU24" s="132">
        <v>0</v>
      </c>
      <c r="AV24" s="132">
        <v>0</v>
      </c>
      <c r="AW24" s="84">
        <f t="shared" si="10"/>
        <v>0</v>
      </c>
      <c r="AX24" s="132">
        <v>0</v>
      </c>
      <c r="AY24" s="132">
        <v>0</v>
      </c>
      <c r="AZ24" s="132">
        <v>0</v>
      </c>
      <c r="BA24" s="84">
        <f t="shared" si="11"/>
        <v>0</v>
      </c>
      <c r="BB24" s="64">
        <f t="shared" si="12"/>
        <v>0</v>
      </c>
    </row>
    <row r="25" spans="1:54" ht="15.75" customHeight="1" x14ac:dyDescent="0.25">
      <c r="A25" s="13" t="s">
        <v>538</v>
      </c>
      <c r="B25" s="16" t="s">
        <v>539</v>
      </c>
      <c r="C25" s="13" t="s">
        <v>15</v>
      </c>
      <c r="D25" s="50">
        <v>6</v>
      </c>
      <c r="E25" s="50" t="s">
        <v>41</v>
      </c>
      <c r="F25" s="132">
        <v>0</v>
      </c>
      <c r="G25" s="132">
        <v>0</v>
      </c>
      <c r="H25" s="132">
        <v>0</v>
      </c>
      <c r="I25" s="108">
        <f t="shared" si="1"/>
        <v>0</v>
      </c>
      <c r="J25" s="132">
        <v>0</v>
      </c>
      <c r="K25" s="132">
        <v>0</v>
      </c>
      <c r="L25" s="132">
        <v>0</v>
      </c>
      <c r="M25" s="108">
        <f t="shared" si="0"/>
        <v>0</v>
      </c>
      <c r="N25" s="132">
        <v>0</v>
      </c>
      <c r="O25" s="132">
        <v>0</v>
      </c>
      <c r="P25" s="132">
        <v>0</v>
      </c>
      <c r="Q25" s="108">
        <f t="shared" si="2"/>
        <v>0</v>
      </c>
      <c r="R25" s="132">
        <v>0</v>
      </c>
      <c r="S25" s="132">
        <v>0</v>
      </c>
      <c r="T25" s="132">
        <v>0</v>
      </c>
      <c r="U25" s="108">
        <f t="shared" si="3"/>
        <v>0</v>
      </c>
      <c r="V25" s="132">
        <v>0</v>
      </c>
      <c r="W25" s="132">
        <v>0</v>
      </c>
      <c r="X25" s="132">
        <v>0</v>
      </c>
      <c r="Y25" s="108">
        <f t="shared" si="4"/>
        <v>0</v>
      </c>
      <c r="Z25" s="132">
        <v>0</v>
      </c>
      <c r="AA25" s="132">
        <v>0</v>
      </c>
      <c r="AB25" s="132">
        <v>0</v>
      </c>
      <c r="AC25" s="108">
        <f t="shared" si="5"/>
        <v>0</v>
      </c>
      <c r="AD25" s="132">
        <v>0</v>
      </c>
      <c r="AE25" s="132">
        <v>0</v>
      </c>
      <c r="AF25" s="132">
        <v>0</v>
      </c>
      <c r="AG25" s="108">
        <f t="shared" si="6"/>
        <v>0</v>
      </c>
      <c r="AH25" s="132">
        <v>0</v>
      </c>
      <c r="AI25" s="132">
        <v>0</v>
      </c>
      <c r="AJ25" s="132">
        <v>0</v>
      </c>
      <c r="AK25" s="108">
        <f t="shared" si="7"/>
        <v>0</v>
      </c>
      <c r="AL25" s="132">
        <v>0</v>
      </c>
      <c r="AM25" s="132">
        <v>0</v>
      </c>
      <c r="AN25" s="132">
        <v>0</v>
      </c>
      <c r="AO25" s="108">
        <f t="shared" si="8"/>
        <v>0</v>
      </c>
      <c r="AP25" s="132">
        <v>0</v>
      </c>
      <c r="AQ25" s="132">
        <v>0</v>
      </c>
      <c r="AR25" s="132">
        <v>0</v>
      </c>
      <c r="AS25" s="108">
        <f t="shared" si="9"/>
        <v>0</v>
      </c>
      <c r="AT25" s="132">
        <v>0</v>
      </c>
      <c r="AU25" s="132">
        <v>0</v>
      </c>
      <c r="AV25" s="132">
        <v>0</v>
      </c>
      <c r="AW25" s="108">
        <f t="shared" si="10"/>
        <v>0</v>
      </c>
      <c r="AX25" s="132">
        <v>0</v>
      </c>
      <c r="AY25" s="132">
        <v>0</v>
      </c>
      <c r="AZ25" s="132">
        <v>0</v>
      </c>
      <c r="BA25" s="108">
        <f t="shared" si="11"/>
        <v>0</v>
      </c>
      <c r="BB25" s="64">
        <f t="shared" si="12"/>
        <v>0</v>
      </c>
    </row>
    <row r="26" spans="1:54" ht="15.75" customHeight="1" x14ac:dyDescent="0.25">
      <c r="A26" s="13" t="s">
        <v>502</v>
      </c>
      <c r="B26" s="16" t="s">
        <v>503</v>
      </c>
      <c r="C26" s="13" t="s">
        <v>15</v>
      </c>
      <c r="D26" s="50">
        <v>6</v>
      </c>
      <c r="E26" s="50" t="s">
        <v>41</v>
      </c>
      <c r="F26" s="132">
        <v>0</v>
      </c>
      <c r="G26" s="132">
        <v>0</v>
      </c>
      <c r="H26" s="132">
        <v>0</v>
      </c>
      <c r="I26" s="84">
        <f t="shared" si="1"/>
        <v>0</v>
      </c>
      <c r="J26" s="132">
        <v>0</v>
      </c>
      <c r="K26" s="132">
        <v>0</v>
      </c>
      <c r="L26" s="132">
        <v>0</v>
      </c>
      <c r="M26" s="84">
        <f t="shared" si="0"/>
        <v>0</v>
      </c>
      <c r="N26" s="132">
        <v>0</v>
      </c>
      <c r="O26" s="132">
        <v>0</v>
      </c>
      <c r="P26" s="132">
        <v>0</v>
      </c>
      <c r="Q26" s="84">
        <f t="shared" si="2"/>
        <v>0</v>
      </c>
      <c r="R26" s="132">
        <v>0</v>
      </c>
      <c r="S26" s="132">
        <v>0</v>
      </c>
      <c r="T26" s="132">
        <v>0</v>
      </c>
      <c r="U26" s="84">
        <f t="shared" si="3"/>
        <v>0</v>
      </c>
      <c r="V26" s="132">
        <v>0</v>
      </c>
      <c r="W26" s="132">
        <v>0</v>
      </c>
      <c r="X26" s="132">
        <v>0</v>
      </c>
      <c r="Y26" s="84">
        <f t="shared" si="4"/>
        <v>0</v>
      </c>
      <c r="Z26" s="132">
        <v>0</v>
      </c>
      <c r="AA26" s="132">
        <v>0</v>
      </c>
      <c r="AB26" s="132">
        <v>0</v>
      </c>
      <c r="AC26" s="84">
        <f t="shared" si="5"/>
        <v>0</v>
      </c>
      <c r="AD26" s="132">
        <v>0</v>
      </c>
      <c r="AE26" s="132">
        <v>0</v>
      </c>
      <c r="AF26" s="132">
        <v>0</v>
      </c>
      <c r="AG26" s="84">
        <f t="shared" si="6"/>
        <v>0</v>
      </c>
      <c r="AH26" s="132">
        <v>0</v>
      </c>
      <c r="AI26" s="132">
        <v>0</v>
      </c>
      <c r="AJ26" s="132">
        <v>0</v>
      </c>
      <c r="AK26" s="84">
        <f t="shared" si="7"/>
        <v>0</v>
      </c>
      <c r="AL26" s="132">
        <v>0</v>
      </c>
      <c r="AM26" s="132">
        <v>0</v>
      </c>
      <c r="AN26" s="132">
        <v>0</v>
      </c>
      <c r="AO26" s="84">
        <f t="shared" si="8"/>
        <v>0</v>
      </c>
      <c r="AP26" s="132">
        <v>0</v>
      </c>
      <c r="AQ26" s="132">
        <v>0</v>
      </c>
      <c r="AR26" s="132">
        <v>0</v>
      </c>
      <c r="AS26" s="84">
        <f t="shared" si="9"/>
        <v>0</v>
      </c>
      <c r="AT26" s="132">
        <v>0</v>
      </c>
      <c r="AU26" s="132">
        <v>0</v>
      </c>
      <c r="AV26" s="132">
        <v>0</v>
      </c>
      <c r="AW26" s="84">
        <f t="shared" si="10"/>
        <v>0</v>
      </c>
      <c r="AX26" s="132">
        <v>0</v>
      </c>
      <c r="AY26" s="132">
        <v>0</v>
      </c>
      <c r="AZ26" s="132">
        <v>0</v>
      </c>
      <c r="BA26" s="84">
        <f t="shared" si="11"/>
        <v>0</v>
      </c>
      <c r="BB26" s="64">
        <f t="shared" si="12"/>
        <v>0</v>
      </c>
    </row>
    <row r="27" spans="1:54" ht="15.75" customHeight="1" x14ac:dyDescent="0.25">
      <c r="A27" s="13" t="s">
        <v>508</v>
      </c>
      <c r="B27" s="16" t="s">
        <v>509</v>
      </c>
      <c r="C27" s="13" t="s">
        <v>15</v>
      </c>
      <c r="D27" s="50">
        <v>6</v>
      </c>
      <c r="E27" s="50" t="s">
        <v>41</v>
      </c>
      <c r="F27" s="132">
        <v>0</v>
      </c>
      <c r="G27" s="132">
        <v>0</v>
      </c>
      <c r="H27" s="132">
        <v>0</v>
      </c>
      <c r="I27" s="84">
        <f t="shared" si="1"/>
        <v>0</v>
      </c>
      <c r="J27" s="132">
        <v>0</v>
      </c>
      <c r="K27" s="132">
        <v>0</v>
      </c>
      <c r="L27" s="132">
        <v>0</v>
      </c>
      <c r="M27" s="84">
        <f t="shared" si="0"/>
        <v>0</v>
      </c>
      <c r="N27" s="132">
        <v>0</v>
      </c>
      <c r="O27" s="132">
        <v>0</v>
      </c>
      <c r="P27" s="132">
        <v>0</v>
      </c>
      <c r="Q27" s="84">
        <f t="shared" si="2"/>
        <v>0</v>
      </c>
      <c r="R27" s="132">
        <v>0</v>
      </c>
      <c r="S27" s="132">
        <v>0</v>
      </c>
      <c r="T27" s="132">
        <v>0</v>
      </c>
      <c r="U27" s="84">
        <f t="shared" si="3"/>
        <v>0</v>
      </c>
      <c r="V27" s="132">
        <v>0</v>
      </c>
      <c r="W27" s="132">
        <v>0</v>
      </c>
      <c r="X27" s="132">
        <v>0</v>
      </c>
      <c r="Y27" s="84">
        <f t="shared" si="4"/>
        <v>0</v>
      </c>
      <c r="Z27" s="132">
        <v>0</v>
      </c>
      <c r="AA27" s="132">
        <v>0</v>
      </c>
      <c r="AB27" s="132">
        <v>0</v>
      </c>
      <c r="AC27" s="84">
        <f t="shared" si="5"/>
        <v>0</v>
      </c>
      <c r="AD27" s="132">
        <v>0</v>
      </c>
      <c r="AE27" s="132">
        <v>0</v>
      </c>
      <c r="AF27" s="132">
        <v>0</v>
      </c>
      <c r="AG27" s="84">
        <f t="shared" si="6"/>
        <v>0</v>
      </c>
      <c r="AH27" s="132">
        <v>0</v>
      </c>
      <c r="AI27" s="132">
        <v>0</v>
      </c>
      <c r="AJ27" s="132">
        <v>0</v>
      </c>
      <c r="AK27" s="84">
        <f t="shared" si="7"/>
        <v>0</v>
      </c>
      <c r="AL27" s="132">
        <v>0</v>
      </c>
      <c r="AM27" s="132">
        <v>0</v>
      </c>
      <c r="AN27" s="132">
        <v>0</v>
      </c>
      <c r="AO27" s="84">
        <f t="shared" si="8"/>
        <v>0</v>
      </c>
      <c r="AP27" s="132">
        <v>0</v>
      </c>
      <c r="AQ27" s="132">
        <v>0</v>
      </c>
      <c r="AR27" s="132">
        <v>0</v>
      </c>
      <c r="AS27" s="84">
        <f t="shared" si="9"/>
        <v>0</v>
      </c>
      <c r="AT27" s="132">
        <v>0</v>
      </c>
      <c r="AU27" s="132">
        <v>0</v>
      </c>
      <c r="AV27" s="132">
        <v>0</v>
      </c>
      <c r="AW27" s="84">
        <f t="shared" si="10"/>
        <v>0</v>
      </c>
      <c r="AX27" s="132">
        <v>0</v>
      </c>
      <c r="AY27" s="132">
        <v>0</v>
      </c>
      <c r="AZ27" s="132">
        <v>0</v>
      </c>
      <c r="BA27" s="84">
        <f t="shared" si="11"/>
        <v>0</v>
      </c>
      <c r="BB27" s="64">
        <f t="shared" si="12"/>
        <v>0</v>
      </c>
    </row>
    <row r="28" spans="1:54" ht="15.75" customHeight="1" x14ac:dyDescent="0.25">
      <c r="A28" s="13" t="s">
        <v>488</v>
      </c>
      <c r="B28" s="16" t="s">
        <v>489</v>
      </c>
      <c r="C28" s="13" t="s">
        <v>15</v>
      </c>
      <c r="D28" s="50">
        <v>6</v>
      </c>
      <c r="E28" s="50" t="s">
        <v>41</v>
      </c>
      <c r="F28" s="132">
        <v>0</v>
      </c>
      <c r="G28" s="132">
        <v>0</v>
      </c>
      <c r="H28" s="132">
        <v>0</v>
      </c>
      <c r="I28" s="84">
        <f t="shared" si="1"/>
        <v>0</v>
      </c>
      <c r="J28" s="132">
        <v>0</v>
      </c>
      <c r="K28" s="132">
        <v>0</v>
      </c>
      <c r="L28" s="132">
        <v>0</v>
      </c>
      <c r="M28" s="84">
        <f t="shared" si="0"/>
        <v>0</v>
      </c>
      <c r="N28" s="132">
        <v>0</v>
      </c>
      <c r="O28" s="132">
        <v>0</v>
      </c>
      <c r="P28" s="132">
        <v>0</v>
      </c>
      <c r="Q28" s="84">
        <f t="shared" si="2"/>
        <v>0</v>
      </c>
      <c r="R28" s="132">
        <v>0</v>
      </c>
      <c r="S28" s="132">
        <v>0</v>
      </c>
      <c r="T28" s="132">
        <v>0</v>
      </c>
      <c r="U28" s="84">
        <f t="shared" si="3"/>
        <v>0</v>
      </c>
      <c r="V28" s="132">
        <v>0</v>
      </c>
      <c r="W28" s="132">
        <v>0</v>
      </c>
      <c r="X28" s="132">
        <v>0</v>
      </c>
      <c r="Y28" s="84">
        <f t="shared" si="4"/>
        <v>0</v>
      </c>
      <c r="Z28" s="132">
        <v>0</v>
      </c>
      <c r="AA28" s="132">
        <v>0</v>
      </c>
      <c r="AB28" s="132">
        <v>0</v>
      </c>
      <c r="AC28" s="84">
        <f t="shared" si="5"/>
        <v>0</v>
      </c>
      <c r="AD28" s="132">
        <v>0</v>
      </c>
      <c r="AE28" s="132">
        <v>0</v>
      </c>
      <c r="AF28" s="132">
        <v>0</v>
      </c>
      <c r="AG28" s="84">
        <f t="shared" si="6"/>
        <v>0</v>
      </c>
      <c r="AH28" s="132">
        <v>0</v>
      </c>
      <c r="AI28" s="132">
        <v>0</v>
      </c>
      <c r="AJ28" s="132">
        <v>0</v>
      </c>
      <c r="AK28" s="84">
        <f t="shared" si="7"/>
        <v>0</v>
      </c>
      <c r="AL28" s="132">
        <v>0</v>
      </c>
      <c r="AM28" s="132">
        <v>0</v>
      </c>
      <c r="AN28" s="132">
        <v>0</v>
      </c>
      <c r="AO28" s="84">
        <f t="shared" si="8"/>
        <v>0</v>
      </c>
      <c r="AP28" s="132">
        <v>0</v>
      </c>
      <c r="AQ28" s="132">
        <v>0</v>
      </c>
      <c r="AR28" s="132">
        <v>0</v>
      </c>
      <c r="AS28" s="84">
        <f t="shared" si="9"/>
        <v>0</v>
      </c>
      <c r="AT28" s="132">
        <v>0</v>
      </c>
      <c r="AU28" s="132">
        <v>0</v>
      </c>
      <c r="AV28" s="132">
        <v>0</v>
      </c>
      <c r="AW28" s="84">
        <f t="shared" si="10"/>
        <v>0</v>
      </c>
      <c r="AX28" s="132">
        <v>0</v>
      </c>
      <c r="AY28" s="132">
        <v>0</v>
      </c>
      <c r="AZ28" s="132">
        <v>0</v>
      </c>
      <c r="BA28" s="84">
        <f t="shared" si="11"/>
        <v>0</v>
      </c>
      <c r="BB28" s="64">
        <f t="shared" si="12"/>
        <v>0</v>
      </c>
    </row>
    <row r="29" spans="1:54" ht="15.75" customHeight="1" x14ac:dyDescent="0.25">
      <c r="A29" s="13" t="s">
        <v>524</v>
      </c>
      <c r="B29" s="16" t="s">
        <v>525</v>
      </c>
      <c r="C29" s="13" t="s">
        <v>15</v>
      </c>
      <c r="D29" s="50">
        <v>6</v>
      </c>
      <c r="E29" s="50" t="s">
        <v>41</v>
      </c>
      <c r="F29" s="132">
        <v>0</v>
      </c>
      <c r="G29" s="132">
        <v>0</v>
      </c>
      <c r="H29" s="132">
        <v>0</v>
      </c>
      <c r="I29" s="84">
        <f t="shared" si="1"/>
        <v>0</v>
      </c>
      <c r="J29" s="132">
        <v>0</v>
      </c>
      <c r="K29" s="132">
        <v>0</v>
      </c>
      <c r="L29" s="132">
        <v>0</v>
      </c>
      <c r="M29" s="84">
        <f t="shared" si="0"/>
        <v>0</v>
      </c>
      <c r="N29" s="132">
        <v>0</v>
      </c>
      <c r="O29" s="132">
        <v>0</v>
      </c>
      <c r="P29" s="132">
        <v>0</v>
      </c>
      <c r="Q29" s="84">
        <f t="shared" si="2"/>
        <v>0</v>
      </c>
      <c r="R29" s="132">
        <v>0</v>
      </c>
      <c r="S29" s="132">
        <v>0</v>
      </c>
      <c r="T29" s="132">
        <v>0</v>
      </c>
      <c r="U29" s="84">
        <f t="shared" si="3"/>
        <v>0</v>
      </c>
      <c r="V29" s="132">
        <v>0</v>
      </c>
      <c r="W29" s="132">
        <v>0</v>
      </c>
      <c r="X29" s="132">
        <v>0</v>
      </c>
      <c r="Y29" s="84">
        <f t="shared" si="4"/>
        <v>0</v>
      </c>
      <c r="Z29" s="132">
        <v>0</v>
      </c>
      <c r="AA29" s="132">
        <v>0</v>
      </c>
      <c r="AB29" s="132">
        <v>0</v>
      </c>
      <c r="AC29" s="84">
        <f t="shared" si="5"/>
        <v>0</v>
      </c>
      <c r="AD29" s="132">
        <v>0</v>
      </c>
      <c r="AE29" s="132">
        <v>0</v>
      </c>
      <c r="AF29" s="132">
        <v>0</v>
      </c>
      <c r="AG29" s="84">
        <f t="shared" si="6"/>
        <v>0</v>
      </c>
      <c r="AH29" s="132">
        <v>0</v>
      </c>
      <c r="AI29" s="132">
        <v>0</v>
      </c>
      <c r="AJ29" s="132">
        <v>0</v>
      </c>
      <c r="AK29" s="84">
        <f t="shared" si="7"/>
        <v>0</v>
      </c>
      <c r="AL29" s="132">
        <v>0</v>
      </c>
      <c r="AM29" s="132">
        <v>0</v>
      </c>
      <c r="AN29" s="132">
        <v>0</v>
      </c>
      <c r="AO29" s="84">
        <f t="shared" si="8"/>
        <v>0</v>
      </c>
      <c r="AP29" s="132">
        <v>0</v>
      </c>
      <c r="AQ29" s="132">
        <v>0</v>
      </c>
      <c r="AR29" s="132">
        <v>0</v>
      </c>
      <c r="AS29" s="84">
        <f t="shared" si="9"/>
        <v>0</v>
      </c>
      <c r="AT29" s="132">
        <v>0</v>
      </c>
      <c r="AU29" s="132">
        <v>0</v>
      </c>
      <c r="AV29" s="132">
        <v>0</v>
      </c>
      <c r="AW29" s="84">
        <f t="shared" si="10"/>
        <v>0</v>
      </c>
      <c r="AX29" s="132">
        <v>0</v>
      </c>
      <c r="AY29" s="132">
        <v>0</v>
      </c>
      <c r="AZ29" s="132">
        <v>0</v>
      </c>
      <c r="BA29" s="84">
        <f t="shared" si="11"/>
        <v>0</v>
      </c>
      <c r="BB29" s="64">
        <f t="shared" si="12"/>
        <v>0</v>
      </c>
    </row>
    <row r="30" spans="1:54" ht="15.75" customHeight="1" x14ac:dyDescent="0.25">
      <c r="A30" s="13" t="s">
        <v>528</v>
      </c>
      <c r="B30" s="16" t="s">
        <v>529</v>
      </c>
      <c r="C30" s="13" t="s">
        <v>15</v>
      </c>
      <c r="D30" s="50">
        <v>6</v>
      </c>
      <c r="E30" s="50" t="s">
        <v>41</v>
      </c>
      <c r="F30" s="132">
        <v>0</v>
      </c>
      <c r="G30" s="132">
        <v>0</v>
      </c>
      <c r="H30" s="132">
        <v>0</v>
      </c>
      <c r="I30" s="84">
        <f t="shared" si="1"/>
        <v>0</v>
      </c>
      <c r="J30" s="132">
        <v>0</v>
      </c>
      <c r="K30" s="132">
        <v>0</v>
      </c>
      <c r="L30" s="132">
        <v>0</v>
      </c>
      <c r="M30" s="84">
        <f t="shared" si="0"/>
        <v>0</v>
      </c>
      <c r="N30" s="132">
        <v>0</v>
      </c>
      <c r="O30" s="132">
        <v>0</v>
      </c>
      <c r="P30" s="132">
        <v>0</v>
      </c>
      <c r="Q30" s="84">
        <f t="shared" si="2"/>
        <v>0</v>
      </c>
      <c r="R30" s="132">
        <v>0</v>
      </c>
      <c r="S30" s="132">
        <v>0</v>
      </c>
      <c r="T30" s="132">
        <v>0</v>
      </c>
      <c r="U30" s="84">
        <f t="shared" si="3"/>
        <v>0</v>
      </c>
      <c r="V30" s="132">
        <v>0</v>
      </c>
      <c r="W30" s="132">
        <v>0</v>
      </c>
      <c r="X30" s="132">
        <v>0</v>
      </c>
      <c r="Y30" s="84">
        <f t="shared" si="4"/>
        <v>0</v>
      </c>
      <c r="Z30" s="132">
        <v>0</v>
      </c>
      <c r="AA30" s="132">
        <v>0</v>
      </c>
      <c r="AB30" s="132">
        <v>0</v>
      </c>
      <c r="AC30" s="84">
        <f t="shared" si="5"/>
        <v>0</v>
      </c>
      <c r="AD30" s="132">
        <v>0</v>
      </c>
      <c r="AE30" s="132">
        <v>0</v>
      </c>
      <c r="AF30" s="132">
        <v>0</v>
      </c>
      <c r="AG30" s="84">
        <f t="shared" si="6"/>
        <v>0</v>
      </c>
      <c r="AH30" s="132">
        <v>0</v>
      </c>
      <c r="AI30" s="132">
        <v>0</v>
      </c>
      <c r="AJ30" s="132">
        <v>0</v>
      </c>
      <c r="AK30" s="84">
        <f t="shared" si="7"/>
        <v>0</v>
      </c>
      <c r="AL30" s="132">
        <v>0</v>
      </c>
      <c r="AM30" s="132">
        <v>0</v>
      </c>
      <c r="AN30" s="132">
        <v>0</v>
      </c>
      <c r="AO30" s="84">
        <f t="shared" si="8"/>
        <v>0</v>
      </c>
      <c r="AP30" s="132">
        <v>0</v>
      </c>
      <c r="AQ30" s="132">
        <v>0</v>
      </c>
      <c r="AR30" s="132">
        <v>0</v>
      </c>
      <c r="AS30" s="84">
        <f t="shared" si="9"/>
        <v>0</v>
      </c>
      <c r="AT30" s="132">
        <v>0</v>
      </c>
      <c r="AU30" s="132">
        <v>0</v>
      </c>
      <c r="AV30" s="132">
        <v>0</v>
      </c>
      <c r="AW30" s="84">
        <f t="shared" si="10"/>
        <v>0</v>
      </c>
      <c r="AX30" s="132">
        <v>0</v>
      </c>
      <c r="AY30" s="132">
        <v>0</v>
      </c>
      <c r="AZ30" s="132">
        <v>0</v>
      </c>
      <c r="BA30" s="84">
        <f t="shared" si="11"/>
        <v>0</v>
      </c>
      <c r="BB30" s="64">
        <f t="shared" si="12"/>
        <v>0</v>
      </c>
    </row>
  </sheetData>
  <sortState xmlns:xlrd2="http://schemas.microsoft.com/office/spreadsheetml/2017/richdata2" ref="A1:AP30">
    <sortCondition ref="B3:B30"/>
  </sortState>
  <mergeCells count="12">
    <mergeCell ref="AP1:AS1"/>
    <mergeCell ref="AT1:AW1"/>
    <mergeCell ref="AX1:BA1"/>
    <mergeCell ref="AL1:AO1"/>
    <mergeCell ref="Z1:AC1"/>
    <mergeCell ref="AD1:AG1"/>
    <mergeCell ref="AH1:AK1"/>
    <mergeCell ref="F1:I1"/>
    <mergeCell ref="J1:M1"/>
    <mergeCell ref="N1:Q1"/>
    <mergeCell ref="R1:U1"/>
    <mergeCell ref="V1:Y1"/>
  </mergeCells>
  <conditionalFormatting sqref="F3:H30">
    <cfRule type="cellIs" dxfId="2387" priority="169" operator="lessThan">
      <formula>7.9</formula>
    </cfRule>
  </conditionalFormatting>
  <conditionalFormatting sqref="F3:H30">
    <cfRule type="cellIs" dxfId="2386" priority="170" operator="lessThan">
      <formula>7.4</formula>
    </cfRule>
  </conditionalFormatting>
  <conditionalFormatting sqref="F5:H6">
    <cfRule type="cellIs" dxfId="2385" priority="233" operator="lessThan">
      <formula>6.9</formula>
    </cfRule>
  </conditionalFormatting>
  <conditionalFormatting sqref="I3:I30">
    <cfRule type="cellIs" dxfId="2384" priority="286" operator="lessThan">
      <formula>7.9</formula>
    </cfRule>
    <cfRule type="cellIs" dxfId="2383" priority="295" operator="lessThan">
      <formula>6.9</formula>
    </cfRule>
    <cfRule type="cellIs" dxfId="2382" priority="296" operator="lessThan">
      <formula>7.4</formula>
    </cfRule>
    <cfRule type="cellIs" dxfId="2381" priority="297" operator="lessThan">
      <formula>7.9</formula>
    </cfRule>
  </conditionalFormatting>
  <conditionalFormatting sqref="I3:I30">
    <cfRule type="cellIs" dxfId="2380" priority="287" operator="lessThan">
      <formula>6.9</formula>
    </cfRule>
    <cfRule type="cellIs" dxfId="2379" priority="288" operator="lessThan">
      <formula>7.4</formula>
    </cfRule>
    <cfRule type="cellIs" dxfId="2378" priority="289" operator="lessThan">
      <formula>7.9</formula>
    </cfRule>
    <cfRule type="cellIs" dxfId="2377" priority="290" operator="lessThan">
      <formula>6.9</formula>
    </cfRule>
    <cfRule type="cellIs" dxfId="2376" priority="291" operator="lessThan">
      <formula>7.9</formula>
    </cfRule>
    <cfRule type="cellIs" dxfId="2375" priority="292" operator="lessThan">
      <formula>7.4</formula>
    </cfRule>
    <cfRule type="cellIs" dxfId="2374" priority="293" operator="lessThan">
      <formula>6.9</formula>
    </cfRule>
    <cfRule type="cellIs" dxfId="2373" priority="294" operator="lessThan">
      <formula>7.9</formula>
    </cfRule>
  </conditionalFormatting>
  <conditionalFormatting sqref="M3:M30">
    <cfRule type="cellIs" dxfId="2372" priority="298" operator="lessThan">
      <formula>7.9</formula>
    </cfRule>
    <cfRule type="cellIs" dxfId="2371" priority="299" operator="lessThan">
      <formula>6.9</formula>
    </cfRule>
    <cfRule type="cellIs" dxfId="2370" priority="300" operator="lessThan">
      <formula>7.4</formula>
    </cfRule>
    <cfRule type="cellIs" dxfId="2369" priority="301" operator="lessThan">
      <formula>7.9</formula>
    </cfRule>
    <cfRule type="cellIs" dxfId="2368" priority="302" operator="lessThan">
      <formula>6.9</formula>
    </cfRule>
    <cfRule type="cellIs" dxfId="2367" priority="303" operator="lessThan">
      <formula>7.9</formula>
    </cfRule>
    <cfRule type="cellIs" dxfId="2366" priority="304" operator="lessThan">
      <formula>7.4</formula>
    </cfRule>
    <cfRule type="cellIs" dxfId="2365" priority="305" operator="lessThan">
      <formula>6.9</formula>
    </cfRule>
    <cfRule type="cellIs" dxfId="2364" priority="306" operator="lessThan">
      <formula>7.9</formula>
    </cfRule>
    <cfRule type="cellIs" dxfId="2363" priority="307" operator="lessThan">
      <formula>6.9</formula>
    </cfRule>
    <cfRule type="cellIs" dxfId="2362" priority="308" operator="lessThan">
      <formula>7.4</formula>
    </cfRule>
    <cfRule type="cellIs" dxfId="2361" priority="309" operator="lessThan">
      <formula>6.9</formula>
    </cfRule>
    <cfRule type="cellIs" dxfId="2360" priority="310" operator="lessThan">
      <formula>7.4</formula>
    </cfRule>
    <cfRule type="cellIs" dxfId="2359" priority="311" operator="lessThan">
      <formula>7.9</formula>
    </cfRule>
  </conditionalFormatting>
  <conditionalFormatting sqref="Q3:Q30">
    <cfRule type="cellIs" dxfId="2358" priority="337" operator="lessThan">
      <formula>6.9</formula>
    </cfRule>
    <cfRule type="cellIs" dxfId="2357" priority="338" operator="lessThan">
      <formula>7.9</formula>
    </cfRule>
  </conditionalFormatting>
  <conditionalFormatting sqref="Q3:Q30">
    <cfRule type="cellIs" dxfId="2356" priority="336" operator="lessThan">
      <formula>7.9</formula>
    </cfRule>
    <cfRule type="cellIs" dxfId="2355" priority="347" operator="lessThan">
      <formula>7.4</formula>
    </cfRule>
    <cfRule type="cellIs" dxfId="2354" priority="432" operator="lessThan">
      <formula>6.9</formula>
    </cfRule>
    <cfRule type="cellIs" dxfId="2353" priority="433" operator="lessThan">
      <formula>7.9</formula>
    </cfRule>
    <cfRule type="cellIs" dxfId="2352" priority="434" operator="lessThan">
      <formula>7.4</formula>
    </cfRule>
    <cfRule type="cellIs" dxfId="2351" priority="435" operator="lessThan">
      <formula>6.9</formula>
    </cfRule>
    <cfRule type="cellIs" dxfId="2350" priority="436" operator="lessThan">
      <formula>7.9</formula>
    </cfRule>
    <cfRule type="cellIs" dxfId="2349" priority="437" operator="lessThan">
      <formula>6.9</formula>
    </cfRule>
    <cfRule type="cellIs" dxfId="2348" priority="438" operator="lessThan">
      <formula>7.4</formula>
    </cfRule>
    <cfRule type="cellIs" dxfId="2347" priority="439" operator="lessThan">
      <formula>7.9</formula>
    </cfRule>
  </conditionalFormatting>
  <conditionalFormatting sqref="U3:U30">
    <cfRule type="cellIs" dxfId="2346" priority="334" operator="lessThan">
      <formula>6.9</formula>
    </cfRule>
    <cfRule type="cellIs" dxfId="2345" priority="335" operator="lessThan">
      <formula>7.9</formula>
    </cfRule>
  </conditionalFormatting>
  <conditionalFormatting sqref="U3:U30">
    <cfRule type="cellIs" dxfId="2344" priority="333" operator="lessThan">
      <formula>7.9</formula>
    </cfRule>
    <cfRule type="cellIs" dxfId="2343" priority="346" operator="lessThan">
      <formula>7.4</formula>
    </cfRule>
    <cfRule type="cellIs" dxfId="2342" priority="424" operator="lessThan">
      <formula>6.9</formula>
    </cfRule>
    <cfRule type="cellIs" dxfId="2341" priority="425" operator="lessThan">
      <formula>7.9</formula>
    </cfRule>
    <cfRule type="cellIs" dxfId="2340" priority="426" operator="lessThan">
      <formula>7.4</formula>
    </cfRule>
    <cfRule type="cellIs" dxfId="2339" priority="427" operator="lessThan">
      <formula>6.9</formula>
    </cfRule>
    <cfRule type="cellIs" dxfId="2338" priority="428" operator="lessThan">
      <formula>7.9</formula>
    </cfRule>
    <cfRule type="cellIs" dxfId="2337" priority="429" operator="lessThan">
      <formula>6.9</formula>
    </cfRule>
    <cfRule type="cellIs" dxfId="2336" priority="430" operator="lessThan">
      <formula>7.4</formula>
    </cfRule>
    <cfRule type="cellIs" dxfId="2335" priority="431" operator="lessThan">
      <formula>7.9</formula>
    </cfRule>
  </conditionalFormatting>
  <conditionalFormatting sqref="Y3:Y30">
    <cfRule type="cellIs" dxfId="2334" priority="332" operator="lessThan">
      <formula>7.9</formula>
    </cfRule>
  </conditionalFormatting>
  <conditionalFormatting sqref="Y3:Y30">
    <cfRule type="cellIs" dxfId="2333" priority="330" operator="lessThan">
      <formula>7.9</formula>
    </cfRule>
    <cfRule type="cellIs" dxfId="2332" priority="331" operator="lessThan">
      <formula>6.9</formula>
    </cfRule>
    <cfRule type="cellIs" dxfId="2331" priority="345" operator="lessThan">
      <formula>7.4</formula>
    </cfRule>
    <cfRule type="cellIs" dxfId="2330" priority="416" operator="lessThan">
      <formula>6.9</formula>
    </cfRule>
    <cfRule type="cellIs" dxfId="2329" priority="417" operator="lessThan">
      <formula>7.9</formula>
    </cfRule>
    <cfRule type="cellIs" dxfId="2328" priority="418" operator="lessThan">
      <formula>7.4</formula>
    </cfRule>
    <cfRule type="cellIs" dxfId="2327" priority="419" operator="lessThan">
      <formula>6.9</formula>
    </cfRule>
    <cfRule type="cellIs" dxfId="2326" priority="420" operator="lessThan">
      <formula>7.9</formula>
    </cfRule>
    <cfRule type="cellIs" dxfId="2325" priority="421" operator="lessThan">
      <formula>6.9</formula>
    </cfRule>
    <cfRule type="cellIs" dxfId="2324" priority="422" operator="lessThan">
      <formula>7.4</formula>
    </cfRule>
    <cfRule type="cellIs" dxfId="2323" priority="423" operator="lessThan">
      <formula>7.9</formula>
    </cfRule>
  </conditionalFormatting>
  <conditionalFormatting sqref="AC3:AC30">
    <cfRule type="cellIs" dxfId="2322" priority="327" operator="lessThan">
      <formula>7.9</formula>
    </cfRule>
    <cfRule type="cellIs" dxfId="2321" priority="328" operator="lessThan">
      <formula>6.9</formula>
    </cfRule>
    <cfRule type="cellIs" dxfId="2320" priority="329" operator="lessThan">
      <formula>7.9</formula>
    </cfRule>
  </conditionalFormatting>
  <conditionalFormatting sqref="AC3:AC30">
    <cfRule type="cellIs" dxfId="2319" priority="344" operator="lessThan">
      <formula>7.4</formula>
    </cfRule>
    <cfRule type="cellIs" dxfId="2318" priority="408" operator="lessThan">
      <formula>6.9</formula>
    </cfRule>
    <cfRule type="cellIs" dxfId="2317" priority="409" operator="lessThan">
      <formula>7.9</formula>
    </cfRule>
    <cfRule type="cellIs" dxfId="2316" priority="410" operator="lessThan">
      <formula>7.4</formula>
    </cfRule>
    <cfRule type="cellIs" dxfId="2315" priority="411" operator="lessThan">
      <formula>6.9</formula>
    </cfRule>
    <cfRule type="cellIs" dxfId="2314" priority="412" operator="lessThan">
      <formula>7.9</formula>
    </cfRule>
    <cfRule type="cellIs" dxfId="2313" priority="413" operator="lessThan">
      <formula>6.9</formula>
    </cfRule>
    <cfRule type="cellIs" dxfId="2312" priority="414" operator="lessThan">
      <formula>7.4</formula>
    </cfRule>
    <cfRule type="cellIs" dxfId="2311" priority="415" operator="lessThan">
      <formula>7.9</formula>
    </cfRule>
  </conditionalFormatting>
  <conditionalFormatting sqref="AG3:AG30">
    <cfRule type="cellIs" dxfId="2310" priority="324" operator="lessThan">
      <formula>7.9</formula>
    </cfRule>
    <cfRule type="cellIs" dxfId="2309" priority="325" operator="lessThan">
      <formula>6.9</formula>
    </cfRule>
    <cfRule type="cellIs" dxfId="2308" priority="326" operator="lessThan">
      <formula>7.9</formula>
    </cfRule>
  </conditionalFormatting>
  <conditionalFormatting sqref="AG3:AG30">
    <cfRule type="cellIs" dxfId="2307" priority="343" operator="lessThan">
      <formula>7.4</formula>
    </cfRule>
    <cfRule type="cellIs" dxfId="2306" priority="400" operator="lessThan">
      <formula>6.9</formula>
    </cfRule>
    <cfRule type="cellIs" dxfId="2305" priority="401" operator="lessThan">
      <formula>7.9</formula>
    </cfRule>
    <cfRule type="cellIs" dxfId="2304" priority="402" operator="lessThan">
      <formula>7.4</formula>
    </cfRule>
    <cfRule type="cellIs" dxfId="2303" priority="403" operator="lessThan">
      <formula>6.9</formula>
    </cfRule>
    <cfRule type="cellIs" dxfId="2302" priority="404" operator="lessThan">
      <formula>7.9</formula>
    </cfRule>
    <cfRule type="cellIs" dxfId="2301" priority="405" operator="lessThan">
      <formula>6.9</formula>
    </cfRule>
    <cfRule type="cellIs" dxfId="2300" priority="406" operator="lessThan">
      <formula>7.4</formula>
    </cfRule>
    <cfRule type="cellIs" dxfId="2299" priority="407" operator="lessThan">
      <formula>7.9</formula>
    </cfRule>
  </conditionalFormatting>
  <conditionalFormatting sqref="AK3:AK30">
    <cfRule type="cellIs" dxfId="2298" priority="321" operator="lessThan">
      <formula>7.9</formula>
    </cfRule>
    <cfRule type="cellIs" dxfId="2297" priority="322" operator="lessThan">
      <formula>6.9</formula>
    </cfRule>
    <cfRule type="cellIs" dxfId="2296" priority="323" operator="lessThan">
      <formula>7.9</formula>
    </cfRule>
  </conditionalFormatting>
  <conditionalFormatting sqref="AK3:AK30">
    <cfRule type="cellIs" dxfId="2295" priority="342" operator="lessThan">
      <formula>7.4</formula>
    </cfRule>
    <cfRule type="cellIs" dxfId="2294" priority="392" operator="lessThan">
      <formula>6.9</formula>
    </cfRule>
    <cfRule type="cellIs" dxfId="2293" priority="393" operator="lessThan">
      <formula>7.9</formula>
    </cfRule>
    <cfRule type="cellIs" dxfId="2292" priority="394" operator="lessThan">
      <formula>7.4</formula>
    </cfRule>
    <cfRule type="cellIs" dxfId="2291" priority="395" operator="lessThan">
      <formula>6.9</formula>
    </cfRule>
    <cfRule type="cellIs" dxfId="2290" priority="396" operator="lessThan">
      <formula>7.9</formula>
    </cfRule>
    <cfRule type="cellIs" dxfId="2289" priority="397" operator="lessThan">
      <formula>6.9</formula>
    </cfRule>
    <cfRule type="cellIs" dxfId="2288" priority="398" operator="lessThan">
      <formula>7.4</formula>
    </cfRule>
    <cfRule type="cellIs" dxfId="2287" priority="399" operator="lessThan">
      <formula>7.9</formula>
    </cfRule>
  </conditionalFormatting>
  <conditionalFormatting sqref="AO3:AO30">
    <cfRule type="cellIs" dxfId="2286" priority="318" operator="lessThan">
      <formula>7.9</formula>
    </cfRule>
    <cfRule type="cellIs" dxfId="2285" priority="319" operator="lessThan">
      <formula>6.9</formula>
    </cfRule>
    <cfRule type="cellIs" dxfId="2284" priority="320" operator="lessThan">
      <formula>7.9</formula>
    </cfRule>
  </conditionalFormatting>
  <conditionalFormatting sqref="AO3:AO30">
    <cfRule type="cellIs" dxfId="2283" priority="341" operator="lessThan">
      <formula>7.4</formula>
    </cfRule>
    <cfRule type="cellIs" dxfId="2282" priority="384" operator="lessThan">
      <formula>6.9</formula>
    </cfRule>
    <cfRule type="cellIs" dxfId="2281" priority="385" operator="lessThan">
      <formula>7.9</formula>
    </cfRule>
    <cfRule type="cellIs" dxfId="2280" priority="386" operator="lessThan">
      <formula>7.4</formula>
    </cfRule>
    <cfRule type="cellIs" dxfId="2279" priority="387" operator="lessThan">
      <formula>6.9</formula>
    </cfRule>
    <cfRule type="cellIs" dxfId="2278" priority="388" operator="lessThan">
      <formula>7.9</formula>
    </cfRule>
    <cfRule type="cellIs" dxfId="2277" priority="389" operator="lessThan">
      <formula>6.9</formula>
    </cfRule>
    <cfRule type="cellIs" dxfId="2276" priority="390" operator="lessThan">
      <formula>7.4</formula>
    </cfRule>
    <cfRule type="cellIs" dxfId="2275" priority="391" operator="lessThan">
      <formula>7.9</formula>
    </cfRule>
  </conditionalFormatting>
  <conditionalFormatting sqref="AS3:AS30">
    <cfRule type="cellIs" dxfId="2274" priority="315" operator="lessThan">
      <formula>7.9</formula>
    </cfRule>
    <cfRule type="cellIs" dxfId="2273" priority="316" operator="lessThan">
      <formula>6.9</formula>
    </cfRule>
    <cfRule type="cellIs" dxfId="2272" priority="317" operator="lessThan">
      <formula>7.9</formula>
    </cfRule>
    <cfRule type="cellIs" dxfId="2271" priority="340" operator="lessThan">
      <formula>7.4</formula>
    </cfRule>
  </conditionalFormatting>
  <conditionalFormatting sqref="AS3:AS30">
    <cfRule type="cellIs" dxfId="2270" priority="376" operator="lessThan">
      <formula>6.9</formula>
    </cfRule>
    <cfRule type="cellIs" dxfId="2269" priority="377" operator="lessThan">
      <formula>7.9</formula>
    </cfRule>
    <cfRule type="cellIs" dxfId="2268" priority="378" operator="lessThan">
      <formula>7.4</formula>
    </cfRule>
    <cfRule type="cellIs" dxfId="2267" priority="379" operator="lessThan">
      <formula>6.9</formula>
    </cfRule>
    <cfRule type="cellIs" dxfId="2266" priority="380" operator="lessThan">
      <formula>7.9</formula>
    </cfRule>
    <cfRule type="cellIs" dxfId="2265" priority="381" operator="lessThan">
      <formula>6.9</formula>
    </cfRule>
    <cfRule type="cellIs" dxfId="2264" priority="382" operator="lessThan">
      <formula>7.4</formula>
    </cfRule>
    <cfRule type="cellIs" dxfId="2263" priority="383" operator="lessThan">
      <formula>7.9</formula>
    </cfRule>
  </conditionalFormatting>
  <conditionalFormatting sqref="AW3:AW30">
    <cfRule type="cellIs" dxfId="2262" priority="312" operator="lessThan">
      <formula>7.9</formula>
    </cfRule>
    <cfRule type="cellIs" dxfId="2261" priority="313" operator="lessThan">
      <formula>6.9</formula>
    </cfRule>
    <cfRule type="cellIs" dxfId="2260" priority="314" operator="lessThan">
      <formula>7.4</formula>
    </cfRule>
    <cfRule type="cellIs" dxfId="2259" priority="339" operator="lessThan">
      <formula>7.9</formula>
    </cfRule>
  </conditionalFormatting>
  <conditionalFormatting sqref="AW3:AW30">
    <cfRule type="cellIs" dxfId="2258" priority="368" operator="lessThan">
      <formula>6.9</formula>
    </cfRule>
    <cfRule type="cellIs" dxfId="2257" priority="369" operator="lessThan">
      <formula>7.9</formula>
    </cfRule>
    <cfRule type="cellIs" dxfId="2256" priority="370" operator="lessThan">
      <formula>7.4</formula>
    </cfRule>
    <cfRule type="cellIs" dxfId="2255" priority="371" operator="lessThan">
      <formula>6.9</formula>
    </cfRule>
    <cfRule type="cellIs" dxfId="2254" priority="372" operator="lessThan">
      <formula>7.9</formula>
    </cfRule>
    <cfRule type="cellIs" dxfId="2253" priority="373" operator="lessThan">
      <formula>6.9</formula>
    </cfRule>
    <cfRule type="cellIs" dxfId="2252" priority="374" operator="lessThan">
      <formula>7.4</formula>
    </cfRule>
    <cfRule type="cellIs" dxfId="2251" priority="375" operator="lessThan">
      <formula>7.9</formula>
    </cfRule>
  </conditionalFormatting>
  <conditionalFormatting sqref="BA3:BA30">
    <cfRule type="cellIs" dxfId="2250" priority="356" operator="lessThan">
      <formula>7.9</formula>
    </cfRule>
    <cfRule type="cellIs" dxfId="2249" priority="357" operator="lessThan">
      <formula>6.9</formula>
    </cfRule>
    <cfRule type="cellIs" dxfId="2248" priority="358" operator="lessThan">
      <formula>7.4</formula>
    </cfRule>
    <cfRule type="cellIs" dxfId="2247" priority="359" operator="lessThan">
      <formula>7.9</formula>
    </cfRule>
    <cfRule type="cellIs" dxfId="2246" priority="360" operator="lessThan">
      <formula>6.9</formula>
    </cfRule>
    <cfRule type="cellIs" dxfId="2245" priority="361" operator="lessThan">
      <formula>7.9</formula>
    </cfRule>
    <cfRule type="cellIs" dxfId="2244" priority="362" operator="lessThan">
      <formula>7.4</formula>
    </cfRule>
    <cfRule type="cellIs" dxfId="2243" priority="363" operator="lessThan">
      <formula>6.9</formula>
    </cfRule>
    <cfRule type="cellIs" dxfId="2242" priority="364" operator="lessThan">
      <formula>7.9</formula>
    </cfRule>
    <cfRule type="cellIs" dxfId="2241" priority="365" operator="lessThan">
      <formula>6.9</formula>
    </cfRule>
    <cfRule type="cellIs" dxfId="2240" priority="366" operator="lessThan">
      <formula>7.4</formula>
    </cfRule>
    <cfRule type="cellIs" dxfId="2239" priority="367" operator="lessThan">
      <formula>7.9</formula>
    </cfRule>
  </conditionalFormatting>
  <conditionalFormatting sqref="J3:L30">
    <cfRule type="cellIs" dxfId="2238" priority="31" operator="lessThan">
      <formula>7.9</formula>
    </cfRule>
  </conditionalFormatting>
  <conditionalFormatting sqref="J3:L30">
    <cfRule type="cellIs" dxfId="2237" priority="32" operator="lessThan">
      <formula>7.4</formula>
    </cfRule>
  </conditionalFormatting>
  <conditionalFormatting sqref="J5:L6">
    <cfRule type="cellIs" dxfId="2236" priority="33" operator="lessThan">
      <formula>6.9</formula>
    </cfRule>
  </conditionalFormatting>
  <conditionalFormatting sqref="N3:P30">
    <cfRule type="cellIs" dxfId="2235" priority="28" operator="lessThan">
      <formula>7.9</formula>
    </cfRule>
  </conditionalFormatting>
  <conditionalFormatting sqref="N3:P30">
    <cfRule type="cellIs" dxfId="2234" priority="29" operator="lessThan">
      <formula>7.4</formula>
    </cfRule>
  </conditionalFormatting>
  <conditionalFormatting sqref="N5:P6">
    <cfRule type="cellIs" dxfId="2233" priority="30" operator="lessThan">
      <formula>6.9</formula>
    </cfRule>
  </conditionalFormatting>
  <conditionalFormatting sqref="R3:T30">
    <cfRule type="cellIs" dxfId="2232" priority="25" operator="lessThan">
      <formula>7.9</formula>
    </cfRule>
  </conditionalFormatting>
  <conditionalFormatting sqref="R3:T30">
    <cfRule type="cellIs" dxfId="2231" priority="26" operator="lessThan">
      <formula>7.4</formula>
    </cfRule>
  </conditionalFormatting>
  <conditionalFormatting sqref="R5:T6">
    <cfRule type="cellIs" dxfId="2230" priority="27" operator="lessThan">
      <formula>6.9</formula>
    </cfRule>
  </conditionalFormatting>
  <conditionalFormatting sqref="V3:X30">
    <cfRule type="cellIs" dxfId="2229" priority="22" operator="lessThan">
      <formula>7.9</formula>
    </cfRule>
  </conditionalFormatting>
  <conditionalFormatting sqref="V3:X30">
    <cfRule type="cellIs" dxfId="2228" priority="23" operator="lessThan">
      <formula>7.4</formula>
    </cfRule>
  </conditionalFormatting>
  <conditionalFormatting sqref="V5:X6">
    <cfRule type="cellIs" dxfId="2227" priority="24" operator="lessThan">
      <formula>6.9</formula>
    </cfRule>
  </conditionalFormatting>
  <conditionalFormatting sqref="Z3:AB30">
    <cfRule type="cellIs" dxfId="2226" priority="19" operator="lessThan">
      <formula>7.9</formula>
    </cfRule>
  </conditionalFormatting>
  <conditionalFormatting sqref="Z3:AB30">
    <cfRule type="cellIs" dxfId="2225" priority="20" operator="lessThan">
      <formula>7.4</formula>
    </cfRule>
  </conditionalFormatting>
  <conditionalFormatting sqref="Z5:AB6">
    <cfRule type="cellIs" dxfId="2224" priority="21" operator="lessThan">
      <formula>6.9</formula>
    </cfRule>
  </conditionalFormatting>
  <conditionalFormatting sqref="AD3:AF30">
    <cfRule type="cellIs" dxfId="2223" priority="16" operator="lessThan">
      <formula>7.9</formula>
    </cfRule>
  </conditionalFormatting>
  <conditionalFormatting sqref="AD3:AF30">
    <cfRule type="cellIs" dxfId="2222" priority="17" operator="lessThan">
      <formula>7.4</formula>
    </cfRule>
  </conditionalFormatting>
  <conditionalFormatting sqref="AD5:AF6">
    <cfRule type="cellIs" dxfId="2221" priority="18" operator="lessThan">
      <formula>6.9</formula>
    </cfRule>
  </conditionalFormatting>
  <conditionalFormatting sqref="AH3:AJ30">
    <cfRule type="cellIs" dxfId="2220" priority="13" operator="lessThan">
      <formula>7.9</formula>
    </cfRule>
  </conditionalFormatting>
  <conditionalFormatting sqref="AH3:AJ30">
    <cfRule type="cellIs" dxfId="2219" priority="14" operator="lessThan">
      <formula>7.4</formula>
    </cfRule>
  </conditionalFormatting>
  <conditionalFormatting sqref="AH5:AJ6">
    <cfRule type="cellIs" dxfId="2218" priority="15" operator="lessThan">
      <formula>6.9</formula>
    </cfRule>
  </conditionalFormatting>
  <conditionalFormatting sqref="AL3:AN30">
    <cfRule type="cellIs" dxfId="2217" priority="10" operator="lessThan">
      <formula>7.9</formula>
    </cfRule>
  </conditionalFormatting>
  <conditionalFormatting sqref="AL3:AN30">
    <cfRule type="cellIs" dxfId="2216" priority="11" operator="lessThan">
      <formula>7.4</formula>
    </cfRule>
  </conditionalFormatting>
  <conditionalFormatting sqref="AL5:AN6">
    <cfRule type="cellIs" dxfId="2215" priority="12" operator="lessThan">
      <formula>6.9</formula>
    </cfRule>
  </conditionalFormatting>
  <conditionalFormatting sqref="AP3:AR30">
    <cfRule type="cellIs" dxfId="2214" priority="7" operator="lessThan">
      <formula>7.9</formula>
    </cfRule>
  </conditionalFormatting>
  <conditionalFormatting sqref="AP3:AR30">
    <cfRule type="cellIs" dxfId="2213" priority="8" operator="lessThan">
      <formula>7.4</formula>
    </cfRule>
  </conditionalFormatting>
  <conditionalFormatting sqref="AP5:AR6">
    <cfRule type="cellIs" dxfId="2212" priority="9" operator="lessThan">
      <formula>6.9</formula>
    </cfRule>
  </conditionalFormatting>
  <conditionalFormatting sqref="AT3:AV30">
    <cfRule type="cellIs" dxfId="2211" priority="4" operator="lessThan">
      <formula>7.9</formula>
    </cfRule>
  </conditionalFormatting>
  <conditionalFormatting sqref="AT3:AV30">
    <cfRule type="cellIs" dxfId="2210" priority="5" operator="lessThan">
      <formula>7.4</formula>
    </cfRule>
  </conditionalFormatting>
  <conditionalFormatting sqref="AT5:AV6">
    <cfRule type="cellIs" dxfId="2209" priority="6" operator="lessThan">
      <formula>6.9</formula>
    </cfRule>
  </conditionalFormatting>
  <conditionalFormatting sqref="AX3:AZ30">
    <cfRule type="cellIs" dxfId="2208" priority="1" operator="lessThan">
      <formula>7.9</formula>
    </cfRule>
  </conditionalFormatting>
  <conditionalFormatting sqref="AX3:AZ30">
    <cfRule type="cellIs" dxfId="2207" priority="2" operator="lessThan">
      <formula>7.4</formula>
    </cfRule>
  </conditionalFormatting>
  <conditionalFormatting sqref="AX5:AZ6">
    <cfRule type="cellIs" dxfId="2206" priority="3" operator="lessThan">
      <formula>6.9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J33"/>
  <sheetViews>
    <sheetView zoomScale="80" zoomScaleNormal="50" workbookViewId="0">
      <selection activeCell="E3" sqref="E3"/>
    </sheetView>
  </sheetViews>
  <sheetFormatPr baseColWidth="10" defaultColWidth="12.5703125" defaultRowHeight="15.75" customHeight="1" x14ac:dyDescent="0.2"/>
  <cols>
    <col min="1" max="1" width="12.5703125" bestFit="1" customWidth="1"/>
    <col min="2" max="2" width="64" bestFit="1" customWidth="1"/>
    <col min="3" max="3" width="11.5703125" bestFit="1" customWidth="1"/>
    <col min="4" max="5" width="12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  <col min="58" max="58" width="7.28515625" bestFit="1" customWidth="1"/>
    <col min="59" max="59" width="7.5703125" bestFit="1" customWidth="1"/>
    <col min="60" max="60" width="7.5703125" customWidth="1"/>
    <col min="61" max="61" width="5.5703125" bestFit="1" customWidth="1"/>
    <col min="62" max="62" width="12.5703125" customWidth="1"/>
  </cols>
  <sheetData>
    <row r="1" spans="1:62" ht="44.25" x14ac:dyDescent="0.2">
      <c r="A1" s="1"/>
      <c r="B1" s="1"/>
      <c r="C1" s="47"/>
      <c r="D1" s="47"/>
      <c r="E1" s="47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139</v>
      </c>
      <c r="O1" s="195"/>
      <c r="P1" s="195"/>
      <c r="Q1" s="196"/>
      <c r="R1" s="194" t="s">
        <v>887</v>
      </c>
      <c r="S1" s="195"/>
      <c r="T1" s="195"/>
      <c r="U1" s="196"/>
      <c r="V1" s="194" t="s">
        <v>138</v>
      </c>
      <c r="W1" s="195"/>
      <c r="X1" s="195"/>
      <c r="Y1" s="196"/>
      <c r="Z1" s="194" t="s">
        <v>865</v>
      </c>
      <c r="AA1" s="195"/>
      <c r="AB1" s="195"/>
      <c r="AC1" s="196"/>
      <c r="AD1" s="194" t="s">
        <v>888</v>
      </c>
      <c r="AE1" s="195"/>
      <c r="AF1" s="195"/>
      <c r="AG1" s="196"/>
      <c r="AH1" s="194" t="s">
        <v>889</v>
      </c>
      <c r="AI1" s="195"/>
      <c r="AJ1" s="195"/>
      <c r="AK1" s="196"/>
      <c r="AL1" s="194" t="s">
        <v>543</v>
      </c>
      <c r="AM1" s="195"/>
      <c r="AN1" s="195"/>
      <c r="AO1" s="196"/>
      <c r="AP1" s="194" t="s">
        <v>871</v>
      </c>
      <c r="AQ1" s="195"/>
      <c r="AR1" s="195"/>
      <c r="AS1" s="196"/>
      <c r="AT1" s="194" t="s">
        <v>544</v>
      </c>
      <c r="AU1" s="195"/>
      <c r="AV1" s="195"/>
      <c r="AW1" s="196"/>
      <c r="AX1" s="194" t="s">
        <v>0</v>
      </c>
      <c r="AY1" s="195"/>
      <c r="AZ1" s="195"/>
      <c r="BA1" s="196"/>
      <c r="BB1" s="194" t="s">
        <v>873</v>
      </c>
      <c r="BC1" s="195"/>
      <c r="BD1" s="195"/>
      <c r="BE1" s="196"/>
      <c r="BF1" s="194" t="s">
        <v>874</v>
      </c>
      <c r="BG1" s="195"/>
      <c r="BH1" s="195"/>
      <c r="BI1" s="196"/>
      <c r="BJ1" s="71" t="s">
        <v>2</v>
      </c>
    </row>
    <row r="2" spans="1:62" x14ac:dyDescent="0.2">
      <c r="A2" s="1" t="s">
        <v>3</v>
      </c>
      <c r="B2" s="1" t="s">
        <v>4</v>
      </c>
      <c r="C2" s="75" t="s">
        <v>877</v>
      </c>
      <c r="D2" s="75" t="s">
        <v>878</v>
      </c>
      <c r="E2" s="75" t="s">
        <v>879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5" t="s">
        <v>8</v>
      </c>
      <c r="BG2" s="75" t="s">
        <v>9</v>
      </c>
      <c r="BH2" s="75" t="s">
        <v>10</v>
      </c>
      <c r="BI2" s="68" t="s">
        <v>11</v>
      </c>
      <c r="BJ2" s="71" t="s">
        <v>12</v>
      </c>
    </row>
    <row r="3" spans="1:62" ht="15.75" customHeight="1" x14ac:dyDescent="0.25">
      <c r="A3" s="1" t="s">
        <v>601</v>
      </c>
      <c r="B3" s="5" t="s">
        <v>602</v>
      </c>
      <c r="C3" s="24" t="s">
        <v>15</v>
      </c>
      <c r="D3" s="50">
        <v>1</v>
      </c>
      <c r="E3" s="50" t="s">
        <v>16</v>
      </c>
      <c r="F3" s="132">
        <v>8</v>
      </c>
      <c r="G3" s="15">
        <v>8</v>
      </c>
      <c r="H3" s="14">
        <v>10</v>
      </c>
      <c r="I3" s="84">
        <f>AVERAGE(F3:H3)</f>
        <v>8.6666666666666661</v>
      </c>
      <c r="J3" s="130">
        <v>10</v>
      </c>
      <c r="K3" s="14">
        <v>8</v>
      </c>
      <c r="L3" s="14">
        <v>8</v>
      </c>
      <c r="M3" s="84">
        <f t="shared" ref="M3:M23" si="0">AVERAGE(J3:L3)</f>
        <v>8.6666666666666661</v>
      </c>
      <c r="N3" s="137">
        <v>9.9</v>
      </c>
      <c r="O3" s="18">
        <v>9.5</v>
      </c>
      <c r="P3" s="14">
        <v>10</v>
      </c>
      <c r="Q3" s="84">
        <f t="shared" ref="Q3:Q23" si="1">AVERAGE(N3:P3)</f>
        <v>9.7999999999999989</v>
      </c>
      <c r="R3" s="137">
        <v>9.9</v>
      </c>
      <c r="S3" s="18">
        <v>8.6</v>
      </c>
      <c r="T3" s="14">
        <v>8.3000000000000007</v>
      </c>
      <c r="U3" s="84">
        <f>AVERAGE(R3:T3)</f>
        <v>8.9333333333333336</v>
      </c>
      <c r="V3" s="137">
        <v>10</v>
      </c>
      <c r="W3" s="18">
        <v>8</v>
      </c>
      <c r="X3" s="14">
        <v>8.9</v>
      </c>
      <c r="Y3" s="84">
        <f>AVERAGE(V3:X3)</f>
        <v>8.9666666666666668</v>
      </c>
      <c r="Z3" s="137">
        <v>10</v>
      </c>
      <c r="AA3" s="18">
        <v>9.8000000000000007</v>
      </c>
      <c r="AB3" s="114">
        <v>7.5</v>
      </c>
      <c r="AC3" s="84">
        <f>AVERAGE(Z3:AB3)</f>
        <v>9.1</v>
      </c>
      <c r="AD3" s="137">
        <v>9</v>
      </c>
      <c r="AE3" s="18">
        <v>9</v>
      </c>
      <c r="AF3" s="14">
        <v>10</v>
      </c>
      <c r="AG3" s="84">
        <f>AVERAGE(AD3:AF3)</f>
        <v>9.3333333333333339</v>
      </c>
      <c r="AH3" s="137">
        <v>10</v>
      </c>
      <c r="AI3" s="18">
        <v>9</v>
      </c>
      <c r="AJ3" s="14">
        <v>10</v>
      </c>
      <c r="AK3" s="84">
        <f>AVERAGE(AH3:AJ3)</f>
        <v>9.6666666666666661</v>
      </c>
      <c r="AL3" s="137">
        <v>8</v>
      </c>
      <c r="AM3" s="206">
        <v>8</v>
      </c>
      <c r="AN3" s="14">
        <v>9</v>
      </c>
      <c r="AO3" s="84">
        <f>AVERAGE(AL3:AN3)</f>
        <v>8.3333333333333339</v>
      </c>
      <c r="AP3" s="137">
        <v>8.5</v>
      </c>
      <c r="AQ3" s="18">
        <v>8</v>
      </c>
      <c r="AR3" s="14">
        <v>9</v>
      </c>
      <c r="AS3" s="84">
        <f>AVERAGE(AP3:AR3)</f>
        <v>8.5</v>
      </c>
      <c r="AT3" s="143">
        <v>10</v>
      </c>
      <c r="AU3" s="18">
        <v>9</v>
      </c>
      <c r="AV3" s="14">
        <v>10</v>
      </c>
      <c r="AW3" s="84">
        <f>AVERAGE(AT3:AV3)</f>
        <v>9.6666666666666661</v>
      </c>
      <c r="AX3" s="144">
        <v>9</v>
      </c>
      <c r="AY3" s="209">
        <v>9</v>
      </c>
      <c r="AZ3" s="14">
        <v>10</v>
      </c>
      <c r="BA3" s="84">
        <f>AVERAGE(AX3:AZ3)</f>
        <v>9.3333333333333339</v>
      </c>
      <c r="BB3" s="137">
        <v>9</v>
      </c>
      <c r="BC3" s="18">
        <v>10</v>
      </c>
      <c r="BD3" s="14">
        <v>8</v>
      </c>
      <c r="BE3" s="84">
        <f>AVERAGE(BB3:BD3)</f>
        <v>9</v>
      </c>
      <c r="BF3" s="149">
        <v>10</v>
      </c>
      <c r="BG3" s="18">
        <v>8</v>
      </c>
      <c r="BH3" s="14">
        <v>10</v>
      </c>
      <c r="BI3" s="84">
        <f>AVERAGE(BF3:BH3)</f>
        <v>9.3333333333333339</v>
      </c>
      <c r="BJ3" s="64">
        <f>AVERAGE(I3,M3,Q3,U3,Y3,AC3,AG3,AK3,AO3,AS3,AW3,BA3,BE3,BI3)</f>
        <v>9.0928571428571434</v>
      </c>
    </row>
    <row r="4" spans="1:62" ht="15.75" customHeight="1" x14ac:dyDescent="0.25">
      <c r="A4" s="1" t="s">
        <v>595</v>
      </c>
      <c r="B4" s="5" t="s">
        <v>596</v>
      </c>
      <c r="C4" s="24" t="s">
        <v>15</v>
      </c>
      <c r="D4" s="50">
        <v>1</v>
      </c>
      <c r="E4" s="50" t="s">
        <v>16</v>
      </c>
      <c r="F4" s="132">
        <v>9</v>
      </c>
      <c r="G4" s="14">
        <v>8</v>
      </c>
      <c r="H4" s="14">
        <v>10</v>
      </c>
      <c r="I4" s="84">
        <f t="shared" ref="I4:I33" si="2">AVERAGE(F4:H4)</f>
        <v>9</v>
      </c>
      <c r="J4" s="130">
        <v>10</v>
      </c>
      <c r="K4" s="14">
        <v>10</v>
      </c>
      <c r="L4" s="14">
        <v>10</v>
      </c>
      <c r="M4" s="84">
        <f t="shared" si="0"/>
        <v>10</v>
      </c>
      <c r="N4" s="137">
        <v>10</v>
      </c>
      <c r="O4" s="18">
        <v>10</v>
      </c>
      <c r="P4" s="14">
        <v>10</v>
      </c>
      <c r="Q4" s="84">
        <f t="shared" si="1"/>
        <v>10</v>
      </c>
      <c r="R4" s="137">
        <v>10</v>
      </c>
      <c r="S4" s="18">
        <v>9</v>
      </c>
      <c r="T4" s="14">
        <v>8.3000000000000007</v>
      </c>
      <c r="U4" s="84">
        <f t="shared" ref="U4:U33" si="3">AVERAGE(R4:T4)</f>
        <v>9.1</v>
      </c>
      <c r="V4" s="137">
        <v>10</v>
      </c>
      <c r="W4" s="18">
        <v>8.5</v>
      </c>
      <c r="X4" s="14">
        <v>8.9</v>
      </c>
      <c r="Y4" s="84">
        <f t="shared" ref="Y4:Y33" si="4">AVERAGE(V4:X4)</f>
        <v>9.1333333333333329</v>
      </c>
      <c r="Z4" s="137">
        <v>10</v>
      </c>
      <c r="AA4" s="18">
        <v>9.8000000000000007</v>
      </c>
      <c r="AB4" s="14">
        <v>10</v>
      </c>
      <c r="AC4" s="84">
        <f t="shared" ref="AC4:AC33" si="5">AVERAGE(Z4:AB4)</f>
        <v>9.9333333333333336</v>
      </c>
      <c r="AD4" s="137">
        <v>10</v>
      </c>
      <c r="AE4" s="18">
        <v>9</v>
      </c>
      <c r="AF4" s="14">
        <v>10</v>
      </c>
      <c r="AG4" s="84">
        <f t="shared" ref="AG4:AG33" si="6">AVERAGE(AD4:AF4)</f>
        <v>9.6666666666666661</v>
      </c>
      <c r="AH4" s="137">
        <v>10</v>
      </c>
      <c r="AI4" s="18">
        <v>9</v>
      </c>
      <c r="AJ4" s="14">
        <v>10</v>
      </c>
      <c r="AK4" s="84">
        <f t="shared" ref="AK4:AK33" si="7">AVERAGE(AH4:AJ4)</f>
        <v>9.6666666666666661</v>
      </c>
      <c r="AL4" s="137">
        <v>9</v>
      </c>
      <c r="AM4" s="18">
        <v>10</v>
      </c>
      <c r="AN4" s="14">
        <v>10</v>
      </c>
      <c r="AO4" s="84">
        <f t="shared" ref="AO4:AO33" si="8">AVERAGE(AL4:AN4)</f>
        <v>9.6666666666666661</v>
      </c>
      <c r="AP4" s="141">
        <v>8</v>
      </c>
      <c r="AQ4" s="207">
        <v>8</v>
      </c>
      <c r="AR4" s="19">
        <v>9</v>
      </c>
      <c r="AS4" s="84">
        <f t="shared" ref="AS4:AS33" si="9">AVERAGE(AP4:AR4)</f>
        <v>8.3333333333333339</v>
      </c>
      <c r="AT4" s="143">
        <v>10</v>
      </c>
      <c r="AU4" s="18">
        <v>9</v>
      </c>
      <c r="AV4" s="14">
        <v>10</v>
      </c>
      <c r="AW4" s="84">
        <f t="shared" ref="AW4:AW33" si="10">AVERAGE(AT4:AV4)</f>
        <v>9.6666666666666661</v>
      </c>
      <c r="AX4" s="144">
        <v>9</v>
      </c>
      <c r="AY4" s="209">
        <v>9</v>
      </c>
      <c r="AZ4" s="14">
        <v>10</v>
      </c>
      <c r="BA4" s="84">
        <f t="shared" ref="BA4:BA33" si="11">AVERAGE(AX4:AZ4)</f>
        <v>9.3333333333333339</v>
      </c>
      <c r="BB4" s="137">
        <v>10</v>
      </c>
      <c r="BC4" s="18">
        <v>10</v>
      </c>
      <c r="BD4" s="14">
        <v>10</v>
      </c>
      <c r="BE4" s="84">
        <f t="shared" ref="BE4:BE33" si="12">AVERAGE(BB4:BD4)</f>
        <v>10</v>
      </c>
      <c r="BF4" s="149">
        <v>10</v>
      </c>
      <c r="BG4" s="18">
        <v>10</v>
      </c>
      <c r="BH4" s="14">
        <v>10</v>
      </c>
      <c r="BI4" s="84">
        <f t="shared" ref="BI4:BI33" si="13">AVERAGE(BF4:BH4)</f>
        <v>10</v>
      </c>
      <c r="BJ4" s="64">
        <f t="shared" ref="BJ4:BJ33" si="14">AVERAGE(I4,M4,Q4,U4,Y4,AC4,AG4,AK4,AO4,AS4,AW4,BA4,BE4,BI4)</f>
        <v>9.5357142857142865</v>
      </c>
    </row>
    <row r="5" spans="1:62" ht="15.75" customHeight="1" x14ac:dyDescent="0.25">
      <c r="A5" s="1" t="s">
        <v>545</v>
      </c>
      <c r="B5" s="5" t="s">
        <v>546</v>
      </c>
      <c r="C5" s="24" t="s">
        <v>15</v>
      </c>
      <c r="D5" s="50">
        <v>1</v>
      </c>
      <c r="E5" s="50" t="s">
        <v>16</v>
      </c>
      <c r="F5" s="133">
        <v>9</v>
      </c>
      <c r="G5" s="19">
        <v>8</v>
      </c>
      <c r="H5" s="19">
        <v>10</v>
      </c>
      <c r="I5" s="84">
        <f t="shared" si="2"/>
        <v>9</v>
      </c>
      <c r="J5" s="130">
        <v>10</v>
      </c>
      <c r="K5" s="14">
        <v>10</v>
      </c>
      <c r="L5" s="14">
        <v>10</v>
      </c>
      <c r="M5" s="84">
        <f t="shared" si="0"/>
        <v>10</v>
      </c>
      <c r="N5" s="137">
        <v>9.9</v>
      </c>
      <c r="O5" s="18">
        <v>10</v>
      </c>
      <c r="P5" s="14">
        <v>10</v>
      </c>
      <c r="Q5" s="84">
        <f t="shared" si="1"/>
        <v>9.9666666666666668</v>
      </c>
      <c r="R5" s="137">
        <v>9.9</v>
      </c>
      <c r="S5" s="18">
        <v>9</v>
      </c>
      <c r="T5" s="14">
        <v>8</v>
      </c>
      <c r="U5" s="84">
        <f t="shared" si="3"/>
        <v>8.9666666666666668</v>
      </c>
      <c r="V5" s="137">
        <v>10</v>
      </c>
      <c r="W5" s="18">
        <v>8</v>
      </c>
      <c r="X5" s="14">
        <v>8.9</v>
      </c>
      <c r="Y5" s="84">
        <f t="shared" si="4"/>
        <v>8.9666666666666668</v>
      </c>
      <c r="Z5" s="137">
        <v>10</v>
      </c>
      <c r="AA5" s="18">
        <v>10</v>
      </c>
      <c r="AB5" s="14">
        <v>10</v>
      </c>
      <c r="AC5" s="84">
        <f t="shared" si="5"/>
        <v>10</v>
      </c>
      <c r="AD5" s="137">
        <v>9</v>
      </c>
      <c r="AE5" s="18">
        <v>10</v>
      </c>
      <c r="AF5" s="14">
        <v>10</v>
      </c>
      <c r="AG5" s="84">
        <f t="shared" si="6"/>
        <v>9.6666666666666661</v>
      </c>
      <c r="AH5" s="137">
        <v>10</v>
      </c>
      <c r="AI5" s="18">
        <v>10</v>
      </c>
      <c r="AJ5" s="14">
        <v>10</v>
      </c>
      <c r="AK5" s="84">
        <f t="shared" si="7"/>
        <v>10</v>
      </c>
      <c r="AL5" s="137">
        <v>9</v>
      </c>
      <c r="AM5" s="18">
        <v>10</v>
      </c>
      <c r="AN5" s="14">
        <v>10</v>
      </c>
      <c r="AO5" s="84">
        <f t="shared" si="8"/>
        <v>9.6666666666666661</v>
      </c>
      <c r="AP5" s="141">
        <v>8</v>
      </c>
      <c r="AQ5" s="207">
        <v>9</v>
      </c>
      <c r="AR5" s="19">
        <v>9</v>
      </c>
      <c r="AS5" s="84">
        <f t="shared" si="9"/>
        <v>8.6666666666666661</v>
      </c>
      <c r="AT5" s="143">
        <v>10</v>
      </c>
      <c r="AU5" s="18">
        <v>9</v>
      </c>
      <c r="AV5" s="14">
        <v>10</v>
      </c>
      <c r="AW5" s="84">
        <f t="shared" si="10"/>
        <v>9.6666666666666661</v>
      </c>
      <c r="AX5" s="144">
        <v>9</v>
      </c>
      <c r="AY5" s="209">
        <v>9</v>
      </c>
      <c r="AZ5" s="14">
        <v>10</v>
      </c>
      <c r="BA5" s="84">
        <f t="shared" si="11"/>
        <v>9.3333333333333339</v>
      </c>
      <c r="BB5" s="137">
        <v>10</v>
      </c>
      <c r="BC5" s="18">
        <v>10</v>
      </c>
      <c r="BD5" s="14">
        <v>10</v>
      </c>
      <c r="BE5" s="84">
        <f t="shared" si="12"/>
        <v>10</v>
      </c>
      <c r="BF5" s="149">
        <v>10</v>
      </c>
      <c r="BG5" s="18">
        <v>10</v>
      </c>
      <c r="BH5" s="14">
        <v>10</v>
      </c>
      <c r="BI5" s="84">
        <f t="shared" si="13"/>
        <v>10</v>
      </c>
      <c r="BJ5" s="64">
        <f t="shared" si="14"/>
        <v>9.5642857142857167</v>
      </c>
    </row>
    <row r="6" spans="1:62" ht="15.75" customHeight="1" x14ac:dyDescent="0.25">
      <c r="A6" s="1" t="s">
        <v>563</v>
      </c>
      <c r="B6" s="5" t="s">
        <v>564</v>
      </c>
      <c r="C6" s="24" t="s">
        <v>15</v>
      </c>
      <c r="D6" s="50">
        <v>1</v>
      </c>
      <c r="E6" s="50" t="s">
        <v>16</v>
      </c>
      <c r="F6" s="133">
        <v>9</v>
      </c>
      <c r="G6" s="19">
        <v>8</v>
      </c>
      <c r="H6" s="19">
        <v>10</v>
      </c>
      <c r="I6" s="84">
        <f t="shared" si="2"/>
        <v>9</v>
      </c>
      <c r="J6" s="130">
        <v>10</v>
      </c>
      <c r="K6" s="14">
        <v>10</v>
      </c>
      <c r="L6" s="14">
        <v>10</v>
      </c>
      <c r="M6" s="84">
        <f t="shared" si="0"/>
        <v>10</v>
      </c>
      <c r="N6" s="137">
        <v>9.9</v>
      </c>
      <c r="O6" s="18">
        <v>10</v>
      </c>
      <c r="P6" s="14">
        <v>10</v>
      </c>
      <c r="Q6" s="84">
        <f t="shared" si="1"/>
        <v>9.9666666666666668</v>
      </c>
      <c r="R6" s="137">
        <v>9.9</v>
      </c>
      <c r="S6" s="18">
        <v>9</v>
      </c>
      <c r="T6" s="14">
        <v>8.8000000000000007</v>
      </c>
      <c r="U6" s="84">
        <f t="shared" si="3"/>
        <v>9.2333333333333325</v>
      </c>
      <c r="V6" s="137">
        <v>10</v>
      </c>
      <c r="W6" s="18">
        <v>8</v>
      </c>
      <c r="X6" s="14">
        <v>9.8000000000000007</v>
      </c>
      <c r="Y6" s="84">
        <f t="shared" si="4"/>
        <v>9.2666666666666675</v>
      </c>
      <c r="Z6" s="137">
        <v>10</v>
      </c>
      <c r="AA6" s="18">
        <v>10</v>
      </c>
      <c r="AB6" s="14">
        <v>10</v>
      </c>
      <c r="AC6" s="84">
        <f t="shared" si="5"/>
        <v>10</v>
      </c>
      <c r="AD6" s="131">
        <v>9</v>
      </c>
      <c r="AE6" s="18">
        <v>8</v>
      </c>
      <c r="AF6" s="14">
        <v>10</v>
      </c>
      <c r="AG6" s="84">
        <f t="shared" si="6"/>
        <v>9</v>
      </c>
      <c r="AH6" s="137">
        <v>10</v>
      </c>
      <c r="AI6" s="18">
        <v>9</v>
      </c>
      <c r="AJ6" s="14">
        <v>10</v>
      </c>
      <c r="AK6" s="84">
        <f t="shared" si="7"/>
        <v>9.6666666666666661</v>
      </c>
      <c r="AL6" s="131">
        <v>8</v>
      </c>
      <c r="AM6" s="18">
        <v>8</v>
      </c>
      <c r="AN6" s="14">
        <v>10</v>
      </c>
      <c r="AO6" s="84">
        <f t="shared" si="8"/>
        <v>8.6666666666666661</v>
      </c>
      <c r="AP6" s="142">
        <v>8</v>
      </c>
      <c r="AQ6" s="207">
        <v>9</v>
      </c>
      <c r="AR6" s="19">
        <v>10</v>
      </c>
      <c r="AS6" s="84">
        <f t="shared" si="9"/>
        <v>9</v>
      </c>
      <c r="AT6" s="143">
        <v>10</v>
      </c>
      <c r="AU6" s="18">
        <v>8</v>
      </c>
      <c r="AV6" s="14">
        <v>10</v>
      </c>
      <c r="AW6" s="84">
        <f t="shared" si="10"/>
        <v>9.3333333333333339</v>
      </c>
      <c r="AX6" s="143">
        <v>9</v>
      </c>
      <c r="AY6" s="18">
        <v>9</v>
      </c>
      <c r="AZ6" s="14">
        <v>10</v>
      </c>
      <c r="BA6" s="84">
        <f t="shared" si="11"/>
        <v>9.3333333333333339</v>
      </c>
      <c r="BB6" s="131">
        <v>10</v>
      </c>
      <c r="BC6" s="18">
        <v>10</v>
      </c>
      <c r="BD6" s="14">
        <v>10</v>
      </c>
      <c r="BE6" s="84">
        <f t="shared" si="12"/>
        <v>10</v>
      </c>
      <c r="BF6" s="149">
        <v>10</v>
      </c>
      <c r="BG6" s="18">
        <v>10</v>
      </c>
      <c r="BH6" s="14">
        <v>10</v>
      </c>
      <c r="BI6" s="84">
        <f t="shared" si="13"/>
        <v>10</v>
      </c>
      <c r="BJ6" s="64">
        <f t="shared" si="14"/>
        <v>9.461904761904762</v>
      </c>
    </row>
    <row r="7" spans="1:62" ht="15.75" customHeight="1" x14ac:dyDescent="0.25">
      <c r="A7" s="1" t="s">
        <v>605</v>
      </c>
      <c r="B7" s="5" t="s">
        <v>606</v>
      </c>
      <c r="C7" s="24" t="s">
        <v>15</v>
      </c>
      <c r="D7" s="50">
        <v>1</v>
      </c>
      <c r="E7" s="50" t="s">
        <v>16</v>
      </c>
      <c r="F7" s="132">
        <v>8</v>
      </c>
      <c r="G7" s="14">
        <v>6</v>
      </c>
      <c r="H7" s="14">
        <v>10</v>
      </c>
      <c r="I7" s="84">
        <f t="shared" si="2"/>
        <v>8</v>
      </c>
      <c r="J7" s="130">
        <v>10</v>
      </c>
      <c r="K7" s="14">
        <v>10</v>
      </c>
      <c r="L7" s="14">
        <v>10</v>
      </c>
      <c r="M7" s="84">
        <f t="shared" si="0"/>
        <v>10</v>
      </c>
      <c r="N7" s="137">
        <v>9.6</v>
      </c>
      <c r="O7" s="18">
        <v>6</v>
      </c>
      <c r="P7" s="14">
        <v>10</v>
      </c>
      <c r="Q7" s="84">
        <f t="shared" si="1"/>
        <v>8.5333333333333332</v>
      </c>
      <c r="R7" s="137">
        <v>9.6</v>
      </c>
      <c r="S7" s="18">
        <v>6</v>
      </c>
      <c r="T7" s="14">
        <v>8.9</v>
      </c>
      <c r="U7" s="84">
        <f t="shared" si="3"/>
        <v>8.1666666666666661</v>
      </c>
      <c r="V7" s="137">
        <v>8</v>
      </c>
      <c r="W7" s="18">
        <v>8</v>
      </c>
      <c r="X7" s="14">
        <v>8.9</v>
      </c>
      <c r="Y7" s="84">
        <f t="shared" si="4"/>
        <v>8.2999999999999989</v>
      </c>
      <c r="Z7" s="137">
        <v>8</v>
      </c>
      <c r="AA7" s="18">
        <v>5.5</v>
      </c>
      <c r="AB7" s="15">
        <v>8</v>
      </c>
      <c r="AC7" s="84">
        <f t="shared" si="5"/>
        <v>7.166666666666667</v>
      </c>
      <c r="AD7" s="137">
        <v>10</v>
      </c>
      <c r="AE7" s="18">
        <v>9</v>
      </c>
      <c r="AF7" s="14">
        <v>10</v>
      </c>
      <c r="AG7" s="84">
        <f t="shared" si="6"/>
        <v>9.6666666666666661</v>
      </c>
      <c r="AH7" s="137">
        <v>10</v>
      </c>
      <c r="AI7" s="18">
        <v>8</v>
      </c>
      <c r="AJ7" s="14">
        <v>10</v>
      </c>
      <c r="AK7" s="84">
        <f t="shared" si="7"/>
        <v>9.3333333333333339</v>
      </c>
      <c r="AL7" s="137">
        <v>8</v>
      </c>
      <c r="AM7" s="18">
        <v>5</v>
      </c>
      <c r="AN7" s="14">
        <v>8</v>
      </c>
      <c r="AO7" s="84">
        <f t="shared" si="8"/>
        <v>7</v>
      </c>
      <c r="AP7" s="137">
        <v>8</v>
      </c>
      <c r="AQ7" s="18">
        <v>8</v>
      </c>
      <c r="AR7" s="14">
        <v>8</v>
      </c>
      <c r="AS7" s="84">
        <f t="shared" si="9"/>
        <v>8</v>
      </c>
      <c r="AT7" s="143">
        <v>10</v>
      </c>
      <c r="AU7" s="18">
        <v>10</v>
      </c>
      <c r="AV7" s="14">
        <v>10</v>
      </c>
      <c r="AW7" s="84">
        <f t="shared" si="10"/>
        <v>10</v>
      </c>
      <c r="AX7" s="144">
        <v>9</v>
      </c>
      <c r="AY7" s="209">
        <v>8</v>
      </c>
      <c r="AZ7" s="14">
        <v>10</v>
      </c>
      <c r="BA7" s="84">
        <f t="shared" si="11"/>
        <v>9</v>
      </c>
      <c r="BB7" s="137">
        <v>8</v>
      </c>
      <c r="BC7" s="18">
        <v>10</v>
      </c>
      <c r="BD7" s="14">
        <v>8</v>
      </c>
      <c r="BE7" s="84">
        <f t="shared" si="12"/>
        <v>8.6666666666666661</v>
      </c>
      <c r="BF7" s="149">
        <v>10</v>
      </c>
      <c r="BG7" s="18">
        <v>9</v>
      </c>
      <c r="BH7" s="14">
        <v>10</v>
      </c>
      <c r="BI7" s="84">
        <f t="shared" si="13"/>
        <v>9.6666666666666661</v>
      </c>
      <c r="BJ7" s="64">
        <f t="shared" si="14"/>
        <v>8.6785714285714288</v>
      </c>
    </row>
    <row r="8" spans="1:62" ht="15.75" customHeight="1" x14ac:dyDescent="0.25">
      <c r="A8" s="1" t="s">
        <v>561</v>
      </c>
      <c r="B8" s="5" t="s">
        <v>562</v>
      </c>
      <c r="C8" s="24" t="s">
        <v>15</v>
      </c>
      <c r="D8" s="50">
        <v>1</v>
      </c>
      <c r="E8" s="50" t="s">
        <v>16</v>
      </c>
      <c r="F8" s="132">
        <v>10</v>
      </c>
      <c r="G8" s="14">
        <v>6</v>
      </c>
      <c r="H8" s="14">
        <v>10</v>
      </c>
      <c r="I8" s="84">
        <f t="shared" si="2"/>
        <v>8.6666666666666661</v>
      </c>
      <c r="J8" s="130">
        <v>10</v>
      </c>
      <c r="K8" s="14">
        <v>10</v>
      </c>
      <c r="L8" s="14">
        <v>9</v>
      </c>
      <c r="M8" s="84">
        <f t="shared" si="0"/>
        <v>9.6666666666666661</v>
      </c>
      <c r="N8" s="137">
        <v>10</v>
      </c>
      <c r="O8" s="18">
        <v>9</v>
      </c>
      <c r="P8" s="14">
        <v>10</v>
      </c>
      <c r="Q8" s="84">
        <f t="shared" si="1"/>
        <v>9.6666666666666661</v>
      </c>
      <c r="R8" s="137">
        <v>10</v>
      </c>
      <c r="S8" s="18">
        <v>9</v>
      </c>
      <c r="T8" s="14">
        <v>8.5</v>
      </c>
      <c r="U8" s="84">
        <f t="shared" si="3"/>
        <v>9.1666666666666661</v>
      </c>
      <c r="V8" s="137">
        <v>8</v>
      </c>
      <c r="W8" s="18">
        <v>8.5</v>
      </c>
      <c r="X8" s="14">
        <v>9.8000000000000007</v>
      </c>
      <c r="Y8" s="84">
        <f t="shared" si="4"/>
        <v>8.7666666666666675</v>
      </c>
      <c r="Z8" s="137">
        <v>8</v>
      </c>
      <c r="AA8" s="18">
        <v>8</v>
      </c>
      <c r="AB8" s="14">
        <v>10</v>
      </c>
      <c r="AC8" s="84">
        <f t="shared" si="5"/>
        <v>8.6666666666666661</v>
      </c>
      <c r="AD8" s="137">
        <v>10</v>
      </c>
      <c r="AE8" s="18">
        <v>8</v>
      </c>
      <c r="AF8" s="14">
        <v>10</v>
      </c>
      <c r="AG8" s="84">
        <f t="shared" si="6"/>
        <v>9.3333333333333339</v>
      </c>
      <c r="AH8" s="137">
        <v>10</v>
      </c>
      <c r="AI8" s="18">
        <v>9</v>
      </c>
      <c r="AJ8" s="14">
        <v>10</v>
      </c>
      <c r="AK8" s="84">
        <f t="shared" si="7"/>
        <v>9.6666666666666661</v>
      </c>
      <c r="AL8" s="137">
        <v>8</v>
      </c>
      <c r="AM8" s="206">
        <v>8</v>
      </c>
      <c r="AN8" s="14">
        <v>8</v>
      </c>
      <c r="AO8" s="84">
        <f t="shared" si="8"/>
        <v>8</v>
      </c>
      <c r="AP8" s="137">
        <v>8</v>
      </c>
      <c r="AQ8" s="18">
        <v>9</v>
      </c>
      <c r="AR8" s="14">
        <v>10</v>
      </c>
      <c r="AS8" s="84">
        <f t="shared" si="9"/>
        <v>9</v>
      </c>
      <c r="AT8" s="143">
        <v>10</v>
      </c>
      <c r="AU8" s="18">
        <v>9</v>
      </c>
      <c r="AV8" s="14">
        <v>10</v>
      </c>
      <c r="AW8" s="84">
        <f t="shared" si="10"/>
        <v>9.6666666666666661</v>
      </c>
      <c r="AX8" s="144">
        <v>9</v>
      </c>
      <c r="AY8" s="209">
        <v>9</v>
      </c>
      <c r="AZ8" s="14">
        <v>10</v>
      </c>
      <c r="BA8" s="84">
        <f t="shared" si="11"/>
        <v>9.3333333333333339</v>
      </c>
      <c r="BB8" s="137">
        <v>8</v>
      </c>
      <c r="BC8" s="18">
        <v>10</v>
      </c>
      <c r="BD8" s="14">
        <v>10</v>
      </c>
      <c r="BE8" s="84">
        <f t="shared" si="12"/>
        <v>9.3333333333333339</v>
      </c>
      <c r="BF8" s="149">
        <v>10</v>
      </c>
      <c r="BG8" s="18">
        <v>10</v>
      </c>
      <c r="BH8" s="14">
        <v>10</v>
      </c>
      <c r="BI8" s="84">
        <f t="shared" si="13"/>
        <v>10</v>
      </c>
      <c r="BJ8" s="64">
        <f t="shared" si="14"/>
        <v>9.2095238095238106</v>
      </c>
    </row>
    <row r="9" spans="1:62" ht="15.75" customHeight="1" x14ac:dyDescent="0.25">
      <c r="A9" s="1" t="s">
        <v>571</v>
      </c>
      <c r="B9" s="5" t="s">
        <v>572</v>
      </c>
      <c r="C9" s="24" t="s">
        <v>15</v>
      </c>
      <c r="D9" s="50">
        <v>1</v>
      </c>
      <c r="E9" s="50" t="s">
        <v>16</v>
      </c>
      <c r="F9" s="134">
        <v>9</v>
      </c>
      <c r="G9" s="193">
        <v>9</v>
      </c>
      <c r="H9" s="19">
        <v>10</v>
      </c>
      <c r="I9" s="84">
        <f t="shared" si="2"/>
        <v>9.3333333333333339</v>
      </c>
      <c r="J9" s="130">
        <v>10</v>
      </c>
      <c r="K9" s="15">
        <v>8</v>
      </c>
      <c r="L9" s="14">
        <v>8</v>
      </c>
      <c r="M9" s="84">
        <f t="shared" si="0"/>
        <v>8.6666666666666661</v>
      </c>
      <c r="N9" s="137">
        <v>9.9</v>
      </c>
      <c r="O9" s="18">
        <v>9</v>
      </c>
      <c r="P9" s="14">
        <v>9.5</v>
      </c>
      <c r="Q9" s="84">
        <f t="shared" si="1"/>
        <v>9.4666666666666668</v>
      </c>
      <c r="R9" s="137">
        <v>9.9</v>
      </c>
      <c r="S9" s="18">
        <v>9</v>
      </c>
      <c r="T9" s="14">
        <v>8</v>
      </c>
      <c r="U9" s="84">
        <f t="shared" si="3"/>
        <v>8.9666666666666668</v>
      </c>
      <c r="V9" s="137">
        <v>10</v>
      </c>
      <c r="W9" s="18">
        <v>8.5</v>
      </c>
      <c r="X9" s="14">
        <v>8</v>
      </c>
      <c r="Y9" s="84">
        <f t="shared" si="4"/>
        <v>8.8333333333333339</v>
      </c>
      <c r="Z9" s="137">
        <v>10</v>
      </c>
      <c r="AA9" s="18">
        <v>9.1</v>
      </c>
      <c r="AB9" s="114">
        <v>7.5</v>
      </c>
      <c r="AC9" s="84">
        <f t="shared" si="5"/>
        <v>8.8666666666666671</v>
      </c>
      <c r="AD9" s="137">
        <v>9</v>
      </c>
      <c r="AE9" s="18">
        <v>10</v>
      </c>
      <c r="AF9" s="14">
        <v>10</v>
      </c>
      <c r="AG9" s="84">
        <f t="shared" si="6"/>
        <v>9.6666666666666661</v>
      </c>
      <c r="AH9" s="137">
        <v>10</v>
      </c>
      <c r="AI9" s="18">
        <v>8</v>
      </c>
      <c r="AJ9" s="14">
        <v>10</v>
      </c>
      <c r="AK9" s="84">
        <f t="shared" si="7"/>
        <v>9.3333333333333339</v>
      </c>
      <c r="AL9" s="137">
        <v>8</v>
      </c>
      <c r="AM9" s="18">
        <v>4</v>
      </c>
      <c r="AN9" s="14">
        <v>8</v>
      </c>
      <c r="AO9" s="84">
        <f t="shared" si="8"/>
        <v>6.666666666666667</v>
      </c>
      <c r="AP9" s="141">
        <v>8</v>
      </c>
      <c r="AQ9" s="207">
        <v>7</v>
      </c>
      <c r="AR9" s="19">
        <v>9</v>
      </c>
      <c r="AS9" s="84">
        <f t="shared" si="9"/>
        <v>8</v>
      </c>
      <c r="AT9" s="143">
        <v>10</v>
      </c>
      <c r="AU9" s="18">
        <v>8</v>
      </c>
      <c r="AV9" s="14">
        <v>10</v>
      </c>
      <c r="AW9" s="84">
        <f t="shared" si="10"/>
        <v>9.3333333333333339</v>
      </c>
      <c r="AX9" s="144">
        <v>9</v>
      </c>
      <c r="AY9" s="209">
        <v>9</v>
      </c>
      <c r="AZ9" s="14">
        <v>10</v>
      </c>
      <c r="BA9" s="84">
        <f t="shared" si="11"/>
        <v>9.3333333333333339</v>
      </c>
      <c r="BB9" s="137">
        <v>10</v>
      </c>
      <c r="BC9" s="18">
        <v>10</v>
      </c>
      <c r="BD9" s="14">
        <v>10</v>
      </c>
      <c r="BE9" s="84">
        <f t="shared" si="12"/>
        <v>10</v>
      </c>
      <c r="BF9" s="149">
        <v>10</v>
      </c>
      <c r="BG9" s="18">
        <v>10</v>
      </c>
      <c r="BH9" s="14">
        <v>10</v>
      </c>
      <c r="BI9" s="84">
        <f t="shared" si="13"/>
        <v>10</v>
      </c>
      <c r="BJ9" s="64">
        <f t="shared" si="14"/>
        <v>9.0333333333333332</v>
      </c>
    </row>
    <row r="10" spans="1:62" ht="15.75" customHeight="1" x14ac:dyDescent="0.25">
      <c r="A10" s="1" t="s">
        <v>579</v>
      </c>
      <c r="B10" s="5" t="s">
        <v>580</v>
      </c>
      <c r="C10" s="24" t="s">
        <v>15</v>
      </c>
      <c r="D10" s="50">
        <v>1</v>
      </c>
      <c r="E10" s="50" t="s">
        <v>16</v>
      </c>
      <c r="F10" s="132">
        <v>9</v>
      </c>
      <c r="G10" s="14">
        <v>8</v>
      </c>
      <c r="H10" s="14">
        <v>10</v>
      </c>
      <c r="I10" s="84">
        <f t="shared" si="2"/>
        <v>9</v>
      </c>
      <c r="J10" s="130">
        <v>10</v>
      </c>
      <c r="K10" s="14">
        <v>10</v>
      </c>
      <c r="L10" s="14">
        <v>10</v>
      </c>
      <c r="M10" s="84">
        <f t="shared" si="0"/>
        <v>10</v>
      </c>
      <c r="N10" s="137">
        <v>9.6</v>
      </c>
      <c r="O10" s="18">
        <v>9</v>
      </c>
      <c r="P10" s="14">
        <v>10</v>
      </c>
      <c r="Q10" s="84">
        <f t="shared" si="1"/>
        <v>9.5333333333333332</v>
      </c>
      <c r="R10" s="137">
        <v>9.6</v>
      </c>
      <c r="S10" s="18">
        <v>9</v>
      </c>
      <c r="T10" s="14">
        <v>8.5</v>
      </c>
      <c r="U10" s="84">
        <f t="shared" si="3"/>
        <v>9.0333333333333332</v>
      </c>
      <c r="V10" s="137">
        <v>10</v>
      </c>
      <c r="W10" s="18">
        <v>8.5</v>
      </c>
      <c r="X10" s="14">
        <v>8.6</v>
      </c>
      <c r="Y10" s="84">
        <f t="shared" si="4"/>
        <v>9.0333333333333332</v>
      </c>
      <c r="Z10" s="137">
        <v>10</v>
      </c>
      <c r="AA10" s="18">
        <v>9.5</v>
      </c>
      <c r="AB10" s="14">
        <v>10</v>
      </c>
      <c r="AC10" s="84">
        <f t="shared" si="5"/>
        <v>9.8333333333333339</v>
      </c>
      <c r="AD10" s="137">
        <v>9</v>
      </c>
      <c r="AE10" s="18">
        <v>10</v>
      </c>
      <c r="AF10" s="14">
        <v>10</v>
      </c>
      <c r="AG10" s="84">
        <f t="shared" si="6"/>
        <v>9.6666666666666661</v>
      </c>
      <c r="AH10" s="137">
        <v>10</v>
      </c>
      <c r="AI10" s="18">
        <v>10</v>
      </c>
      <c r="AJ10" s="14">
        <v>10</v>
      </c>
      <c r="AK10" s="84">
        <f t="shared" si="7"/>
        <v>10</v>
      </c>
      <c r="AL10" s="137">
        <v>9</v>
      </c>
      <c r="AM10" s="18">
        <v>10</v>
      </c>
      <c r="AN10" s="14">
        <v>10</v>
      </c>
      <c r="AO10" s="84">
        <f t="shared" si="8"/>
        <v>9.6666666666666661</v>
      </c>
      <c r="AP10" s="137">
        <v>10</v>
      </c>
      <c r="AQ10" s="18">
        <v>9</v>
      </c>
      <c r="AR10" s="14">
        <v>9</v>
      </c>
      <c r="AS10" s="84">
        <f t="shared" si="9"/>
        <v>9.3333333333333339</v>
      </c>
      <c r="AT10" s="143">
        <v>10</v>
      </c>
      <c r="AU10" s="18">
        <v>9</v>
      </c>
      <c r="AV10" s="14">
        <v>10</v>
      </c>
      <c r="AW10" s="84">
        <f t="shared" si="10"/>
        <v>9.6666666666666661</v>
      </c>
      <c r="AX10" s="144">
        <v>9</v>
      </c>
      <c r="AY10" s="209">
        <v>9</v>
      </c>
      <c r="AZ10" s="14">
        <v>10</v>
      </c>
      <c r="BA10" s="84">
        <f t="shared" si="11"/>
        <v>9.3333333333333339</v>
      </c>
      <c r="BB10" s="137">
        <v>10</v>
      </c>
      <c r="BC10" s="18">
        <v>10</v>
      </c>
      <c r="BD10" s="14">
        <v>10</v>
      </c>
      <c r="BE10" s="84">
        <f t="shared" si="12"/>
        <v>10</v>
      </c>
      <c r="BF10" s="149">
        <v>10</v>
      </c>
      <c r="BG10" s="18">
        <v>10</v>
      </c>
      <c r="BH10" s="14">
        <v>10</v>
      </c>
      <c r="BI10" s="84">
        <f t="shared" si="13"/>
        <v>10</v>
      </c>
      <c r="BJ10" s="64">
        <f t="shared" si="14"/>
        <v>9.5785714285714274</v>
      </c>
    </row>
    <row r="11" spans="1:62" ht="15.75" customHeight="1" x14ac:dyDescent="0.25">
      <c r="A11" s="1" t="s">
        <v>589</v>
      </c>
      <c r="B11" s="5" t="s">
        <v>590</v>
      </c>
      <c r="C11" s="24" t="s">
        <v>15</v>
      </c>
      <c r="D11" s="50">
        <v>1</v>
      </c>
      <c r="E11" s="50" t="s">
        <v>16</v>
      </c>
      <c r="F11" s="132">
        <v>8</v>
      </c>
      <c r="G11" s="14">
        <v>6</v>
      </c>
      <c r="H11" s="14">
        <v>10</v>
      </c>
      <c r="I11" s="84">
        <f t="shared" si="2"/>
        <v>8</v>
      </c>
      <c r="J11" s="130">
        <v>10</v>
      </c>
      <c r="K11" s="14">
        <v>9</v>
      </c>
      <c r="L11" s="14">
        <v>9</v>
      </c>
      <c r="M11" s="84">
        <f t="shared" si="0"/>
        <v>9.3333333333333339</v>
      </c>
      <c r="N11" s="137">
        <v>8.3000000000000007</v>
      </c>
      <c r="O11" s="18">
        <v>8</v>
      </c>
      <c r="P11" s="14">
        <v>9.5</v>
      </c>
      <c r="Q11" s="84">
        <f t="shared" si="1"/>
        <v>8.6</v>
      </c>
      <c r="R11" s="137">
        <v>8.3000000000000007</v>
      </c>
      <c r="S11" s="18">
        <v>8</v>
      </c>
      <c r="T11" s="14">
        <v>8</v>
      </c>
      <c r="U11" s="84">
        <f t="shared" si="3"/>
        <v>8.1</v>
      </c>
      <c r="V11" s="137">
        <v>10</v>
      </c>
      <c r="W11" s="18">
        <v>8.5</v>
      </c>
      <c r="X11" s="14">
        <v>8.4</v>
      </c>
      <c r="Y11" s="84">
        <f t="shared" si="4"/>
        <v>8.9666666666666668</v>
      </c>
      <c r="Z11" s="137">
        <v>10</v>
      </c>
      <c r="AA11" s="18">
        <v>9.6</v>
      </c>
      <c r="AB11" s="14">
        <v>8.3000000000000007</v>
      </c>
      <c r="AC11" s="84">
        <f t="shared" si="5"/>
        <v>9.3000000000000007</v>
      </c>
      <c r="AD11" s="137">
        <v>9</v>
      </c>
      <c r="AE11" s="18">
        <v>9</v>
      </c>
      <c r="AF11" s="14">
        <v>10</v>
      </c>
      <c r="AG11" s="84">
        <f t="shared" si="6"/>
        <v>9.3333333333333339</v>
      </c>
      <c r="AH11" s="137">
        <v>10</v>
      </c>
      <c r="AI11" s="18">
        <v>8</v>
      </c>
      <c r="AJ11" s="14">
        <v>9</v>
      </c>
      <c r="AK11" s="84">
        <f t="shared" si="7"/>
        <v>9</v>
      </c>
      <c r="AL11" s="137">
        <v>9</v>
      </c>
      <c r="AM11" s="18">
        <v>8</v>
      </c>
      <c r="AN11" s="14">
        <v>9</v>
      </c>
      <c r="AO11" s="84">
        <f t="shared" si="8"/>
        <v>8.6666666666666661</v>
      </c>
      <c r="AP11" s="137">
        <v>8</v>
      </c>
      <c r="AQ11" s="18">
        <v>6</v>
      </c>
      <c r="AR11" s="14">
        <v>10</v>
      </c>
      <c r="AS11" s="84">
        <f t="shared" si="9"/>
        <v>8</v>
      </c>
      <c r="AT11" s="143">
        <v>10</v>
      </c>
      <c r="AU11" s="18">
        <v>10</v>
      </c>
      <c r="AV11" s="14">
        <v>10</v>
      </c>
      <c r="AW11" s="84">
        <f t="shared" si="10"/>
        <v>10</v>
      </c>
      <c r="AX11" s="144">
        <v>9</v>
      </c>
      <c r="AY11" s="209">
        <v>8</v>
      </c>
      <c r="AZ11" s="14">
        <v>10</v>
      </c>
      <c r="BA11" s="84">
        <f t="shared" si="11"/>
        <v>9</v>
      </c>
      <c r="BB11" s="137">
        <v>9</v>
      </c>
      <c r="BC11" s="18">
        <v>8</v>
      </c>
      <c r="BD11" s="14">
        <v>8</v>
      </c>
      <c r="BE11" s="84">
        <f t="shared" si="12"/>
        <v>8.3333333333333339</v>
      </c>
      <c r="BF11" s="149">
        <v>10</v>
      </c>
      <c r="BG11" s="18">
        <v>10</v>
      </c>
      <c r="BH11" s="14">
        <v>10</v>
      </c>
      <c r="BI11" s="84">
        <f t="shared" si="13"/>
        <v>10</v>
      </c>
      <c r="BJ11" s="64">
        <f t="shared" si="14"/>
        <v>8.9023809523809536</v>
      </c>
    </row>
    <row r="12" spans="1:62" ht="15.75" customHeight="1" x14ac:dyDescent="0.25">
      <c r="A12" s="1" t="s">
        <v>573</v>
      </c>
      <c r="B12" s="5" t="s">
        <v>574</v>
      </c>
      <c r="C12" s="24" t="s">
        <v>15</v>
      </c>
      <c r="D12" s="50">
        <v>1</v>
      </c>
      <c r="E12" s="50" t="s">
        <v>16</v>
      </c>
      <c r="F12" s="135">
        <v>8</v>
      </c>
      <c r="G12" s="193">
        <v>8</v>
      </c>
      <c r="H12" s="19">
        <v>10</v>
      </c>
      <c r="I12" s="84">
        <f t="shared" si="2"/>
        <v>8.6666666666666661</v>
      </c>
      <c r="J12" s="130">
        <v>10</v>
      </c>
      <c r="K12" s="14">
        <v>9</v>
      </c>
      <c r="L12" s="14">
        <v>8</v>
      </c>
      <c r="M12" s="84">
        <f t="shared" si="0"/>
        <v>9</v>
      </c>
      <c r="N12" s="137">
        <v>9.9</v>
      </c>
      <c r="O12" s="18">
        <v>8</v>
      </c>
      <c r="P12" s="14">
        <v>10</v>
      </c>
      <c r="Q12" s="84">
        <f t="shared" si="1"/>
        <v>9.2999999999999989</v>
      </c>
      <c r="R12" s="137">
        <v>9.9</v>
      </c>
      <c r="S12" s="18">
        <v>8</v>
      </c>
      <c r="T12" s="14">
        <v>8</v>
      </c>
      <c r="U12" s="84">
        <f t="shared" si="3"/>
        <v>8.6333333333333329</v>
      </c>
      <c r="V12" s="137">
        <v>10</v>
      </c>
      <c r="W12" s="18">
        <v>8.5</v>
      </c>
      <c r="X12" s="14">
        <v>8.4</v>
      </c>
      <c r="Y12" s="84">
        <f t="shared" si="4"/>
        <v>8.9666666666666668</v>
      </c>
      <c r="Z12" s="137">
        <v>10</v>
      </c>
      <c r="AA12" s="18">
        <v>8.9</v>
      </c>
      <c r="AB12" s="15">
        <v>9</v>
      </c>
      <c r="AC12" s="84">
        <f t="shared" si="5"/>
        <v>9.2999999999999989</v>
      </c>
      <c r="AD12" s="137">
        <v>10</v>
      </c>
      <c r="AE12" s="18">
        <v>9</v>
      </c>
      <c r="AF12" s="14">
        <v>10</v>
      </c>
      <c r="AG12" s="84">
        <f t="shared" si="6"/>
        <v>9.6666666666666661</v>
      </c>
      <c r="AH12" s="137">
        <v>10</v>
      </c>
      <c r="AI12" s="18">
        <v>8</v>
      </c>
      <c r="AJ12" s="14">
        <v>9</v>
      </c>
      <c r="AK12" s="84">
        <f t="shared" si="7"/>
        <v>9</v>
      </c>
      <c r="AL12" s="137">
        <v>8</v>
      </c>
      <c r="AM12" s="18">
        <v>6</v>
      </c>
      <c r="AN12" s="14">
        <v>9</v>
      </c>
      <c r="AO12" s="84">
        <f t="shared" si="8"/>
        <v>7.666666666666667</v>
      </c>
      <c r="AP12" s="137">
        <v>8</v>
      </c>
      <c r="AQ12" s="18">
        <v>7</v>
      </c>
      <c r="AR12" s="14">
        <v>8</v>
      </c>
      <c r="AS12" s="84">
        <f t="shared" si="9"/>
        <v>7.666666666666667</v>
      </c>
      <c r="AT12" s="143">
        <v>10</v>
      </c>
      <c r="AU12" s="18">
        <v>9</v>
      </c>
      <c r="AV12" s="14">
        <v>10</v>
      </c>
      <c r="AW12" s="84">
        <f t="shared" si="10"/>
        <v>9.6666666666666661</v>
      </c>
      <c r="AX12" s="144">
        <v>9</v>
      </c>
      <c r="AY12" s="209">
        <v>8</v>
      </c>
      <c r="AZ12" s="14">
        <v>10</v>
      </c>
      <c r="BA12" s="84">
        <f t="shared" si="11"/>
        <v>9</v>
      </c>
      <c r="BB12" s="137">
        <v>9</v>
      </c>
      <c r="BC12" s="18">
        <v>10</v>
      </c>
      <c r="BD12" s="14">
        <v>8</v>
      </c>
      <c r="BE12" s="84">
        <f t="shared" si="12"/>
        <v>9</v>
      </c>
      <c r="BF12" s="149">
        <v>10</v>
      </c>
      <c r="BG12" s="18">
        <v>8</v>
      </c>
      <c r="BH12" s="14">
        <v>10</v>
      </c>
      <c r="BI12" s="84">
        <f t="shared" si="13"/>
        <v>9.3333333333333339</v>
      </c>
      <c r="BJ12" s="64">
        <f t="shared" si="14"/>
        <v>8.9190476190476193</v>
      </c>
    </row>
    <row r="13" spans="1:62" ht="15.75" customHeight="1" x14ac:dyDescent="0.25">
      <c r="A13" s="1" t="s">
        <v>549</v>
      </c>
      <c r="B13" s="8" t="s">
        <v>550</v>
      </c>
      <c r="C13" s="24" t="s">
        <v>15</v>
      </c>
      <c r="D13" s="50">
        <v>1</v>
      </c>
      <c r="E13" s="50" t="s">
        <v>16</v>
      </c>
      <c r="F13" s="134">
        <v>10</v>
      </c>
      <c r="G13" s="19">
        <v>8</v>
      </c>
      <c r="H13" s="19">
        <v>10</v>
      </c>
      <c r="I13" s="84">
        <f t="shared" si="2"/>
        <v>9.3333333333333339</v>
      </c>
      <c r="J13" s="130">
        <v>10</v>
      </c>
      <c r="K13" s="14">
        <v>10</v>
      </c>
      <c r="L13" s="14">
        <v>10</v>
      </c>
      <c r="M13" s="84">
        <f t="shared" si="0"/>
        <v>10</v>
      </c>
      <c r="N13" s="137">
        <v>9.9</v>
      </c>
      <c r="O13" s="18">
        <v>10</v>
      </c>
      <c r="P13" s="14">
        <v>10</v>
      </c>
      <c r="Q13" s="84">
        <f t="shared" si="1"/>
        <v>9.9666666666666668</v>
      </c>
      <c r="R13" s="137">
        <v>9.9</v>
      </c>
      <c r="S13" s="18">
        <v>9</v>
      </c>
      <c r="T13" s="14">
        <v>8.5</v>
      </c>
      <c r="U13" s="84">
        <f t="shared" si="3"/>
        <v>9.1333333333333329</v>
      </c>
      <c r="V13" s="137">
        <v>10</v>
      </c>
      <c r="W13" s="18">
        <v>8.5</v>
      </c>
      <c r="X13" s="14">
        <v>8.9</v>
      </c>
      <c r="Y13" s="84">
        <f t="shared" si="4"/>
        <v>9.1333333333333329</v>
      </c>
      <c r="Z13" s="137">
        <v>10</v>
      </c>
      <c r="AA13" s="18">
        <v>10</v>
      </c>
      <c r="AB13" s="14">
        <v>9.8000000000000007</v>
      </c>
      <c r="AC13" s="84">
        <f t="shared" si="5"/>
        <v>9.9333333333333336</v>
      </c>
      <c r="AD13" s="137">
        <v>10</v>
      </c>
      <c r="AE13" s="18">
        <v>10</v>
      </c>
      <c r="AF13" s="14">
        <v>10</v>
      </c>
      <c r="AG13" s="84">
        <f t="shared" si="6"/>
        <v>10</v>
      </c>
      <c r="AH13" s="137">
        <v>10</v>
      </c>
      <c r="AI13" s="18">
        <v>10</v>
      </c>
      <c r="AJ13" s="14">
        <v>10</v>
      </c>
      <c r="AK13" s="84">
        <f t="shared" si="7"/>
        <v>10</v>
      </c>
      <c r="AL13" s="137">
        <v>9</v>
      </c>
      <c r="AM13" s="18">
        <v>9</v>
      </c>
      <c r="AN13" s="14">
        <v>10</v>
      </c>
      <c r="AO13" s="84">
        <f t="shared" si="8"/>
        <v>9.3333333333333339</v>
      </c>
      <c r="AP13" s="137">
        <v>10</v>
      </c>
      <c r="AQ13" s="18">
        <v>8</v>
      </c>
      <c r="AR13" s="14">
        <v>9</v>
      </c>
      <c r="AS13" s="84">
        <f t="shared" si="9"/>
        <v>9</v>
      </c>
      <c r="AT13" s="143">
        <v>10</v>
      </c>
      <c r="AU13" s="18">
        <v>10</v>
      </c>
      <c r="AV13" s="14">
        <v>10</v>
      </c>
      <c r="AW13" s="84">
        <f t="shared" si="10"/>
        <v>10</v>
      </c>
      <c r="AX13" s="144">
        <v>9</v>
      </c>
      <c r="AY13" s="209">
        <v>9</v>
      </c>
      <c r="AZ13" s="14">
        <v>10</v>
      </c>
      <c r="BA13" s="84">
        <f t="shared" si="11"/>
        <v>9.3333333333333339</v>
      </c>
      <c r="BB13" s="137">
        <v>10</v>
      </c>
      <c r="BC13" s="18">
        <v>10</v>
      </c>
      <c r="BD13" s="14">
        <v>10</v>
      </c>
      <c r="BE13" s="84">
        <f t="shared" si="12"/>
        <v>10</v>
      </c>
      <c r="BF13" s="149">
        <v>10</v>
      </c>
      <c r="BG13" s="18">
        <v>10</v>
      </c>
      <c r="BH13" s="14">
        <v>10</v>
      </c>
      <c r="BI13" s="84">
        <f t="shared" si="13"/>
        <v>10</v>
      </c>
      <c r="BJ13" s="64">
        <f t="shared" si="14"/>
        <v>9.6547619047619033</v>
      </c>
    </row>
    <row r="14" spans="1:62" ht="15.75" customHeight="1" x14ac:dyDescent="0.25">
      <c r="A14" s="1" t="s">
        <v>597</v>
      </c>
      <c r="B14" s="5" t="s">
        <v>598</v>
      </c>
      <c r="C14" s="24" t="s">
        <v>15</v>
      </c>
      <c r="D14" s="50">
        <v>1</v>
      </c>
      <c r="E14" s="50" t="s">
        <v>16</v>
      </c>
      <c r="F14" s="132">
        <v>8</v>
      </c>
      <c r="G14" s="14">
        <v>9</v>
      </c>
      <c r="H14" s="14">
        <v>10</v>
      </c>
      <c r="I14" s="84">
        <f t="shared" si="2"/>
        <v>9</v>
      </c>
      <c r="J14" s="130">
        <v>10</v>
      </c>
      <c r="K14" s="14">
        <v>10</v>
      </c>
      <c r="L14" s="14">
        <v>9</v>
      </c>
      <c r="M14" s="84">
        <f t="shared" si="0"/>
        <v>9.6666666666666661</v>
      </c>
      <c r="N14" s="131">
        <v>9</v>
      </c>
      <c r="O14" s="18">
        <v>10</v>
      </c>
      <c r="P14" s="14">
        <v>10</v>
      </c>
      <c r="Q14" s="84">
        <f t="shared" si="1"/>
        <v>9.6666666666666661</v>
      </c>
      <c r="R14" s="131">
        <v>9</v>
      </c>
      <c r="S14" s="18">
        <v>9</v>
      </c>
      <c r="T14" s="14">
        <v>8.5</v>
      </c>
      <c r="U14" s="84">
        <f t="shared" si="3"/>
        <v>8.8333333333333339</v>
      </c>
      <c r="V14" s="131">
        <v>8</v>
      </c>
      <c r="W14" s="18">
        <v>9.1999999999999993</v>
      </c>
      <c r="X14" s="14">
        <v>9</v>
      </c>
      <c r="Y14" s="84">
        <f t="shared" si="4"/>
        <v>8.7333333333333325</v>
      </c>
      <c r="Z14" s="131">
        <v>8</v>
      </c>
      <c r="AA14" s="18">
        <v>10</v>
      </c>
      <c r="AB14" s="14">
        <v>9.8000000000000007</v>
      </c>
      <c r="AC14" s="84">
        <f t="shared" si="5"/>
        <v>9.2666666666666675</v>
      </c>
      <c r="AD14" s="131">
        <v>9</v>
      </c>
      <c r="AE14" s="18">
        <v>10</v>
      </c>
      <c r="AF14" s="14">
        <v>10</v>
      </c>
      <c r="AG14" s="84">
        <f t="shared" si="6"/>
        <v>9.6666666666666661</v>
      </c>
      <c r="AH14" s="137">
        <v>10</v>
      </c>
      <c r="AI14" s="18">
        <v>10</v>
      </c>
      <c r="AJ14" s="14">
        <v>10</v>
      </c>
      <c r="AK14" s="84">
        <f t="shared" si="7"/>
        <v>10</v>
      </c>
      <c r="AL14" s="137">
        <v>9</v>
      </c>
      <c r="AM14" s="18">
        <v>9</v>
      </c>
      <c r="AN14" s="14">
        <v>10</v>
      </c>
      <c r="AO14" s="84">
        <f t="shared" si="8"/>
        <v>9.3333333333333339</v>
      </c>
      <c r="AP14" s="133">
        <v>10</v>
      </c>
      <c r="AQ14" s="18">
        <v>9</v>
      </c>
      <c r="AR14" s="14">
        <v>9</v>
      </c>
      <c r="AS14" s="84">
        <f t="shared" si="9"/>
        <v>9.3333333333333339</v>
      </c>
      <c r="AT14" s="143">
        <v>10</v>
      </c>
      <c r="AU14" s="18">
        <v>8</v>
      </c>
      <c r="AV14" s="14">
        <v>10</v>
      </c>
      <c r="AW14" s="84">
        <f t="shared" si="10"/>
        <v>9.3333333333333339</v>
      </c>
      <c r="AX14" s="145">
        <v>9</v>
      </c>
      <c r="AY14" s="210">
        <v>9</v>
      </c>
      <c r="AZ14" s="14">
        <v>10</v>
      </c>
      <c r="BA14" s="84">
        <f t="shared" si="11"/>
        <v>9.3333333333333339</v>
      </c>
      <c r="BB14" s="41">
        <v>9</v>
      </c>
      <c r="BC14" s="18">
        <v>10</v>
      </c>
      <c r="BD14" s="14">
        <v>8</v>
      </c>
      <c r="BE14" s="84">
        <f t="shared" si="12"/>
        <v>9</v>
      </c>
      <c r="BF14" s="41">
        <v>10</v>
      </c>
      <c r="BG14" s="18">
        <v>10</v>
      </c>
      <c r="BH14" s="14">
        <v>10</v>
      </c>
      <c r="BI14" s="84">
        <f t="shared" si="13"/>
        <v>10</v>
      </c>
      <c r="BJ14" s="64">
        <f t="shared" si="14"/>
        <v>9.3690476190476168</v>
      </c>
    </row>
    <row r="15" spans="1:62" ht="15.75" customHeight="1" x14ac:dyDescent="0.25">
      <c r="A15" s="1" t="s">
        <v>593</v>
      </c>
      <c r="B15" s="5" t="s">
        <v>594</v>
      </c>
      <c r="C15" s="24" t="s">
        <v>15</v>
      </c>
      <c r="D15" s="50">
        <v>1</v>
      </c>
      <c r="E15" s="50" t="s">
        <v>16</v>
      </c>
      <c r="F15" s="132">
        <v>7</v>
      </c>
      <c r="G15" s="15">
        <v>8</v>
      </c>
      <c r="H15" s="14">
        <v>10</v>
      </c>
      <c r="I15" s="84">
        <f t="shared" si="2"/>
        <v>8.3333333333333339</v>
      </c>
      <c r="J15" s="131">
        <v>8</v>
      </c>
      <c r="K15" s="14">
        <v>10</v>
      </c>
      <c r="L15" s="14">
        <v>10</v>
      </c>
      <c r="M15" s="84">
        <f t="shared" si="0"/>
        <v>9.3333333333333339</v>
      </c>
      <c r="N15" s="137">
        <v>8</v>
      </c>
      <c r="O15" s="18">
        <v>8</v>
      </c>
      <c r="P15" s="14">
        <v>10</v>
      </c>
      <c r="Q15" s="84">
        <f t="shared" si="1"/>
        <v>8.6666666666666661</v>
      </c>
      <c r="R15" s="137">
        <v>8</v>
      </c>
      <c r="S15" s="18">
        <v>8</v>
      </c>
      <c r="T15" s="14">
        <v>8</v>
      </c>
      <c r="U15" s="84">
        <f t="shared" si="3"/>
        <v>8</v>
      </c>
      <c r="V15" s="137">
        <v>8</v>
      </c>
      <c r="W15" s="18">
        <v>9.5</v>
      </c>
      <c r="X15" s="14">
        <v>8</v>
      </c>
      <c r="Y15" s="84">
        <f t="shared" si="4"/>
        <v>8.5</v>
      </c>
      <c r="Z15" s="137">
        <v>8</v>
      </c>
      <c r="AA15" s="18">
        <v>7.3</v>
      </c>
      <c r="AB15" s="14">
        <v>8.3000000000000007</v>
      </c>
      <c r="AC15" s="84">
        <f t="shared" si="5"/>
        <v>7.8666666666666671</v>
      </c>
      <c r="AD15" s="137">
        <v>8</v>
      </c>
      <c r="AE15" s="18">
        <v>9</v>
      </c>
      <c r="AF15" s="14">
        <v>10</v>
      </c>
      <c r="AG15" s="84">
        <f t="shared" si="6"/>
        <v>9</v>
      </c>
      <c r="AH15" s="139">
        <v>8</v>
      </c>
      <c r="AI15" s="18">
        <v>8</v>
      </c>
      <c r="AJ15" s="14">
        <v>10</v>
      </c>
      <c r="AK15" s="84">
        <f t="shared" si="7"/>
        <v>8.6666666666666661</v>
      </c>
      <c r="AL15" s="140">
        <v>8</v>
      </c>
      <c r="AM15" s="207">
        <v>3</v>
      </c>
      <c r="AN15" s="19">
        <v>8</v>
      </c>
      <c r="AO15" s="84">
        <f t="shared" si="8"/>
        <v>6.333333333333333</v>
      </c>
      <c r="AP15" s="140">
        <v>8</v>
      </c>
      <c r="AQ15" s="18">
        <v>8</v>
      </c>
      <c r="AR15" s="14">
        <v>9</v>
      </c>
      <c r="AS15" s="84">
        <f t="shared" si="9"/>
        <v>8.3333333333333339</v>
      </c>
      <c r="AT15" s="140">
        <v>8</v>
      </c>
      <c r="AU15" s="18">
        <v>9</v>
      </c>
      <c r="AV15" s="14">
        <v>10</v>
      </c>
      <c r="AW15" s="84">
        <f t="shared" si="10"/>
        <v>9</v>
      </c>
      <c r="AX15" s="146">
        <v>8</v>
      </c>
      <c r="AY15" s="210">
        <v>9</v>
      </c>
      <c r="AZ15" s="14">
        <v>10</v>
      </c>
      <c r="BA15" s="84">
        <f t="shared" si="11"/>
        <v>9</v>
      </c>
      <c r="BB15" s="148">
        <v>8</v>
      </c>
      <c r="BC15" s="18">
        <v>9</v>
      </c>
      <c r="BD15" s="14">
        <v>8</v>
      </c>
      <c r="BE15" s="84">
        <f t="shared" si="12"/>
        <v>8.3333333333333339</v>
      </c>
      <c r="BF15" s="148">
        <v>8</v>
      </c>
      <c r="BG15" s="18">
        <v>10</v>
      </c>
      <c r="BH15" s="14">
        <v>10</v>
      </c>
      <c r="BI15" s="84">
        <f t="shared" si="13"/>
        <v>9.3333333333333339</v>
      </c>
      <c r="BJ15" s="64">
        <f t="shared" si="14"/>
        <v>8.4785714285714278</v>
      </c>
    </row>
    <row r="16" spans="1:62" ht="15.75" customHeight="1" x14ac:dyDescent="0.25">
      <c r="A16" s="1" t="s">
        <v>599</v>
      </c>
      <c r="B16" s="5" t="s">
        <v>600</v>
      </c>
      <c r="C16" s="24" t="s">
        <v>15</v>
      </c>
      <c r="D16" s="50">
        <v>1</v>
      </c>
      <c r="E16" s="50" t="s">
        <v>16</v>
      </c>
      <c r="F16" s="132">
        <v>9</v>
      </c>
      <c r="G16" s="14">
        <v>8</v>
      </c>
      <c r="H16" s="14">
        <v>10</v>
      </c>
      <c r="I16" s="84">
        <f t="shared" si="2"/>
        <v>9</v>
      </c>
      <c r="J16" s="130">
        <v>10</v>
      </c>
      <c r="K16" s="14">
        <v>9</v>
      </c>
      <c r="L16" s="14">
        <v>9</v>
      </c>
      <c r="M16" s="84">
        <f t="shared" si="0"/>
        <v>9.3333333333333339</v>
      </c>
      <c r="N16" s="131">
        <v>9.9</v>
      </c>
      <c r="O16" s="18">
        <v>10</v>
      </c>
      <c r="P16" s="14">
        <v>10</v>
      </c>
      <c r="Q16" s="84">
        <f t="shared" si="1"/>
        <v>9.9666666666666668</v>
      </c>
      <c r="R16" s="131">
        <v>9.9</v>
      </c>
      <c r="S16" s="18">
        <v>8</v>
      </c>
      <c r="T16" s="14">
        <v>8.5</v>
      </c>
      <c r="U16" s="84">
        <f t="shared" si="3"/>
        <v>8.7999999999999989</v>
      </c>
      <c r="V16" s="131">
        <v>10</v>
      </c>
      <c r="W16" s="18">
        <v>8</v>
      </c>
      <c r="X16" s="14">
        <v>8.9</v>
      </c>
      <c r="Y16" s="84">
        <f t="shared" si="4"/>
        <v>8.9666666666666668</v>
      </c>
      <c r="Z16" s="131">
        <v>10</v>
      </c>
      <c r="AA16" s="18">
        <v>9.8000000000000007</v>
      </c>
      <c r="AB16" s="14">
        <v>8.5</v>
      </c>
      <c r="AC16" s="84">
        <f t="shared" si="5"/>
        <v>9.4333333333333336</v>
      </c>
      <c r="AD16" s="131">
        <v>10</v>
      </c>
      <c r="AE16" s="18">
        <v>10</v>
      </c>
      <c r="AF16" s="14">
        <v>10</v>
      </c>
      <c r="AG16" s="84">
        <f t="shared" si="6"/>
        <v>10</v>
      </c>
      <c r="AH16" s="137">
        <v>10</v>
      </c>
      <c r="AI16" s="18">
        <v>10</v>
      </c>
      <c r="AJ16" s="14">
        <v>10</v>
      </c>
      <c r="AK16" s="84">
        <f t="shared" si="7"/>
        <v>10</v>
      </c>
      <c r="AL16" s="137">
        <v>8</v>
      </c>
      <c r="AM16" s="18">
        <v>7</v>
      </c>
      <c r="AN16" s="14">
        <v>10</v>
      </c>
      <c r="AO16" s="84">
        <f t="shared" si="8"/>
        <v>8.3333333333333339</v>
      </c>
      <c r="AP16" s="137">
        <v>8.5</v>
      </c>
      <c r="AQ16" s="207">
        <v>10</v>
      </c>
      <c r="AR16" s="19">
        <v>10</v>
      </c>
      <c r="AS16" s="84">
        <f t="shared" si="9"/>
        <v>9.5</v>
      </c>
      <c r="AT16" s="143">
        <v>10</v>
      </c>
      <c r="AU16" s="18">
        <v>9</v>
      </c>
      <c r="AV16" s="14">
        <v>10</v>
      </c>
      <c r="AW16" s="84">
        <f t="shared" si="10"/>
        <v>9.6666666666666661</v>
      </c>
      <c r="AX16" s="147">
        <v>9</v>
      </c>
      <c r="AY16" s="211">
        <v>9</v>
      </c>
      <c r="AZ16" s="14">
        <v>10</v>
      </c>
      <c r="BA16" s="84">
        <f t="shared" si="11"/>
        <v>9.3333333333333339</v>
      </c>
      <c r="BB16" s="41">
        <v>9</v>
      </c>
      <c r="BC16" s="18">
        <v>10</v>
      </c>
      <c r="BD16" s="14">
        <v>8</v>
      </c>
      <c r="BE16" s="84">
        <f t="shared" si="12"/>
        <v>9</v>
      </c>
      <c r="BF16" s="149">
        <v>10</v>
      </c>
      <c r="BG16" s="18">
        <v>9</v>
      </c>
      <c r="BH16" s="14">
        <v>10</v>
      </c>
      <c r="BI16" s="84">
        <f t="shared" si="13"/>
        <v>9.6666666666666661</v>
      </c>
      <c r="BJ16" s="64">
        <f t="shared" si="14"/>
        <v>9.3571428571428577</v>
      </c>
    </row>
    <row r="17" spans="1:62" ht="15.75" customHeight="1" x14ac:dyDescent="0.25">
      <c r="A17" s="1" t="s">
        <v>585</v>
      </c>
      <c r="B17" s="5" t="s">
        <v>586</v>
      </c>
      <c r="C17" s="24" t="s">
        <v>15</v>
      </c>
      <c r="D17" s="50">
        <v>1</v>
      </c>
      <c r="E17" s="50" t="s">
        <v>16</v>
      </c>
      <c r="F17" s="136">
        <v>8</v>
      </c>
      <c r="G17" s="14">
        <v>6</v>
      </c>
      <c r="H17" s="14">
        <v>10</v>
      </c>
      <c r="I17" s="84">
        <f t="shared" si="2"/>
        <v>8</v>
      </c>
      <c r="J17" s="130">
        <v>10</v>
      </c>
      <c r="K17" s="14">
        <v>10</v>
      </c>
      <c r="L17" s="14">
        <v>10</v>
      </c>
      <c r="M17" s="84">
        <f t="shared" si="0"/>
        <v>10</v>
      </c>
      <c r="N17" s="131">
        <v>10</v>
      </c>
      <c r="O17" s="18">
        <v>8</v>
      </c>
      <c r="P17" s="14">
        <v>9</v>
      </c>
      <c r="Q17" s="84">
        <f t="shared" si="1"/>
        <v>9</v>
      </c>
      <c r="R17" s="131">
        <v>10</v>
      </c>
      <c r="S17" s="18">
        <v>8</v>
      </c>
      <c r="T17" s="18">
        <v>8</v>
      </c>
      <c r="U17" s="84">
        <f t="shared" si="3"/>
        <v>8.6666666666666661</v>
      </c>
      <c r="V17" s="131">
        <v>8</v>
      </c>
      <c r="W17" s="18">
        <v>8</v>
      </c>
      <c r="X17" s="14">
        <v>8.9</v>
      </c>
      <c r="Y17" s="84">
        <f t="shared" si="4"/>
        <v>8.2999999999999989</v>
      </c>
      <c r="Z17" s="131">
        <v>8</v>
      </c>
      <c r="AA17" s="18">
        <v>7.5</v>
      </c>
      <c r="AB17" s="114">
        <v>7.5</v>
      </c>
      <c r="AC17" s="84">
        <f t="shared" si="5"/>
        <v>7.666666666666667</v>
      </c>
      <c r="AD17" s="131">
        <v>10</v>
      </c>
      <c r="AE17" s="18">
        <v>8</v>
      </c>
      <c r="AF17" s="14">
        <v>10</v>
      </c>
      <c r="AG17" s="84">
        <f t="shared" si="6"/>
        <v>9.3333333333333339</v>
      </c>
      <c r="AH17" s="137">
        <v>10</v>
      </c>
      <c r="AI17" s="18">
        <v>8</v>
      </c>
      <c r="AJ17" s="18">
        <v>9</v>
      </c>
      <c r="AK17" s="84">
        <f t="shared" si="7"/>
        <v>9</v>
      </c>
      <c r="AL17" s="133">
        <v>8</v>
      </c>
      <c r="AM17" s="18">
        <v>4</v>
      </c>
      <c r="AN17" s="18">
        <v>8</v>
      </c>
      <c r="AO17" s="84">
        <f t="shared" si="8"/>
        <v>6.666666666666667</v>
      </c>
      <c r="AP17" s="137">
        <v>8</v>
      </c>
      <c r="AQ17" s="208" t="s">
        <v>894</v>
      </c>
      <c r="AR17" s="18">
        <v>8</v>
      </c>
      <c r="AS17" s="84">
        <f t="shared" si="9"/>
        <v>8</v>
      </c>
      <c r="AT17" s="143">
        <v>10</v>
      </c>
      <c r="AU17" s="18">
        <v>8</v>
      </c>
      <c r="AV17" s="14">
        <v>10</v>
      </c>
      <c r="AW17" s="84">
        <f t="shared" si="10"/>
        <v>9.3333333333333339</v>
      </c>
      <c r="AX17" s="147">
        <v>9</v>
      </c>
      <c r="AY17" s="211">
        <v>9</v>
      </c>
      <c r="AZ17" s="14">
        <v>10</v>
      </c>
      <c r="BA17" s="84">
        <f t="shared" si="11"/>
        <v>9.3333333333333339</v>
      </c>
      <c r="BB17" s="41">
        <v>9</v>
      </c>
      <c r="BC17" s="18">
        <v>8</v>
      </c>
      <c r="BD17" s="18">
        <v>8</v>
      </c>
      <c r="BE17" s="84">
        <f t="shared" si="12"/>
        <v>8.3333333333333339</v>
      </c>
      <c r="BF17" s="149">
        <v>10</v>
      </c>
      <c r="BG17" s="18">
        <v>10</v>
      </c>
      <c r="BH17" s="14">
        <v>10</v>
      </c>
      <c r="BI17" s="84">
        <f t="shared" si="13"/>
        <v>10</v>
      </c>
      <c r="BJ17" s="64">
        <f t="shared" si="14"/>
        <v>8.6880952380952383</v>
      </c>
    </row>
    <row r="18" spans="1:62" s="87" customFormat="1" ht="15.75" customHeight="1" x14ac:dyDescent="0.25">
      <c r="A18" s="85" t="s">
        <v>575</v>
      </c>
      <c r="B18" s="86" t="s">
        <v>576</v>
      </c>
      <c r="C18" s="100" t="s">
        <v>15</v>
      </c>
      <c r="D18" s="101">
        <v>1</v>
      </c>
      <c r="E18" s="126" t="s">
        <v>41</v>
      </c>
      <c r="F18" s="150">
        <v>9</v>
      </c>
      <c r="G18" s="19">
        <v>8</v>
      </c>
      <c r="H18" s="124">
        <v>10</v>
      </c>
      <c r="I18" s="103">
        <f t="shared" si="2"/>
        <v>9</v>
      </c>
      <c r="J18" s="130">
        <v>10</v>
      </c>
      <c r="K18" s="19">
        <v>10</v>
      </c>
      <c r="L18" s="138">
        <v>10</v>
      </c>
      <c r="M18" s="103">
        <f t="shared" si="0"/>
        <v>10</v>
      </c>
      <c r="N18" s="131">
        <v>9.5</v>
      </c>
      <c r="O18" s="18">
        <v>10</v>
      </c>
      <c r="P18" s="124">
        <v>10</v>
      </c>
      <c r="Q18" s="103">
        <f t="shared" si="1"/>
        <v>9.8333333333333339</v>
      </c>
      <c r="R18" s="131">
        <v>9.5</v>
      </c>
      <c r="S18" s="18">
        <v>10</v>
      </c>
      <c r="T18" s="124">
        <v>9.4</v>
      </c>
      <c r="U18" s="103">
        <f t="shared" si="3"/>
        <v>9.6333333333333329</v>
      </c>
      <c r="V18" s="151">
        <v>10</v>
      </c>
      <c r="W18" s="18">
        <v>9.6999999999999993</v>
      </c>
      <c r="X18" s="124">
        <v>9</v>
      </c>
      <c r="Y18" s="103">
        <f t="shared" si="4"/>
        <v>9.5666666666666664</v>
      </c>
      <c r="Z18" s="151">
        <v>10</v>
      </c>
      <c r="AA18" s="18">
        <v>9.8000000000000007</v>
      </c>
      <c r="AB18" s="124">
        <v>10</v>
      </c>
      <c r="AC18" s="103">
        <f t="shared" si="5"/>
        <v>9.9333333333333336</v>
      </c>
      <c r="AD18" s="151">
        <v>10</v>
      </c>
      <c r="AE18" s="18">
        <v>10</v>
      </c>
      <c r="AF18" s="124">
        <v>10</v>
      </c>
      <c r="AG18" s="103">
        <f t="shared" si="6"/>
        <v>10</v>
      </c>
      <c r="AH18" s="151">
        <v>10</v>
      </c>
      <c r="AI18" s="18">
        <v>10</v>
      </c>
      <c r="AJ18" s="124">
        <v>10</v>
      </c>
      <c r="AK18" s="103">
        <f t="shared" si="7"/>
        <v>10</v>
      </c>
      <c r="AL18" s="151">
        <v>9</v>
      </c>
      <c r="AM18" s="18">
        <v>9</v>
      </c>
      <c r="AN18" s="124">
        <v>10</v>
      </c>
      <c r="AO18" s="103">
        <f t="shared" si="8"/>
        <v>9.3333333333333339</v>
      </c>
      <c r="AP18" s="151">
        <v>8.5</v>
      </c>
      <c r="AQ18" s="18">
        <v>8</v>
      </c>
      <c r="AR18" s="124">
        <v>10</v>
      </c>
      <c r="AS18" s="103">
        <f t="shared" si="9"/>
        <v>8.8333333333333339</v>
      </c>
      <c r="AT18" s="143">
        <v>10</v>
      </c>
      <c r="AU18" s="18">
        <v>9</v>
      </c>
      <c r="AV18" s="124">
        <v>9.8000000000000007</v>
      </c>
      <c r="AW18" s="103">
        <f t="shared" si="10"/>
        <v>9.6</v>
      </c>
      <c r="AX18" s="155">
        <v>9</v>
      </c>
      <c r="AY18" s="18">
        <v>9</v>
      </c>
      <c r="AZ18" s="124">
        <v>9.8000000000000007</v>
      </c>
      <c r="BA18" s="103">
        <f t="shared" si="11"/>
        <v>9.2666666666666675</v>
      </c>
      <c r="BB18" s="151">
        <v>10</v>
      </c>
      <c r="BC18" s="18">
        <v>10</v>
      </c>
      <c r="BD18" s="124">
        <v>10</v>
      </c>
      <c r="BE18" s="103">
        <f t="shared" si="12"/>
        <v>10</v>
      </c>
      <c r="BF18" s="156">
        <v>10</v>
      </c>
      <c r="BG18" s="18">
        <v>9</v>
      </c>
      <c r="BH18" s="124">
        <v>9.8000000000000007</v>
      </c>
      <c r="BI18" s="103">
        <f t="shared" si="13"/>
        <v>9.6</v>
      </c>
      <c r="BJ18" s="64">
        <f t="shared" si="14"/>
        <v>9.6142857142857139</v>
      </c>
    </row>
    <row r="19" spans="1:62" ht="15.75" customHeight="1" x14ac:dyDescent="0.25">
      <c r="A19" s="1" t="s">
        <v>557</v>
      </c>
      <c r="B19" s="8" t="s">
        <v>558</v>
      </c>
      <c r="C19" s="24" t="s">
        <v>15</v>
      </c>
      <c r="D19" s="50">
        <v>1</v>
      </c>
      <c r="E19" s="107" t="s">
        <v>41</v>
      </c>
      <c r="F19" s="151">
        <v>9</v>
      </c>
      <c r="G19" s="14">
        <v>8</v>
      </c>
      <c r="H19" s="14">
        <v>10</v>
      </c>
      <c r="I19" s="84">
        <f t="shared" si="2"/>
        <v>9</v>
      </c>
      <c r="J19" s="130">
        <v>10</v>
      </c>
      <c r="K19" s="19">
        <v>10</v>
      </c>
      <c r="L19" s="19">
        <v>10</v>
      </c>
      <c r="M19" s="84">
        <f t="shared" si="0"/>
        <v>10</v>
      </c>
      <c r="N19" s="131">
        <v>9.6</v>
      </c>
      <c r="O19" s="18">
        <v>10</v>
      </c>
      <c r="P19" s="14">
        <v>10</v>
      </c>
      <c r="Q19" s="84">
        <f t="shared" si="1"/>
        <v>9.8666666666666671</v>
      </c>
      <c r="R19" s="131">
        <v>9.6</v>
      </c>
      <c r="S19" s="18">
        <v>10</v>
      </c>
      <c r="T19" s="14">
        <v>8.8000000000000007</v>
      </c>
      <c r="U19" s="84">
        <f t="shared" si="3"/>
        <v>9.4666666666666668</v>
      </c>
      <c r="V19" s="151">
        <v>10</v>
      </c>
      <c r="W19" s="18">
        <v>8</v>
      </c>
      <c r="X19" s="14">
        <v>9.8000000000000007</v>
      </c>
      <c r="Y19" s="84">
        <f t="shared" si="4"/>
        <v>9.2666666666666675</v>
      </c>
      <c r="Z19" s="151">
        <v>10</v>
      </c>
      <c r="AA19" s="18">
        <v>10</v>
      </c>
      <c r="AB19" s="14">
        <v>10</v>
      </c>
      <c r="AC19" s="84">
        <f t="shared" si="5"/>
        <v>10</v>
      </c>
      <c r="AD19" s="151">
        <v>8</v>
      </c>
      <c r="AE19" s="18">
        <v>9</v>
      </c>
      <c r="AF19" s="14">
        <v>10</v>
      </c>
      <c r="AG19" s="84">
        <f t="shared" si="6"/>
        <v>9</v>
      </c>
      <c r="AH19" s="151">
        <v>10</v>
      </c>
      <c r="AI19" s="18">
        <v>9</v>
      </c>
      <c r="AJ19" s="14">
        <v>10</v>
      </c>
      <c r="AK19" s="84">
        <f t="shared" si="7"/>
        <v>9.6666666666666661</v>
      </c>
      <c r="AL19" s="151">
        <v>8</v>
      </c>
      <c r="AM19" s="18">
        <v>8</v>
      </c>
      <c r="AN19" s="14">
        <v>10</v>
      </c>
      <c r="AO19" s="84">
        <f t="shared" si="8"/>
        <v>8.6666666666666661</v>
      </c>
      <c r="AP19" s="151">
        <v>8</v>
      </c>
      <c r="AQ19" s="18">
        <v>8</v>
      </c>
      <c r="AR19" s="14">
        <v>10</v>
      </c>
      <c r="AS19" s="84">
        <f t="shared" si="9"/>
        <v>8.6666666666666661</v>
      </c>
      <c r="AT19" s="143">
        <v>10</v>
      </c>
      <c r="AU19" s="18">
        <v>9</v>
      </c>
      <c r="AV19" s="14">
        <v>9.8000000000000007</v>
      </c>
      <c r="AW19" s="84">
        <f t="shared" si="10"/>
        <v>9.6</v>
      </c>
      <c r="AX19" s="155">
        <v>9</v>
      </c>
      <c r="AY19" s="18">
        <v>9</v>
      </c>
      <c r="AZ19" s="14">
        <v>9.8000000000000007</v>
      </c>
      <c r="BA19" s="84">
        <f t="shared" si="11"/>
        <v>9.2666666666666675</v>
      </c>
      <c r="BB19" s="151">
        <v>10</v>
      </c>
      <c r="BC19" s="18">
        <v>10</v>
      </c>
      <c r="BD19" s="14">
        <v>10</v>
      </c>
      <c r="BE19" s="84">
        <f t="shared" si="12"/>
        <v>10</v>
      </c>
      <c r="BF19" s="156">
        <v>10</v>
      </c>
      <c r="BG19" s="18">
        <v>10</v>
      </c>
      <c r="BH19" s="14">
        <v>9.8000000000000007</v>
      </c>
      <c r="BI19" s="84">
        <f t="shared" si="13"/>
        <v>9.9333333333333336</v>
      </c>
      <c r="BJ19" s="64">
        <f t="shared" si="14"/>
        <v>9.4571428571428573</v>
      </c>
    </row>
    <row r="20" spans="1:62" ht="15.75" customHeight="1" x14ac:dyDescent="0.25">
      <c r="A20" s="1" t="s">
        <v>569</v>
      </c>
      <c r="B20" s="5" t="s">
        <v>570</v>
      </c>
      <c r="C20" s="24" t="s">
        <v>15</v>
      </c>
      <c r="D20" s="50">
        <v>1</v>
      </c>
      <c r="E20" s="107" t="s">
        <v>41</v>
      </c>
      <c r="F20" s="151">
        <v>8</v>
      </c>
      <c r="G20" s="14">
        <v>8</v>
      </c>
      <c r="H20" s="14">
        <v>10</v>
      </c>
      <c r="I20" s="84">
        <f t="shared" si="2"/>
        <v>8.6666666666666661</v>
      </c>
      <c r="J20" s="130">
        <v>10</v>
      </c>
      <c r="K20" s="19">
        <v>10</v>
      </c>
      <c r="L20" s="19">
        <v>10</v>
      </c>
      <c r="M20" s="84">
        <f t="shared" si="0"/>
        <v>10</v>
      </c>
      <c r="N20" s="131">
        <v>9.8000000000000007</v>
      </c>
      <c r="O20" s="18">
        <v>10</v>
      </c>
      <c r="P20" s="14">
        <v>9.9</v>
      </c>
      <c r="Q20" s="84">
        <f t="shared" si="1"/>
        <v>9.9</v>
      </c>
      <c r="R20" s="131">
        <v>9.8000000000000007</v>
      </c>
      <c r="S20" s="18">
        <v>9</v>
      </c>
      <c r="T20" s="14">
        <v>8.5</v>
      </c>
      <c r="U20" s="84">
        <f t="shared" si="3"/>
        <v>9.1</v>
      </c>
      <c r="V20" s="151">
        <v>10</v>
      </c>
      <c r="W20" s="18">
        <v>9</v>
      </c>
      <c r="X20" s="14">
        <v>9</v>
      </c>
      <c r="Y20" s="84">
        <f t="shared" si="4"/>
        <v>9.3333333333333339</v>
      </c>
      <c r="Z20" s="151">
        <v>10</v>
      </c>
      <c r="AA20" s="18">
        <v>10</v>
      </c>
      <c r="AB20" s="14">
        <v>10</v>
      </c>
      <c r="AC20" s="84">
        <f t="shared" si="5"/>
        <v>10</v>
      </c>
      <c r="AD20" s="151">
        <v>9</v>
      </c>
      <c r="AE20" s="18">
        <v>9</v>
      </c>
      <c r="AF20" s="14">
        <v>10</v>
      </c>
      <c r="AG20" s="84">
        <f t="shared" si="6"/>
        <v>9.3333333333333339</v>
      </c>
      <c r="AH20" s="151">
        <v>10</v>
      </c>
      <c r="AI20" s="18">
        <v>10</v>
      </c>
      <c r="AJ20" s="14">
        <v>9</v>
      </c>
      <c r="AK20" s="84">
        <f t="shared" si="7"/>
        <v>9.6666666666666661</v>
      </c>
      <c r="AL20" s="151">
        <v>9</v>
      </c>
      <c r="AM20" s="18">
        <v>9</v>
      </c>
      <c r="AN20" s="14">
        <v>8</v>
      </c>
      <c r="AO20" s="84">
        <f t="shared" si="8"/>
        <v>8.6666666666666661</v>
      </c>
      <c r="AP20" s="151">
        <v>8.5</v>
      </c>
      <c r="AQ20" s="18">
        <v>8</v>
      </c>
      <c r="AR20" s="14">
        <v>9</v>
      </c>
      <c r="AS20" s="84">
        <f t="shared" si="9"/>
        <v>8.5</v>
      </c>
      <c r="AT20" s="143">
        <v>10</v>
      </c>
      <c r="AU20" s="18">
        <v>9</v>
      </c>
      <c r="AV20" s="14">
        <v>9.8000000000000007</v>
      </c>
      <c r="AW20" s="84">
        <f t="shared" si="10"/>
        <v>9.6</v>
      </c>
      <c r="AX20" s="155">
        <v>10</v>
      </c>
      <c r="AY20" s="18">
        <v>9</v>
      </c>
      <c r="AZ20" s="14">
        <v>9.8000000000000007</v>
      </c>
      <c r="BA20" s="84">
        <f t="shared" si="11"/>
        <v>9.6</v>
      </c>
      <c r="BB20" s="151">
        <v>8</v>
      </c>
      <c r="BC20" s="18">
        <v>10</v>
      </c>
      <c r="BD20" s="14">
        <v>10</v>
      </c>
      <c r="BE20" s="84">
        <f t="shared" si="12"/>
        <v>9.3333333333333339</v>
      </c>
      <c r="BF20" s="156">
        <v>10</v>
      </c>
      <c r="BG20" s="18">
        <v>10</v>
      </c>
      <c r="BH20" s="14">
        <v>9.8000000000000007</v>
      </c>
      <c r="BI20" s="84">
        <f t="shared" si="13"/>
        <v>9.9333333333333336</v>
      </c>
      <c r="BJ20" s="64">
        <f t="shared" si="14"/>
        <v>9.4023809523809518</v>
      </c>
    </row>
    <row r="21" spans="1:62" ht="15.75" customHeight="1" x14ac:dyDescent="0.25">
      <c r="A21" s="1" t="s">
        <v>583</v>
      </c>
      <c r="B21" s="5" t="s">
        <v>584</v>
      </c>
      <c r="C21" s="24" t="s">
        <v>15</v>
      </c>
      <c r="D21" s="50">
        <v>1</v>
      </c>
      <c r="E21" s="107" t="s">
        <v>41</v>
      </c>
      <c r="F21" s="150">
        <v>9</v>
      </c>
      <c r="G21" s="19">
        <v>8</v>
      </c>
      <c r="H21" s="14">
        <v>10</v>
      </c>
      <c r="I21" s="84">
        <f t="shared" si="2"/>
        <v>9</v>
      </c>
      <c r="J21" s="130">
        <v>10</v>
      </c>
      <c r="K21" s="19">
        <v>10</v>
      </c>
      <c r="L21" s="19">
        <v>10</v>
      </c>
      <c r="M21" s="84">
        <f t="shared" si="0"/>
        <v>10</v>
      </c>
      <c r="N21" s="131">
        <v>10</v>
      </c>
      <c r="O21" s="18">
        <v>10</v>
      </c>
      <c r="P21" s="14">
        <v>10</v>
      </c>
      <c r="Q21" s="84">
        <f t="shared" si="1"/>
        <v>10</v>
      </c>
      <c r="R21" s="131">
        <v>10</v>
      </c>
      <c r="S21" s="18">
        <v>9</v>
      </c>
      <c r="T21" s="14">
        <v>8.3000000000000007</v>
      </c>
      <c r="U21" s="84">
        <f t="shared" si="3"/>
        <v>9.1</v>
      </c>
      <c r="V21" s="151">
        <v>10</v>
      </c>
      <c r="W21" s="18">
        <v>9.5</v>
      </c>
      <c r="X21" s="14">
        <v>9.8000000000000007</v>
      </c>
      <c r="Y21" s="84">
        <f t="shared" si="4"/>
        <v>9.7666666666666675</v>
      </c>
      <c r="Z21" s="151">
        <v>10</v>
      </c>
      <c r="AA21" s="18">
        <v>9.8000000000000007</v>
      </c>
      <c r="AB21" s="14">
        <v>10</v>
      </c>
      <c r="AC21" s="84">
        <f t="shared" si="5"/>
        <v>9.9333333333333336</v>
      </c>
      <c r="AD21" s="151">
        <v>9</v>
      </c>
      <c r="AE21" s="18">
        <v>10</v>
      </c>
      <c r="AF21" s="14">
        <v>10</v>
      </c>
      <c r="AG21" s="84">
        <f t="shared" si="6"/>
        <v>9.6666666666666661</v>
      </c>
      <c r="AH21" s="151">
        <v>10</v>
      </c>
      <c r="AI21" s="18">
        <v>10</v>
      </c>
      <c r="AJ21" s="14">
        <v>10</v>
      </c>
      <c r="AK21" s="84">
        <f t="shared" si="7"/>
        <v>10</v>
      </c>
      <c r="AL21" s="151">
        <v>9</v>
      </c>
      <c r="AM21" s="18">
        <v>9</v>
      </c>
      <c r="AN21" s="14">
        <v>10</v>
      </c>
      <c r="AO21" s="84">
        <f t="shared" si="8"/>
        <v>9.3333333333333339</v>
      </c>
      <c r="AP21" s="151">
        <v>8.5</v>
      </c>
      <c r="AQ21" s="18">
        <v>8</v>
      </c>
      <c r="AR21" s="14">
        <v>10</v>
      </c>
      <c r="AS21" s="84">
        <f t="shared" si="9"/>
        <v>8.8333333333333339</v>
      </c>
      <c r="AT21" s="143">
        <v>10</v>
      </c>
      <c r="AU21" s="18">
        <v>9</v>
      </c>
      <c r="AV21" s="14">
        <v>9.8000000000000007</v>
      </c>
      <c r="AW21" s="84">
        <f t="shared" si="10"/>
        <v>9.6</v>
      </c>
      <c r="AX21" s="155">
        <v>10</v>
      </c>
      <c r="AY21" s="18">
        <v>9</v>
      </c>
      <c r="AZ21" s="14">
        <v>9.8000000000000007</v>
      </c>
      <c r="BA21" s="84">
        <f t="shared" si="11"/>
        <v>9.6</v>
      </c>
      <c r="BB21" s="151">
        <v>10</v>
      </c>
      <c r="BC21" s="18">
        <v>10</v>
      </c>
      <c r="BD21" s="14">
        <v>10</v>
      </c>
      <c r="BE21" s="84">
        <f t="shared" si="12"/>
        <v>10</v>
      </c>
      <c r="BF21" s="156">
        <v>10</v>
      </c>
      <c r="BG21" s="18">
        <v>10</v>
      </c>
      <c r="BH21" s="14">
        <v>9.8000000000000007</v>
      </c>
      <c r="BI21" s="84">
        <f t="shared" si="13"/>
        <v>9.9333333333333336</v>
      </c>
      <c r="BJ21" s="64">
        <f t="shared" si="14"/>
        <v>9.6261904761904749</v>
      </c>
    </row>
    <row r="22" spans="1:62" ht="15.75" customHeight="1" x14ac:dyDescent="0.25">
      <c r="A22" s="1" t="s">
        <v>591</v>
      </c>
      <c r="B22" s="5" t="s">
        <v>592</v>
      </c>
      <c r="C22" s="24" t="s">
        <v>15</v>
      </c>
      <c r="D22" s="50">
        <v>1</v>
      </c>
      <c r="E22" s="107" t="s">
        <v>41</v>
      </c>
      <c r="F22" s="131">
        <v>8</v>
      </c>
      <c r="G22" s="129">
        <v>6</v>
      </c>
      <c r="H22" s="14">
        <v>10</v>
      </c>
      <c r="I22" s="84">
        <f t="shared" si="2"/>
        <v>8</v>
      </c>
      <c r="J22" s="130">
        <v>10</v>
      </c>
      <c r="K22" s="20">
        <v>10</v>
      </c>
      <c r="L22" s="32">
        <v>10</v>
      </c>
      <c r="M22" s="84">
        <f t="shared" si="0"/>
        <v>10</v>
      </c>
      <c r="N22" s="131">
        <v>9.6</v>
      </c>
      <c r="O22" s="212">
        <v>10</v>
      </c>
      <c r="P22" s="14">
        <v>9.9</v>
      </c>
      <c r="Q22" s="84">
        <f t="shared" si="1"/>
        <v>9.8333333333333339</v>
      </c>
      <c r="R22" s="131">
        <v>9.6</v>
      </c>
      <c r="S22" s="212">
        <v>9</v>
      </c>
      <c r="T22" s="14">
        <v>8</v>
      </c>
      <c r="U22" s="84">
        <f t="shared" si="3"/>
        <v>8.8666666666666671</v>
      </c>
      <c r="V22" s="131">
        <v>9</v>
      </c>
      <c r="W22" s="213">
        <v>8.5</v>
      </c>
      <c r="X22" s="127">
        <v>8.9</v>
      </c>
      <c r="Y22" s="84">
        <f t="shared" si="4"/>
        <v>8.7999999999999989</v>
      </c>
      <c r="Z22" s="131">
        <v>9</v>
      </c>
      <c r="AA22" s="213">
        <v>9.6</v>
      </c>
      <c r="AB22" s="14">
        <v>8.8000000000000007</v>
      </c>
      <c r="AC22" s="84">
        <f t="shared" si="5"/>
        <v>9.1333333333333346</v>
      </c>
      <c r="AD22" s="131">
        <v>8</v>
      </c>
      <c r="AE22" s="213">
        <v>9</v>
      </c>
      <c r="AF22" s="14">
        <v>10</v>
      </c>
      <c r="AG22" s="84">
        <f t="shared" si="6"/>
        <v>9</v>
      </c>
      <c r="AH22" s="151">
        <v>10</v>
      </c>
      <c r="AI22" s="212">
        <v>9</v>
      </c>
      <c r="AJ22" s="14">
        <v>10</v>
      </c>
      <c r="AK22" s="84">
        <f t="shared" si="7"/>
        <v>9.6666666666666661</v>
      </c>
      <c r="AL22" s="131">
        <v>9</v>
      </c>
      <c r="AM22" s="213">
        <v>9</v>
      </c>
      <c r="AN22" s="127">
        <v>10</v>
      </c>
      <c r="AO22" s="84">
        <f t="shared" si="8"/>
        <v>9.3333333333333339</v>
      </c>
      <c r="AP22" s="154">
        <v>8</v>
      </c>
      <c r="AQ22" s="213">
        <v>7</v>
      </c>
      <c r="AR22" s="127">
        <v>9</v>
      </c>
      <c r="AS22" s="84">
        <f t="shared" si="9"/>
        <v>8</v>
      </c>
      <c r="AT22" s="143">
        <v>10</v>
      </c>
      <c r="AU22" s="212">
        <v>9</v>
      </c>
      <c r="AV22" s="14">
        <v>9.8000000000000007</v>
      </c>
      <c r="AW22" s="84">
        <f t="shared" si="10"/>
        <v>9.6</v>
      </c>
      <c r="AX22" s="143">
        <v>10</v>
      </c>
      <c r="AY22" s="213">
        <v>9</v>
      </c>
      <c r="AZ22" s="14">
        <v>9.8000000000000007</v>
      </c>
      <c r="BA22" s="84">
        <f t="shared" si="11"/>
        <v>9.6</v>
      </c>
      <c r="BB22" s="131">
        <v>8</v>
      </c>
      <c r="BC22" s="213">
        <v>9</v>
      </c>
      <c r="BD22" s="127">
        <v>9</v>
      </c>
      <c r="BE22" s="84">
        <f t="shared" si="12"/>
        <v>8.6666666666666661</v>
      </c>
      <c r="BF22" s="156">
        <v>10</v>
      </c>
      <c r="BG22" s="212">
        <v>10</v>
      </c>
      <c r="BH22" s="14">
        <v>9.8000000000000007</v>
      </c>
      <c r="BI22" s="84">
        <f t="shared" si="13"/>
        <v>9.9333333333333336</v>
      </c>
      <c r="BJ22" s="64">
        <f t="shared" si="14"/>
        <v>9.1738095238095223</v>
      </c>
    </row>
    <row r="23" spans="1:62" ht="15.75" customHeight="1" x14ac:dyDescent="0.25">
      <c r="A23" s="1" t="s">
        <v>553</v>
      </c>
      <c r="B23" s="5" t="s">
        <v>554</v>
      </c>
      <c r="C23" s="24" t="s">
        <v>15</v>
      </c>
      <c r="D23" s="50">
        <v>1</v>
      </c>
      <c r="E23" s="107" t="s">
        <v>41</v>
      </c>
      <c r="F23" s="142">
        <v>8</v>
      </c>
      <c r="G23" s="14">
        <v>8</v>
      </c>
      <c r="H23" s="14">
        <v>10</v>
      </c>
      <c r="I23" s="108">
        <f t="shared" si="2"/>
        <v>8.6666666666666661</v>
      </c>
      <c r="J23" s="130">
        <v>10</v>
      </c>
      <c r="K23" s="19">
        <v>10</v>
      </c>
      <c r="L23" s="19">
        <v>10</v>
      </c>
      <c r="M23" s="108">
        <f t="shared" si="0"/>
        <v>10</v>
      </c>
      <c r="N23" s="131">
        <v>9.5</v>
      </c>
      <c r="O23" s="18">
        <v>10</v>
      </c>
      <c r="P23" s="14">
        <v>9.5</v>
      </c>
      <c r="Q23" s="108">
        <f t="shared" si="1"/>
        <v>9.6666666666666661</v>
      </c>
      <c r="R23" s="131">
        <v>9.5</v>
      </c>
      <c r="S23" s="18">
        <v>9</v>
      </c>
      <c r="T23" s="14">
        <v>8</v>
      </c>
      <c r="U23" s="108">
        <f t="shared" si="3"/>
        <v>8.8333333333333339</v>
      </c>
      <c r="V23" s="131">
        <v>9</v>
      </c>
      <c r="W23" s="18">
        <v>8.5</v>
      </c>
      <c r="X23" s="14">
        <v>9</v>
      </c>
      <c r="Y23" s="108">
        <f t="shared" si="4"/>
        <v>8.8333333333333339</v>
      </c>
      <c r="Z23" s="131">
        <v>9</v>
      </c>
      <c r="AA23" s="18">
        <v>9.3000000000000007</v>
      </c>
      <c r="AB23" s="14">
        <v>10</v>
      </c>
      <c r="AC23" s="108">
        <f t="shared" si="5"/>
        <v>9.4333333333333336</v>
      </c>
      <c r="AD23" s="131">
        <v>10</v>
      </c>
      <c r="AE23" s="18">
        <v>9</v>
      </c>
      <c r="AF23" s="14">
        <v>10</v>
      </c>
      <c r="AG23" s="108">
        <f t="shared" si="6"/>
        <v>9.6666666666666661</v>
      </c>
      <c r="AH23" s="151">
        <v>10</v>
      </c>
      <c r="AI23" s="18">
        <v>10</v>
      </c>
      <c r="AJ23" s="14">
        <v>10</v>
      </c>
      <c r="AK23" s="108">
        <f t="shared" si="7"/>
        <v>10</v>
      </c>
      <c r="AL23" s="131">
        <v>8</v>
      </c>
      <c r="AM23" s="18">
        <v>9</v>
      </c>
      <c r="AN23" s="14">
        <v>10</v>
      </c>
      <c r="AO23" s="108">
        <f t="shared" si="8"/>
        <v>9</v>
      </c>
      <c r="AP23" s="154">
        <v>8</v>
      </c>
      <c r="AQ23" s="207">
        <v>10</v>
      </c>
      <c r="AR23" s="19">
        <v>10</v>
      </c>
      <c r="AS23" s="108">
        <f t="shared" si="9"/>
        <v>9.3333333333333339</v>
      </c>
      <c r="AT23" s="143">
        <v>10</v>
      </c>
      <c r="AU23" s="18">
        <v>9</v>
      </c>
      <c r="AV23" s="14">
        <v>9.8000000000000007</v>
      </c>
      <c r="AW23" s="108">
        <f t="shared" si="10"/>
        <v>9.6</v>
      </c>
      <c r="AX23" s="143">
        <v>9</v>
      </c>
      <c r="AY23" s="18">
        <v>9</v>
      </c>
      <c r="AZ23" s="14">
        <v>9.8000000000000007</v>
      </c>
      <c r="BA23" s="108">
        <f t="shared" si="11"/>
        <v>9.2666666666666675</v>
      </c>
      <c r="BB23" s="131">
        <v>8</v>
      </c>
      <c r="BC23" s="18">
        <v>9</v>
      </c>
      <c r="BD23" s="14">
        <v>9</v>
      </c>
      <c r="BE23" s="108">
        <f t="shared" si="12"/>
        <v>8.6666666666666661</v>
      </c>
      <c r="BF23" s="156">
        <v>10</v>
      </c>
      <c r="BG23" s="18">
        <v>10</v>
      </c>
      <c r="BH23" s="14">
        <v>9.8000000000000007</v>
      </c>
      <c r="BI23" s="108">
        <f t="shared" si="13"/>
        <v>9.9333333333333336</v>
      </c>
      <c r="BJ23" s="64">
        <f t="shared" si="14"/>
        <v>9.35</v>
      </c>
    </row>
    <row r="24" spans="1:62" ht="15.75" customHeight="1" x14ac:dyDescent="0.25">
      <c r="A24" s="1" t="s">
        <v>559</v>
      </c>
      <c r="B24" s="8" t="s">
        <v>560</v>
      </c>
      <c r="C24" s="24" t="s">
        <v>15</v>
      </c>
      <c r="D24" s="50">
        <v>1</v>
      </c>
      <c r="E24" s="107" t="s">
        <v>41</v>
      </c>
      <c r="F24" s="142">
        <v>10</v>
      </c>
      <c r="G24" s="19">
        <v>8</v>
      </c>
      <c r="H24" s="14">
        <v>10</v>
      </c>
      <c r="I24" s="84">
        <f t="shared" si="2"/>
        <v>9.3333333333333339</v>
      </c>
      <c r="J24" s="130">
        <v>10</v>
      </c>
      <c r="K24" s="19">
        <v>10</v>
      </c>
      <c r="L24" s="19">
        <v>10</v>
      </c>
      <c r="M24" s="84">
        <f t="shared" ref="M24:M33" si="15">AVERAGE(J24:L24)</f>
        <v>10</v>
      </c>
      <c r="N24" s="131">
        <v>9.1</v>
      </c>
      <c r="O24" s="18">
        <v>10</v>
      </c>
      <c r="P24" s="14">
        <v>10</v>
      </c>
      <c r="Q24" s="84">
        <f t="shared" ref="Q24:Q33" si="16">AVERAGE(N24:P24)</f>
        <v>9.7000000000000011</v>
      </c>
      <c r="R24" s="131">
        <v>9.1</v>
      </c>
      <c r="S24" s="18">
        <v>9</v>
      </c>
      <c r="T24" s="14">
        <v>9</v>
      </c>
      <c r="U24" s="84">
        <f t="shared" si="3"/>
        <v>9.0333333333333332</v>
      </c>
      <c r="V24" s="131">
        <v>10</v>
      </c>
      <c r="W24" s="18">
        <v>8.5</v>
      </c>
      <c r="X24" s="14">
        <v>8.6</v>
      </c>
      <c r="Y24" s="84">
        <f t="shared" si="4"/>
        <v>9.0333333333333332</v>
      </c>
      <c r="Z24" s="131">
        <v>10</v>
      </c>
      <c r="AA24" s="18">
        <v>9.3000000000000007</v>
      </c>
      <c r="AB24" s="14">
        <v>9.1</v>
      </c>
      <c r="AC24" s="84">
        <f t="shared" si="5"/>
        <v>9.4666666666666668</v>
      </c>
      <c r="AD24" s="131">
        <v>10</v>
      </c>
      <c r="AE24" s="18">
        <v>9</v>
      </c>
      <c r="AF24" s="14">
        <v>10</v>
      </c>
      <c r="AG24" s="84">
        <f t="shared" si="6"/>
        <v>9.6666666666666661</v>
      </c>
      <c r="AH24" s="151">
        <v>10</v>
      </c>
      <c r="AI24" s="18">
        <v>9</v>
      </c>
      <c r="AJ24" s="14">
        <v>10</v>
      </c>
      <c r="AK24" s="84">
        <f t="shared" si="7"/>
        <v>9.6666666666666661</v>
      </c>
      <c r="AL24" s="131">
        <v>8</v>
      </c>
      <c r="AM24" s="18">
        <v>8</v>
      </c>
      <c r="AN24" s="14">
        <v>10</v>
      </c>
      <c r="AO24" s="84">
        <f t="shared" si="8"/>
        <v>8.6666666666666661</v>
      </c>
      <c r="AP24" s="131">
        <v>10</v>
      </c>
      <c r="AQ24" s="207">
        <v>8</v>
      </c>
      <c r="AR24" s="19">
        <v>10</v>
      </c>
      <c r="AS24" s="84">
        <f t="shared" si="9"/>
        <v>9.3333333333333339</v>
      </c>
      <c r="AT24" s="143">
        <v>10</v>
      </c>
      <c r="AU24" s="18">
        <v>9</v>
      </c>
      <c r="AV24" s="14">
        <v>9.8000000000000007</v>
      </c>
      <c r="AW24" s="84">
        <f t="shared" si="10"/>
        <v>9.6</v>
      </c>
      <c r="AX24" s="143">
        <v>9</v>
      </c>
      <c r="AY24" s="18">
        <v>8</v>
      </c>
      <c r="AZ24" s="14">
        <v>9.8000000000000007</v>
      </c>
      <c r="BA24" s="84">
        <f t="shared" si="11"/>
        <v>8.9333333333333336</v>
      </c>
      <c r="BB24" s="131">
        <v>8</v>
      </c>
      <c r="BC24" s="18">
        <v>10</v>
      </c>
      <c r="BD24" s="14">
        <v>9</v>
      </c>
      <c r="BE24" s="84">
        <f t="shared" si="12"/>
        <v>9</v>
      </c>
      <c r="BF24" s="156">
        <v>10</v>
      </c>
      <c r="BG24" s="18">
        <v>10</v>
      </c>
      <c r="BH24" s="14">
        <v>9.8000000000000007</v>
      </c>
      <c r="BI24" s="84">
        <f t="shared" si="13"/>
        <v>9.9333333333333336</v>
      </c>
      <c r="BJ24" s="64">
        <f t="shared" si="14"/>
        <v>9.3833333333333346</v>
      </c>
    </row>
    <row r="25" spans="1:62" ht="15.75" customHeight="1" x14ac:dyDescent="0.25">
      <c r="A25" s="1" t="s">
        <v>565</v>
      </c>
      <c r="B25" s="5" t="s">
        <v>566</v>
      </c>
      <c r="C25" s="24" t="s">
        <v>15</v>
      </c>
      <c r="D25" s="50">
        <v>1</v>
      </c>
      <c r="E25" s="107" t="s">
        <v>41</v>
      </c>
      <c r="F25" s="131">
        <v>8</v>
      </c>
      <c r="G25" s="19">
        <v>8</v>
      </c>
      <c r="H25" s="14">
        <v>10</v>
      </c>
      <c r="I25" s="108">
        <f t="shared" si="2"/>
        <v>8.6666666666666661</v>
      </c>
      <c r="J25" s="130">
        <v>10</v>
      </c>
      <c r="K25" s="19">
        <v>10</v>
      </c>
      <c r="L25" s="19">
        <v>10</v>
      </c>
      <c r="M25" s="108">
        <f t="shared" si="15"/>
        <v>10</v>
      </c>
      <c r="N25" s="131">
        <v>9.9</v>
      </c>
      <c r="O25" s="18">
        <v>10</v>
      </c>
      <c r="P25" s="14">
        <v>9.5</v>
      </c>
      <c r="Q25" s="108">
        <f t="shared" si="16"/>
        <v>9.7999999999999989</v>
      </c>
      <c r="R25" s="131">
        <v>9.9</v>
      </c>
      <c r="S25" s="18">
        <v>9</v>
      </c>
      <c r="T25" s="14">
        <v>8.5</v>
      </c>
      <c r="U25" s="108">
        <f t="shared" si="3"/>
        <v>9.1333333333333329</v>
      </c>
      <c r="V25" s="131">
        <v>10</v>
      </c>
      <c r="W25" s="18">
        <v>9</v>
      </c>
      <c r="X25" s="14">
        <v>9</v>
      </c>
      <c r="Y25" s="108">
        <f t="shared" si="4"/>
        <v>9.3333333333333339</v>
      </c>
      <c r="Z25" s="131">
        <v>10</v>
      </c>
      <c r="AA25" s="18">
        <v>10</v>
      </c>
      <c r="AB25" s="14">
        <v>10</v>
      </c>
      <c r="AC25" s="108">
        <f t="shared" si="5"/>
        <v>10</v>
      </c>
      <c r="AD25" s="131">
        <v>8</v>
      </c>
      <c r="AE25" s="18">
        <v>9</v>
      </c>
      <c r="AF25" s="14">
        <v>10</v>
      </c>
      <c r="AG25" s="108">
        <f t="shared" si="6"/>
        <v>9</v>
      </c>
      <c r="AH25" s="151">
        <v>10</v>
      </c>
      <c r="AI25" s="18">
        <v>10</v>
      </c>
      <c r="AJ25" s="14">
        <v>10</v>
      </c>
      <c r="AK25" s="108">
        <f t="shared" si="7"/>
        <v>10</v>
      </c>
      <c r="AL25" s="131">
        <v>9</v>
      </c>
      <c r="AM25" s="18">
        <v>9</v>
      </c>
      <c r="AN25" s="14">
        <v>10</v>
      </c>
      <c r="AO25" s="108">
        <f t="shared" si="8"/>
        <v>9.3333333333333339</v>
      </c>
      <c r="AP25" s="131">
        <v>8</v>
      </c>
      <c r="AQ25" s="18">
        <v>9</v>
      </c>
      <c r="AR25" s="14">
        <v>9</v>
      </c>
      <c r="AS25" s="108">
        <f t="shared" si="9"/>
        <v>8.6666666666666661</v>
      </c>
      <c r="AT25" s="143">
        <v>10</v>
      </c>
      <c r="AU25" s="18">
        <v>9</v>
      </c>
      <c r="AV25" s="14">
        <v>9.8000000000000007</v>
      </c>
      <c r="AW25" s="108">
        <f t="shared" si="10"/>
        <v>9.6</v>
      </c>
      <c r="AX25" s="143">
        <v>10</v>
      </c>
      <c r="AY25" s="18">
        <v>9</v>
      </c>
      <c r="AZ25" s="14">
        <v>9.8000000000000007</v>
      </c>
      <c r="BA25" s="108">
        <f t="shared" si="11"/>
        <v>9.6</v>
      </c>
      <c r="BB25" s="131">
        <v>8</v>
      </c>
      <c r="BC25" s="18">
        <v>9</v>
      </c>
      <c r="BD25" s="14">
        <v>8</v>
      </c>
      <c r="BE25" s="108">
        <f t="shared" si="12"/>
        <v>8.3333333333333339</v>
      </c>
      <c r="BF25" s="156">
        <v>10</v>
      </c>
      <c r="BG25" s="18">
        <v>10</v>
      </c>
      <c r="BH25" s="14">
        <v>9.8000000000000007</v>
      </c>
      <c r="BI25" s="108">
        <f t="shared" si="13"/>
        <v>9.9333333333333336</v>
      </c>
      <c r="BJ25" s="64">
        <f t="shared" si="14"/>
        <v>9.3857142857142843</v>
      </c>
    </row>
    <row r="26" spans="1:62" ht="15.75" customHeight="1" x14ac:dyDescent="0.25">
      <c r="A26" s="1" t="s">
        <v>555</v>
      </c>
      <c r="B26" s="8" t="s">
        <v>556</v>
      </c>
      <c r="C26" s="24" t="s">
        <v>15</v>
      </c>
      <c r="D26" s="50">
        <v>1</v>
      </c>
      <c r="E26" s="107" t="s">
        <v>41</v>
      </c>
      <c r="F26" s="131">
        <v>9</v>
      </c>
      <c r="G26" s="14">
        <v>8</v>
      </c>
      <c r="H26" s="14">
        <v>10</v>
      </c>
      <c r="I26" s="84">
        <f t="shared" si="2"/>
        <v>9</v>
      </c>
      <c r="J26" s="130">
        <v>10</v>
      </c>
      <c r="K26" s="19">
        <v>10</v>
      </c>
      <c r="L26" s="19">
        <v>10</v>
      </c>
      <c r="M26" s="84">
        <f t="shared" si="15"/>
        <v>10</v>
      </c>
      <c r="N26" s="131">
        <v>9.6</v>
      </c>
      <c r="O26" s="18">
        <v>10</v>
      </c>
      <c r="P26" s="14">
        <v>8.8000000000000007</v>
      </c>
      <c r="Q26" s="84">
        <f t="shared" si="16"/>
        <v>9.4666666666666668</v>
      </c>
      <c r="R26" s="131">
        <v>9.6</v>
      </c>
      <c r="S26" s="18">
        <v>9</v>
      </c>
      <c r="T26" s="14">
        <v>8</v>
      </c>
      <c r="U26" s="84">
        <f t="shared" si="3"/>
        <v>8.8666666666666671</v>
      </c>
      <c r="V26" s="131">
        <v>10</v>
      </c>
      <c r="W26" s="18">
        <v>9</v>
      </c>
      <c r="X26" s="14">
        <v>9</v>
      </c>
      <c r="Y26" s="84">
        <f t="shared" si="4"/>
        <v>9.3333333333333339</v>
      </c>
      <c r="Z26" s="131">
        <v>10</v>
      </c>
      <c r="AA26" s="18">
        <v>9.6</v>
      </c>
      <c r="AB26" s="14">
        <v>8.5</v>
      </c>
      <c r="AC26" s="84">
        <f t="shared" si="5"/>
        <v>9.3666666666666671</v>
      </c>
      <c r="AD26" s="131">
        <v>8</v>
      </c>
      <c r="AE26" s="18">
        <v>9</v>
      </c>
      <c r="AF26" s="14">
        <v>10</v>
      </c>
      <c r="AG26" s="84">
        <f t="shared" si="6"/>
        <v>9</v>
      </c>
      <c r="AH26" s="151">
        <v>10</v>
      </c>
      <c r="AI26" s="18">
        <v>10</v>
      </c>
      <c r="AJ26" s="14">
        <v>10</v>
      </c>
      <c r="AK26" s="84">
        <f t="shared" si="7"/>
        <v>10</v>
      </c>
      <c r="AL26" s="142">
        <v>8</v>
      </c>
      <c r="AM26" s="18">
        <v>8</v>
      </c>
      <c r="AN26" s="14">
        <v>9</v>
      </c>
      <c r="AO26" s="84">
        <f t="shared" si="8"/>
        <v>8.3333333333333339</v>
      </c>
      <c r="AP26" s="131">
        <v>8</v>
      </c>
      <c r="AQ26" s="18">
        <v>8</v>
      </c>
      <c r="AR26" s="14">
        <v>9</v>
      </c>
      <c r="AS26" s="84">
        <f t="shared" si="9"/>
        <v>8.3333333333333339</v>
      </c>
      <c r="AT26" s="143">
        <v>10</v>
      </c>
      <c r="AU26" s="18">
        <v>9</v>
      </c>
      <c r="AV26" s="14">
        <v>9.8000000000000007</v>
      </c>
      <c r="AW26" s="84">
        <f t="shared" si="10"/>
        <v>9.6</v>
      </c>
      <c r="AX26" s="143">
        <v>9</v>
      </c>
      <c r="AY26" s="18">
        <v>9</v>
      </c>
      <c r="AZ26" s="14">
        <v>9.8000000000000007</v>
      </c>
      <c r="BA26" s="84">
        <f t="shared" si="11"/>
        <v>9.2666666666666675</v>
      </c>
      <c r="BB26" s="131">
        <v>8</v>
      </c>
      <c r="BC26" s="18">
        <v>9</v>
      </c>
      <c r="BD26" s="14">
        <v>9</v>
      </c>
      <c r="BE26" s="84">
        <f t="shared" si="12"/>
        <v>8.6666666666666661</v>
      </c>
      <c r="BF26" s="156">
        <v>10</v>
      </c>
      <c r="BG26" s="18">
        <v>9</v>
      </c>
      <c r="BH26" s="14">
        <v>9.8000000000000007</v>
      </c>
      <c r="BI26" s="84">
        <f t="shared" si="13"/>
        <v>9.6</v>
      </c>
      <c r="BJ26" s="64">
        <f t="shared" si="14"/>
        <v>9.2023809523809508</v>
      </c>
    </row>
    <row r="27" spans="1:62" ht="15.75" customHeight="1" x14ac:dyDescent="0.25">
      <c r="A27" s="1" t="s">
        <v>603</v>
      </c>
      <c r="B27" s="5" t="s">
        <v>604</v>
      </c>
      <c r="C27" s="24" t="s">
        <v>15</v>
      </c>
      <c r="D27" s="50">
        <v>1</v>
      </c>
      <c r="E27" s="107" t="s">
        <v>41</v>
      </c>
      <c r="F27" s="131">
        <v>9</v>
      </c>
      <c r="G27" s="14">
        <v>8</v>
      </c>
      <c r="H27" s="14">
        <v>10</v>
      </c>
      <c r="I27" s="84">
        <f t="shared" si="2"/>
        <v>9</v>
      </c>
      <c r="J27" s="130">
        <v>10</v>
      </c>
      <c r="K27" s="19">
        <v>9</v>
      </c>
      <c r="L27" s="19">
        <v>9</v>
      </c>
      <c r="M27" s="84">
        <f t="shared" si="15"/>
        <v>9.3333333333333339</v>
      </c>
      <c r="N27" s="131">
        <v>9.9</v>
      </c>
      <c r="O27" s="18">
        <v>10</v>
      </c>
      <c r="P27" s="14">
        <v>9.5</v>
      </c>
      <c r="Q27" s="84">
        <f t="shared" si="16"/>
        <v>9.7999999999999989</v>
      </c>
      <c r="R27" s="131">
        <v>9.9</v>
      </c>
      <c r="S27" s="18">
        <v>9</v>
      </c>
      <c r="T27" s="14">
        <v>8.3000000000000007</v>
      </c>
      <c r="U27" s="84">
        <f t="shared" si="3"/>
        <v>9.0666666666666664</v>
      </c>
      <c r="V27" s="131">
        <v>10</v>
      </c>
      <c r="W27" s="18">
        <v>8.5</v>
      </c>
      <c r="X27" s="14">
        <v>9</v>
      </c>
      <c r="Y27" s="84">
        <f t="shared" si="4"/>
        <v>9.1666666666666661</v>
      </c>
      <c r="Z27" s="131">
        <v>10</v>
      </c>
      <c r="AA27" s="18">
        <v>9.8000000000000007</v>
      </c>
      <c r="AB27" s="14">
        <v>8.6999999999999993</v>
      </c>
      <c r="AC27" s="84">
        <f t="shared" si="5"/>
        <v>9.5</v>
      </c>
      <c r="AD27" s="131">
        <v>9</v>
      </c>
      <c r="AE27" s="18">
        <v>10</v>
      </c>
      <c r="AF27" s="14">
        <v>10</v>
      </c>
      <c r="AG27" s="84">
        <f t="shared" si="6"/>
        <v>9.6666666666666661</v>
      </c>
      <c r="AH27" s="151">
        <v>10</v>
      </c>
      <c r="AI27" s="18">
        <v>10</v>
      </c>
      <c r="AJ27" s="14">
        <v>10</v>
      </c>
      <c r="AK27" s="84">
        <f t="shared" si="7"/>
        <v>10</v>
      </c>
      <c r="AL27" s="131">
        <v>9</v>
      </c>
      <c r="AM27" s="207">
        <v>9</v>
      </c>
      <c r="AN27" s="19">
        <v>10</v>
      </c>
      <c r="AO27" s="84">
        <f t="shared" si="8"/>
        <v>9.3333333333333339</v>
      </c>
      <c r="AP27" s="131">
        <v>8</v>
      </c>
      <c r="AQ27" s="18">
        <v>10</v>
      </c>
      <c r="AR27" s="14">
        <v>10</v>
      </c>
      <c r="AS27" s="84">
        <f t="shared" si="9"/>
        <v>9.3333333333333339</v>
      </c>
      <c r="AT27" s="143">
        <v>10</v>
      </c>
      <c r="AU27" s="18">
        <v>9</v>
      </c>
      <c r="AV27" s="14">
        <v>9.8000000000000007</v>
      </c>
      <c r="AW27" s="84">
        <f t="shared" si="10"/>
        <v>9.6</v>
      </c>
      <c r="AX27" s="143">
        <v>9</v>
      </c>
      <c r="AY27" s="18">
        <v>9</v>
      </c>
      <c r="AZ27" s="14">
        <v>9.8000000000000007</v>
      </c>
      <c r="BA27" s="84">
        <f t="shared" si="11"/>
        <v>9.2666666666666675</v>
      </c>
      <c r="BB27" s="131">
        <v>10</v>
      </c>
      <c r="BC27" s="18">
        <v>10</v>
      </c>
      <c r="BD27" s="14">
        <v>10</v>
      </c>
      <c r="BE27" s="84">
        <f t="shared" si="12"/>
        <v>10</v>
      </c>
      <c r="BF27" s="156">
        <v>10</v>
      </c>
      <c r="BG27" s="18">
        <v>10</v>
      </c>
      <c r="BH27" s="14">
        <v>9.8000000000000007</v>
      </c>
      <c r="BI27" s="84">
        <f t="shared" si="13"/>
        <v>9.9333333333333336</v>
      </c>
      <c r="BJ27" s="64">
        <f t="shared" si="14"/>
        <v>9.4999999999999982</v>
      </c>
    </row>
    <row r="28" spans="1:62" ht="15.75" customHeight="1" x14ac:dyDescent="0.25">
      <c r="A28" s="1" t="s">
        <v>587</v>
      </c>
      <c r="B28" s="5" t="s">
        <v>588</v>
      </c>
      <c r="C28" s="24" t="s">
        <v>15</v>
      </c>
      <c r="D28" s="50">
        <v>1</v>
      </c>
      <c r="E28" s="107" t="s">
        <v>41</v>
      </c>
      <c r="F28" s="131">
        <v>8</v>
      </c>
      <c r="G28" s="14">
        <v>6</v>
      </c>
      <c r="H28" s="14">
        <v>10</v>
      </c>
      <c r="I28" s="84">
        <f t="shared" si="2"/>
        <v>8</v>
      </c>
      <c r="J28" s="130">
        <v>10</v>
      </c>
      <c r="K28" s="19">
        <v>10</v>
      </c>
      <c r="L28" s="19">
        <v>10</v>
      </c>
      <c r="M28" s="84">
        <f t="shared" si="15"/>
        <v>10</v>
      </c>
      <c r="N28" s="131">
        <v>9.9</v>
      </c>
      <c r="O28" s="18">
        <v>10</v>
      </c>
      <c r="P28" s="14">
        <v>9</v>
      </c>
      <c r="Q28" s="84">
        <f t="shared" si="16"/>
        <v>9.6333333333333329</v>
      </c>
      <c r="R28" s="131">
        <v>9.9</v>
      </c>
      <c r="S28" s="18">
        <v>9</v>
      </c>
      <c r="T28" s="14">
        <v>9.1</v>
      </c>
      <c r="U28" s="84">
        <f t="shared" si="3"/>
        <v>9.3333333333333339</v>
      </c>
      <c r="V28" s="131">
        <v>10</v>
      </c>
      <c r="W28" s="18">
        <v>9.1999999999999993</v>
      </c>
      <c r="X28" s="14">
        <v>9</v>
      </c>
      <c r="Y28" s="84">
        <f t="shared" si="4"/>
        <v>9.4</v>
      </c>
      <c r="Z28" s="131">
        <v>10</v>
      </c>
      <c r="AA28" s="18">
        <v>9.8000000000000007</v>
      </c>
      <c r="AB28" s="14">
        <v>10</v>
      </c>
      <c r="AC28" s="84">
        <f t="shared" si="5"/>
        <v>9.9333333333333336</v>
      </c>
      <c r="AD28" s="131">
        <v>10</v>
      </c>
      <c r="AE28" s="18">
        <v>10</v>
      </c>
      <c r="AF28" s="14">
        <v>10</v>
      </c>
      <c r="AG28" s="84">
        <f t="shared" si="6"/>
        <v>10</v>
      </c>
      <c r="AH28" s="151">
        <v>10</v>
      </c>
      <c r="AI28" s="18">
        <v>10</v>
      </c>
      <c r="AJ28" s="14">
        <v>10</v>
      </c>
      <c r="AK28" s="84">
        <f t="shared" si="7"/>
        <v>10</v>
      </c>
      <c r="AL28" s="131">
        <v>8</v>
      </c>
      <c r="AM28" s="18">
        <v>9</v>
      </c>
      <c r="AN28" s="14">
        <v>10</v>
      </c>
      <c r="AO28" s="84">
        <f t="shared" si="8"/>
        <v>9</v>
      </c>
      <c r="AP28" s="131">
        <v>8.5</v>
      </c>
      <c r="AQ28" s="18">
        <v>7</v>
      </c>
      <c r="AR28" s="14">
        <v>9</v>
      </c>
      <c r="AS28" s="84">
        <f t="shared" si="9"/>
        <v>8.1666666666666661</v>
      </c>
      <c r="AT28" s="143">
        <v>10</v>
      </c>
      <c r="AU28" s="18">
        <v>9</v>
      </c>
      <c r="AV28" s="14">
        <v>9.8000000000000007</v>
      </c>
      <c r="AW28" s="84">
        <f t="shared" si="10"/>
        <v>9.6</v>
      </c>
      <c r="AX28" s="143">
        <v>10</v>
      </c>
      <c r="AY28" s="18">
        <v>8</v>
      </c>
      <c r="AZ28" s="14">
        <v>9.8000000000000007</v>
      </c>
      <c r="BA28" s="84">
        <f t="shared" si="11"/>
        <v>9.2666666666666675</v>
      </c>
      <c r="BB28" s="131">
        <v>10</v>
      </c>
      <c r="BC28" s="18">
        <v>10</v>
      </c>
      <c r="BD28" s="14">
        <v>10</v>
      </c>
      <c r="BE28" s="84">
        <f t="shared" si="12"/>
        <v>10</v>
      </c>
      <c r="BF28" s="156">
        <v>10</v>
      </c>
      <c r="BG28" s="18">
        <v>9</v>
      </c>
      <c r="BH28" s="14">
        <v>9.8000000000000007</v>
      </c>
      <c r="BI28" s="84">
        <f t="shared" si="13"/>
        <v>9.6</v>
      </c>
      <c r="BJ28" s="64">
        <f t="shared" si="14"/>
        <v>9.4238095238095241</v>
      </c>
    </row>
    <row r="29" spans="1:62" ht="15.75" customHeight="1" x14ac:dyDescent="0.25">
      <c r="A29" s="1" t="s">
        <v>567</v>
      </c>
      <c r="B29" s="5" t="s">
        <v>568</v>
      </c>
      <c r="C29" s="24" t="s">
        <v>15</v>
      </c>
      <c r="D29" s="50">
        <v>1</v>
      </c>
      <c r="E29" s="107" t="s">
        <v>41</v>
      </c>
      <c r="F29" s="142">
        <v>9</v>
      </c>
      <c r="G29" s="14">
        <v>6</v>
      </c>
      <c r="H29" s="14">
        <v>10</v>
      </c>
      <c r="I29" s="84">
        <f t="shared" si="2"/>
        <v>8.3333333333333339</v>
      </c>
      <c r="J29" s="130">
        <v>10</v>
      </c>
      <c r="K29" s="19">
        <v>9</v>
      </c>
      <c r="L29" s="19">
        <v>9</v>
      </c>
      <c r="M29" s="84">
        <f t="shared" si="15"/>
        <v>9.3333333333333339</v>
      </c>
      <c r="N29" s="131">
        <v>9.6</v>
      </c>
      <c r="O29" s="18">
        <v>10</v>
      </c>
      <c r="P29" s="14">
        <v>9.9</v>
      </c>
      <c r="Q29" s="84">
        <f t="shared" si="16"/>
        <v>9.8333333333333339</v>
      </c>
      <c r="R29" s="131">
        <v>9.6</v>
      </c>
      <c r="S29" s="18">
        <v>9</v>
      </c>
      <c r="T29" s="14">
        <v>9.1</v>
      </c>
      <c r="U29" s="84">
        <f t="shared" si="3"/>
        <v>9.2333333333333343</v>
      </c>
      <c r="V29" s="131">
        <v>9</v>
      </c>
      <c r="W29" s="206">
        <v>8</v>
      </c>
      <c r="X29" s="14">
        <v>10</v>
      </c>
      <c r="Y29" s="84">
        <f t="shared" si="4"/>
        <v>9</v>
      </c>
      <c r="Z29" s="131">
        <v>9</v>
      </c>
      <c r="AA29" s="18">
        <v>9.8000000000000007</v>
      </c>
      <c r="AB29" s="14">
        <v>10</v>
      </c>
      <c r="AC29" s="84">
        <f t="shared" si="5"/>
        <v>9.6</v>
      </c>
      <c r="AD29" s="131">
        <v>9</v>
      </c>
      <c r="AE29" s="18">
        <v>8</v>
      </c>
      <c r="AF29" s="14">
        <v>10</v>
      </c>
      <c r="AG29" s="84">
        <f t="shared" si="6"/>
        <v>9</v>
      </c>
      <c r="AH29" s="151">
        <v>10</v>
      </c>
      <c r="AI29" s="18">
        <v>9</v>
      </c>
      <c r="AJ29" s="14">
        <v>10</v>
      </c>
      <c r="AK29" s="84">
        <f t="shared" si="7"/>
        <v>9.6666666666666661</v>
      </c>
      <c r="AL29" s="131">
        <v>8</v>
      </c>
      <c r="AM29" s="18">
        <v>8</v>
      </c>
      <c r="AN29" s="14">
        <v>9</v>
      </c>
      <c r="AO29" s="84">
        <f t="shared" si="8"/>
        <v>8.3333333333333339</v>
      </c>
      <c r="AP29" s="131">
        <v>8</v>
      </c>
      <c r="AQ29" s="18">
        <v>8</v>
      </c>
      <c r="AR29" s="14">
        <v>9</v>
      </c>
      <c r="AS29" s="84">
        <f t="shared" si="9"/>
        <v>8.3333333333333339</v>
      </c>
      <c r="AT29" s="143">
        <v>10</v>
      </c>
      <c r="AU29" s="18">
        <v>8</v>
      </c>
      <c r="AV29" s="14">
        <v>9.8000000000000007</v>
      </c>
      <c r="AW29" s="84">
        <f t="shared" si="10"/>
        <v>9.2666666666666675</v>
      </c>
      <c r="AX29" s="143">
        <v>9</v>
      </c>
      <c r="AY29" s="18">
        <v>8</v>
      </c>
      <c r="AZ29" s="14">
        <v>9.8000000000000007</v>
      </c>
      <c r="BA29" s="84">
        <f t="shared" si="11"/>
        <v>8.9333333333333336</v>
      </c>
      <c r="BB29" s="131">
        <v>10</v>
      </c>
      <c r="BC29" s="18">
        <v>10</v>
      </c>
      <c r="BD29" s="14">
        <v>10</v>
      </c>
      <c r="BE29" s="84">
        <f t="shared" si="12"/>
        <v>10</v>
      </c>
      <c r="BF29" s="156">
        <v>10</v>
      </c>
      <c r="BG29" s="18">
        <v>10</v>
      </c>
      <c r="BH29" s="14">
        <v>9.8000000000000007</v>
      </c>
      <c r="BI29" s="84">
        <f t="shared" si="13"/>
        <v>9.9333333333333336</v>
      </c>
      <c r="BJ29" s="64">
        <f t="shared" si="14"/>
        <v>9.2000000000000011</v>
      </c>
    </row>
    <row r="30" spans="1:62" ht="15.75" customHeight="1" x14ac:dyDescent="0.25">
      <c r="A30" s="1" t="s">
        <v>551</v>
      </c>
      <c r="B30" s="8" t="s">
        <v>552</v>
      </c>
      <c r="C30" s="24" t="s">
        <v>15</v>
      </c>
      <c r="D30" s="50">
        <v>1</v>
      </c>
      <c r="E30" s="107" t="s">
        <v>41</v>
      </c>
      <c r="F30" s="131">
        <v>8</v>
      </c>
      <c r="G30" s="19">
        <v>8</v>
      </c>
      <c r="H30" s="14">
        <v>10</v>
      </c>
      <c r="I30" s="84">
        <f t="shared" si="2"/>
        <v>8.6666666666666661</v>
      </c>
      <c r="J30" s="130">
        <v>10</v>
      </c>
      <c r="K30" s="19">
        <v>10</v>
      </c>
      <c r="L30" s="19">
        <v>10</v>
      </c>
      <c r="M30" s="84">
        <f t="shared" si="15"/>
        <v>10</v>
      </c>
      <c r="N30" s="131">
        <v>9.9</v>
      </c>
      <c r="O30" s="18">
        <v>10</v>
      </c>
      <c r="P30" s="14">
        <v>9.5</v>
      </c>
      <c r="Q30" s="84">
        <f t="shared" si="16"/>
        <v>9.7999999999999989</v>
      </c>
      <c r="R30" s="131">
        <v>9.9</v>
      </c>
      <c r="S30" s="18">
        <v>9</v>
      </c>
      <c r="T30" s="129">
        <v>9</v>
      </c>
      <c r="U30" s="84">
        <f t="shared" si="3"/>
        <v>9.2999999999999989</v>
      </c>
      <c r="V30" s="131">
        <v>10</v>
      </c>
      <c r="W30" s="18">
        <v>9.6999999999999993</v>
      </c>
      <c r="X30" s="14">
        <v>9</v>
      </c>
      <c r="Y30" s="84">
        <f t="shared" si="4"/>
        <v>9.5666666666666664</v>
      </c>
      <c r="Z30" s="131">
        <v>10</v>
      </c>
      <c r="AA30" s="18">
        <v>9.8000000000000007</v>
      </c>
      <c r="AB30" s="14">
        <v>10</v>
      </c>
      <c r="AC30" s="84">
        <f t="shared" si="5"/>
        <v>9.9333333333333336</v>
      </c>
      <c r="AD30" s="131">
        <v>10</v>
      </c>
      <c r="AE30" s="18">
        <v>10</v>
      </c>
      <c r="AF30" s="14">
        <v>10</v>
      </c>
      <c r="AG30" s="84">
        <f t="shared" si="6"/>
        <v>10</v>
      </c>
      <c r="AH30" s="151">
        <v>10</v>
      </c>
      <c r="AI30" s="18">
        <v>10</v>
      </c>
      <c r="AJ30" s="14">
        <v>10</v>
      </c>
      <c r="AK30" s="84">
        <f t="shared" si="7"/>
        <v>10</v>
      </c>
      <c r="AL30" s="131">
        <v>8</v>
      </c>
      <c r="AM30" s="18">
        <v>9</v>
      </c>
      <c r="AN30" s="14">
        <v>10</v>
      </c>
      <c r="AO30" s="84">
        <f t="shared" si="8"/>
        <v>9</v>
      </c>
      <c r="AP30" s="131">
        <v>8.5</v>
      </c>
      <c r="AQ30" s="18">
        <v>9</v>
      </c>
      <c r="AR30" s="14">
        <v>9</v>
      </c>
      <c r="AS30" s="84">
        <f t="shared" si="9"/>
        <v>8.8333333333333339</v>
      </c>
      <c r="AT30" s="143">
        <v>10</v>
      </c>
      <c r="AU30" s="18">
        <v>9</v>
      </c>
      <c r="AV30" s="14">
        <v>9.8000000000000007</v>
      </c>
      <c r="AW30" s="84">
        <f t="shared" si="10"/>
        <v>9.6</v>
      </c>
      <c r="AX30" s="143">
        <v>10</v>
      </c>
      <c r="AY30" s="18">
        <v>9</v>
      </c>
      <c r="AZ30" s="14">
        <v>9.8000000000000007</v>
      </c>
      <c r="BA30" s="84">
        <f t="shared" si="11"/>
        <v>9.6</v>
      </c>
      <c r="BB30" s="131">
        <v>10</v>
      </c>
      <c r="BC30" s="18">
        <v>10</v>
      </c>
      <c r="BD30" s="14">
        <v>10</v>
      </c>
      <c r="BE30" s="84">
        <f t="shared" si="12"/>
        <v>10</v>
      </c>
      <c r="BF30" s="156">
        <v>10</v>
      </c>
      <c r="BG30" s="18">
        <v>10</v>
      </c>
      <c r="BH30" s="14">
        <v>9.8000000000000007</v>
      </c>
      <c r="BI30" s="84">
        <f t="shared" si="13"/>
        <v>9.9333333333333336</v>
      </c>
      <c r="BJ30" s="64">
        <f t="shared" si="14"/>
        <v>9.5880952380952369</v>
      </c>
    </row>
    <row r="31" spans="1:62" ht="15.75" customHeight="1" x14ac:dyDescent="0.25">
      <c r="A31" s="1" t="s">
        <v>581</v>
      </c>
      <c r="B31" s="5" t="s">
        <v>582</v>
      </c>
      <c r="C31" s="24" t="s">
        <v>15</v>
      </c>
      <c r="D31" s="50">
        <v>1</v>
      </c>
      <c r="E31" s="107" t="s">
        <v>41</v>
      </c>
      <c r="F31" s="131">
        <v>8</v>
      </c>
      <c r="G31" s="20">
        <v>8</v>
      </c>
      <c r="H31" s="14">
        <v>10</v>
      </c>
      <c r="I31" s="84">
        <f t="shared" si="2"/>
        <v>8.6666666666666661</v>
      </c>
      <c r="J31" s="130">
        <v>10</v>
      </c>
      <c r="K31" s="20">
        <v>9</v>
      </c>
      <c r="L31" s="32">
        <v>8</v>
      </c>
      <c r="M31" s="84">
        <f t="shared" si="15"/>
        <v>9</v>
      </c>
      <c r="N31" s="131">
        <v>9.9</v>
      </c>
      <c r="O31" s="212">
        <v>10</v>
      </c>
      <c r="P31" s="14">
        <v>10</v>
      </c>
      <c r="Q31" s="84">
        <f t="shared" si="16"/>
        <v>9.9666666666666668</v>
      </c>
      <c r="R31" s="131">
        <v>9.9</v>
      </c>
      <c r="S31" s="212">
        <v>9</v>
      </c>
      <c r="T31" s="14">
        <v>8.5</v>
      </c>
      <c r="U31" s="84">
        <f t="shared" si="3"/>
        <v>9.1333333333333329</v>
      </c>
      <c r="V31" s="131">
        <v>10</v>
      </c>
      <c r="W31" s="212">
        <v>8.6999999999999993</v>
      </c>
      <c r="X31" s="128">
        <v>9.8000000000000007</v>
      </c>
      <c r="Y31" s="84">
        <f t="shared" si="4"/>
        <v>9.5</v>
      </c>
      <c r="Z31" s="131">
        <v>10</v>
      </c>
      <c r="AA31" s="212">
        <v>10</v>
      </c>
      <c r="AB31" s="14">
        <v>10</v>
      </c>
      <c r="AC31" s="84">
        <f t="shared" si="5"/>
        <v>10</v>
      </c>
      <c r="AD31" s="131">
        <v>8</v>
      </c>
      <c r="AE31" s="212">
        <v>9</v>
      </c>
      <c r="AF31" s="14">
        <v>10</v>
      </c>
      <c r="AG31" s="84">
        <f t="shared" si="6"/>
        <v>9</v>
      </c>
      <c r="AH31" s="151">
        <v>10</v>
      </c>
      <c r="AI31" s="212">
        <v>8</v>
      </c>
      <c r="AJ31" s="14">
        <v>10</v>
      </c>
      <c r="AK31" s="84">
        <f t="shared" si="7"/>
        <v>9.3333333333333339</v>
      </c>
      <c r="AL31" s="131">
        <v>8</v>
      </c>
      <c r="AM31" s="212">
        <v>8</v>
      </c>
      <c r="AN31" s="128">
        <v>10</v>
      </c>
      <c r="AO31" s="84">
        <f t="shared" si="8"/>
        <v>8.6666666666666661</v>
      </c>
      <c r="AP31" s="131">
        <v>8</v>
      </c>
      <c r="AQ31" s="212">
        <v>8</v>
      </c>
      <c r="AR31" s="128">
        <v>9</v>
      </c>
      <c r="AS31" s="84">
        <f t="shared" si="9"/>
        <v>8.3333333333333339</v>
      </c>
      <c r="AT31" s="143">
        <v>10</v>
      </c>
      <c r="AU31" s="212">
        <v>9</v>
      </c>
      <c r="AV31" s="14">
        <v>9.8000000000000007</v>
      </c>
      <c r="AW31" s="84">
        <f t="shared" si="10"/>
        <v>9.6</v>
      </c>
      <c r="AX31" s="143">
        <v>9</v>
      </c>
      <c r="AY31" s="212">
        <v>9</v>
      </c>
      <c r="AZ31" s="14">
        <v>9.8000000000000007</v>
      </c>
      <c r="BA31" s="84">
        <f t="shared" si="11"/>
        <v>9.2666666666666675</v>
      </c>
      <c r="BB31" s="131">
        <v>10</v>
      </c>
      <c r="BC31" s="212">
        <v>10</v>
      </c>
      <c r="BD31" s="128">
        <v>10</v>
      </c>
      <c r="BE31" s="84">
        <f t="shared" si="12"/>
        <v>10</v>
      </c>
      <c r="BF31" s="156">
        <v>10</v>
      </c>
      <c r="BG31" s="212">
        <v>10</v>
      </c>
      <c r="BH31" s="14">
        <v>9.8000000000000007</v>
      </c>
      <c r="BI31" s="84">
        <f t="shared" si="13"/>
        <v>9.9333333333333336</v>
      </c>
      <c r="BJ31" s="64">
        <f t="shared" si="14"/>
        <v>9.3142857142857132</v>
      </c>
    </row>
    <row r="32" spans="1:62" x14ac:dyDescent="0.25">
      <c r="A32" s="1" t="s">
        <v>547</v>
      </c>
      <c r="B32" s="8" t="s">
        <v>548</v>
      </c>
      <c r="C32" s="24" t="s">
        <v>15</v>
      </c>
      <c r="D32" s="50">
        <v>1</v>
      </c>
      <c r="E32" s="107" t="s">
        <v>41</v>
      </c>
      <c r="F32" s="142">
        <v>10</v>
      </c>
      <c r="G32" s="14">
        <v>6</v>
      </c>
      <c r="H32" s="14">
        <v>10</v>
      </c>
      <c r="I32" s="84">
        <f t="shared" si="2"/>
        <v>8.6666666666666661</v>
      </c>
      <c r="J32" s="130">
        <v>10</v>
      </c>
      <c r="K32" s="19">
        <v>9</v>
      </c>
      <c r="L32" s="19">
        <v>9</v>
      </c>
      <c r="M32" s="84">
        <f t="shared" si="15"/>
        <v>9.3333333333333339</v>
      </c>
      <c r="N32" s="131">
        <v>10</v>
      </c>
      <c r="O32" s="18">
        <v>10</v>
      </c>
      <c r="P32" s="14">
        <v>10</v>
      </c>
      <c r="Q32" s="84">
        <f t="shared" si="16"/>
        <v>10</v>
      </c>
      <c r="R32" s="131">
        <v>10</v>
      </c>
      <c r="S32" s="18">
        <v>9</v>
      </c>
      <c r="T32" s="14">
        <v>8.5</v>
      </c>
      <c r="U32" s="84">
        <f t="shared" si="3"/>
        <v>9.1666666666666661</v>
      </c>
      <c r="V32" s="131">
        <v>10</v>
      </c>
      <c r="W32" s="18">
        <v>8.1999999999999993</v>
      </c>
      <c r="X32" s="14">
        <v>9.8000000000000007</v>
      </c>
      <c r="Y32" s="84">
        <f t="shared" si="4"/>
        <v>9.3333333333333339</v>
      </c>
      <c r="Z32" s="131">
        <v>10</v>
      </c>
      <c r="AA32" s="18">
        <v>9.8000000000000007</v>
      </c>
      <c r="AB32" s="14">
        <v>10</v>
      </c>
      <c r="AC32" s="84">
        <f t="shared" si="5"/>
        <v>9.9333333333333336</v>
      </c>
      <c r="AD32" s="131">
        <v>8</v>
      </c>
      <c r="AE32" s="18">
        <v>8</v>
      </c>
      <c r="AF32" s="14">
        <v>10</v>
      </c>
      <c r="AG32" s="84">
        <f t="shared" si="6"/>
        <v>8.6666666666666661</v>
      </c>
      <c r="AH32" s="151">
        <v>10</v>
      </c>
      <c r="AI32" s="18">
        <v>10</v>
      </c>
      <c r="AJ32" s="14">
        <v>10</v>
      </c>
      <c r="AK32" s="84">
        <f t="shared" si="7"/>
        <v>10</v>
      </c>
      <c r="AL32" s="131">
        <v>9</v>
      </c>
      <c r="AM32" s="18">
        <v>9</v>
      </c>
      <c r="AN32" s="14">
        <v>10</v>
      </c>
      <c r="AO32" s="84">
        <f t="shared" si="8"/>
        <v>9.3333333333333339</v>
      </c>
      <c r="AP32" s="131">
        <v>8.5</v>
      </c>
      <c r="AQ32" s="18">
        <v>8</v>
      </c>
      <c r="AR32" s="14">
        <v>9</v>
      </c>
      <c r="AS32" s="84">
        <f t="shared" si="9"/>
        <v>8.5</v>
      </c>
      <c r="AT32" s="143">
        <v>10</v>
      </c>
      <c r="AU32" s="18">
        <v>10</v>
      </c>
      <c r="AV32" s="14">
        <v>9.8000000000000007</v>
      </c>
      <c r="AW32" s="84">
        <f t="shared" si="10"/>
        <v>9.9333333333333336</v>
      </c>
      <c r="AX32" s="143">
        <v>10</v>
      </c>
      <c r="AY32" s="18">
        <v>9</v>
      </c>
      <c r="AZ32" s="14">
        <v>9.8000000000000007</v>
      </c>
      <c r="BA32" s="84">
        <f t="shared" si="11"/>
        <v>9.6</v>
      </c>
      <c r="BB32" s="131">
        <v>10</v>
      </c>
      <c r="BC32" s="18">
        <v>10</v>
      </c>
      <c r="BD32" s="14">
        <v>10</v>
      </c>
      <c r="BE32" s="84">
        <f t="shared" si="12"/>
        <v>10</v>
      </c>
      <c r="BF32" s="156">
        <v>10</v>
      </c>
      <c r="BG32" s="18">
        <v>9</v>
      </c>
      <c r="BH32" s="14">
        <v>9.8000000000000007</v>
      </c>
      <c r="BI32" s="84">
        <f t="shared" si="13"/>
        <v>9.6</v>
      </c>
      <c r="BJ32" s="64">
        <f t="shared" si="14"/>
        <v>9.4333333333333336</v>
      </c>
    </row>
    <row r="33" spans="1:62" x14ac:dyDescent="0.25">
      <c r="A33" s="1" t="s">
        <v>577</v>
      </c>
      <c r="B33" s="5" t="s">
        <v>578</v>
      </c>
      <c r="C33" s="24" t="s">
        <v>15</v>
      </c>
      <c r="D33" s="50">
        <v>1</v>
      </c>
      <c r="E33" s="107" t="s">
        <v>41</v>
      </c>
      <c r="F33" s="152">
        <v>10</v>
      </c>
      <c r="G33" s="14">
        <v>8</v>
      </c>
      <c r="H33" s="14">
        <v>10</v>
      </c>
      <c r="I33" s="84">
        <f t="shared" si="2"/>
        <v>9.3333333333333339</v>
      </c>
      <c r="J33" s="153">
        <v>10</v>
      </c>
      <c r="K33" s="19">
        <v>10</v>
      </c>
      <c r="L33" s="19">
        <v>10</v>
      </c>
      <c r="M33" s="84">
        <f t="shared" si="15"/>
        <v>10</v>
      </c>
      <c r="N33" s="131">
        <v>9.8000000000000007</v>
      </c>
      <c r="O33" s="18">
        <v>10</v>
      </c>
      <c r="P33" s="14">
        <v>10</v>
      </c>
      <c r="Q33" s="84">
        <f t="shared" si="16"/>
        <v>9.9333333333333336</v>
      </c>
      <c r="R33" s="131">
        <v>9.8000000000000007</v>
      </c>
      <c r="S33" s="18">
        <v>9</v>
      </c>
      <c r="T33" s="14">
        <v>8.5</v>
      </c>
      <c r="U33" s="84">
        <f t="shared" si="3"/>
        <v>9.1</v>
      </c>
      <c r="V33" s="131">
        <v>10</v>
      </c>
      <c r="W33" s="18">
        <v>9.5</v>
      </c>
      <c r="X33" s="14">
        <v>9</v>
      </c>
      <c r="Y33" s="84">
        <f t="shared" si="4"/>
        <v>9.5</v>
      </c>
      <c r="Z33" s="131">
        <v>10</v>
      </c>
      <c r="AA33" s="18">
        <v>10</v>
      </c>
      <c r="AB33" s="14">
        <v>10</v>
      </c>
      <c r="AC33" s="84">
        <f t="shared" si="5"/>
        <v>10</v>
      </c>
      <c r="AD33" s="131">
        <v>10</v>
      </c>
      <c r="AE33" s="18">
        <v>9</v>
      </c>
      <c r="AF33" s="14">
        <v>10</v>
      </c>
      <c r="AG33" s="84">
        <f t="shared" si="6"/>
        <v>9.6666666666666661</v>
      </c>
      <c r="AH33" s="151">
        <v>10</v>
      </c>
      <c r="AI33" s="18">
        <v>10</v>
      </c>
      <c r="AJ33" s="14">
        <v>10</v>
      </c>
      <c r="AK33" s="84">
        <f t="shared" si="7"/>
        <v>10</v>
      </c>
      <c r="AL33" s="131">
        <v>8</v>
      </c>
      <c r="AM33" s="18">
        <v>8</v>
      </c>
      <c r="AN33" s="14">
        <v>10</v>
      </c>
      <c r="AO33" s="84">
        <f t="shared" si="8"/>
        <v>8.6666666666666661</v>
      </c>
      <c r="AP33" s="131">
        <v>10</v>
      </c>
      <c r="AQ33" s="18">
        <v>10</v>
      </c>
      <c r="AR33" s="14">
        <v>10</v>
      </c>
      <c r="AS33" s="84">
        <f t="shared" si="9"/>
        <v>10</v>
      </c>
      <c r="AT33" s="143">
        <v>10</v>
      </c>
      <c r="AU33" s="18">
        <v>9</v>
      </c>
      <c r="AV33" s="14">
        <v>9.8000000000000007</v>
      </c>
      <c r="AW33" s="84">
        <f t="shared" si="10"/>
        <v>9.6</v>
      </c>
      <c r="AX33" s="143">
        <v>10</v>
      </c>
      <c r="AY33" s="18">
        <v>9</v>
      </c>
      <c r="AZ33" s="14">
        <v>9.8000000000000007</v>
      </c>
      <c r="BA33" s="84">
        <f t="shared" si="11"/>
        <v>9.6</v>
      </c>
      <c r="BB33" s="131">
        <v>10</v>
      </c>
      <c r="BC33" s="18">
        <v>10</v>
      </c>
      <c r="BD33" s="14">
        <v>10</v>
      </c>
      <c r="BE33" s="84">
        <f t="shared" si="12"/>
        <v>10</v>
      </c>
      <c r="BF33" s="156">
        <v>10</v>
      </c>
      <c r="BG33" s="18">
        <v>9</v>
      </c>
      <c r="BH33" s="14">
        <v>9.8000000000000007</v>
      </c>
      <c r="BI33" s="84">
        <f t="shared" si="13"/>
        <v>9.6</v>
      </c>
      <c r="BJ33" s="64">
        <f t="shared" si="14"/>
        <v>9.6428571428571423</v>
      </c>
    </row>
  </sheetData>
  <sortState xmlns:xlrd2="http://schemas.microsoft.com/office/spreadsheetml/2017/richdata2" ref="A3:BI33">
    <sortCondition ref="E1:E33"/>
  </sortState>
  <mergeCells count="14">
    <mergeCell ref="AX1:BA1"/>
    <mergeCell ref="BB1:BE1"/>
    <mergeCell ref="BF1:BI1"/>
    <mergeCell ref="AH1:AK1"/>
    <mergeCell ref="AL1:AO1"/>
    <mergeCell ref="AP1:AS1"/>
    <mergeCell ref="AT1:AW1"/>
    <mergeCell ref="Z1:AC1"/>
    <mergeCell ref="AD1:AG1"/>
    <mergeCell ref="F1:I1"/>
    <mergeCell ref="J1:M1"/>
    <mergeCell ref="N1:Q1"/>
    <mergeCell ref="R1:U1"/>
    <mergeCell ref="V1:Y1"/>
  </mergeCells>
  <conditionalFormatting sqref="F3:F33">
    <cfRule type="cellIs" dxfId="2205" priority="150" operator="lessThan">
      <formula>7.9</formula>
    </cfRule>
  </conditionalFormatting>
  <conditionalFormatting sqref="F3:F33">
    <cfRule type="cellIs" dxfId="2204" priority="151" operator="lessThan">
      <formula>7.4</formula>
    </cfRule>
  </conditionalFormatting>
  <conditionalFormatting sqref="F5:F6">
    <cfRule type="cellIs" dxfId="2203" priority="232" operator="lessThan">
      <formula>6.9</formula>
    </cfRule>
  </conditionalFormatting>
  <conditionalFormatting sqref="G3:G17">
    <cfRule type="cellIs" dxfId="2202" priority="107" operator="lessThan">
      <formula>7.4</formula>
    </cfRule>
    <cfRule type="cellIs" dxfId="2201" priority="108" operator="lessThan">
      <formula>7.9</formula>
    </cfRule>
  </conditionalFormatting>
  <conditionalFormatting sqref="G5:G6">
    <cfRule type="cellIs" dxfId="2200" priority="109" operator="lessThan">
      <formula>6.9</formula>
    </cfRule>
  </conditionalFormatting>
  <conditionalFormatting sqref="H3:H33">
    <cfRule type="cellIs" dxfId="2199" priority="325" operator="lessThan">
      <formula>7.4</formula>
    </cfRule>
    <cfRule type="cellIs" dxfId="2198" priority="326" operator="lessThan">
      <formula>7.9</formula>
    </cfRule>
  </conditionalFormatting>
  <conditionalFormatting sqref="H5:H6">
    <cfRule type="cellIs" dxfId="2197" priority="327" operator="lessThan">
      <formula>6.9</formula>
    </cfRule>
  </conditionalFormatting>
  <conditionalFormatting sqref="I3:I33">
    <cfRule type="cellIs" dxfId="2196" priority="397" operator="lessThan">
      <formula>7.9</formula>
    </cfRule>
    <cfRule type="cellIs" dxfId="2195" priority="406" operator="lessThan">
      <formula>6.9</formula>
    </cfRule>
    <cfRule type="cellIs" dxfId="2194" priority="408" operator="lessThan">
      <formula>7.4</formula>
    </cfRule>
    <cfRule type="cellIs" dxfId="2193" priority="409" operator="lessThan">
      <formula>7.9</formula>
    </cfRule>
  </conditionalFormatting>
  <conditionalFormatting sqref="I3:I33">
    <cfRule type="cellIs" dxfId="2192" priority="398" operator="lessThan">
      <formula>6.9</formula>
    </cfRule>
    <cfRule type="cellIs" dxfId="2191" priority="399" operator="lessThan">
      <formula>7.4</formula>
    </cfRule>
    <cfRule type="cellIs" dxfId="2190" priority="400" operator="lessThan">
      <formula>7.9</formula>
    </cfRule>
    <cfRule type="cellIs" dxfId="2189" priority="401" operator="lessThan">
      <formula>6.9</formula>
    </cfRule>
    <cfRule type="cellIs" dxfId="2188" priority="402" operator="lessThan">
      <formula>7.9</formula>
    </cfRule>
    <cfRule type="cellIs" dxfId="2187" priority="403" operator="lessThan">
      <formula>7.4</formula>
    </cfRule>
    <cfRule type="cellIs" dxfId="2186" priority="404" operator="lessThan">
      <formula>6.9</formula>
    </cfRule>
    <cfRule type="cellIs" dxfId="2185" priority="405" operator="lessThan">
      <formula>7.9</formula>
    </cfRule>
  </conditionalFormatting>
  <conditionalFormatting sqref="J3:J14">
    <cfRule type="cellIs" dxfId="2184" priority="235" stopIfTrue="1" operator="lessThan">
      <formula>7.9</formula>
    </cfRule>
    <cfRule type="cellIs" dxfId="2183" priority="236" stopIfTrue="1" operator="lessThan">
      <formula>7.4</formula>
    </cfRule>
  </conditionalFormatting>
  <conditionalFormatting sqref="J15">
    <cfRule type="cellIs" dxfId="2182" priority="237" operator="lessThan">
      <formula>7.9</formula>
    </cfRule>
    <cfRule type="cellIs" dxfId="2181" priority="238" operator="lessThan">
      <formula>7.4</formula>
    </cfRule>
  </conditionalFormatting>
  <conditionalFormatting sqref="J16:J33">
    <cfRule type="cellIs" dxfId="2180" priority="148" stopIfTrue="1" operator="lessThan">
      <formula>7.9</formula>
    </cfRule>
    <cfRule type="cellIs" dxfId="2179" priority="149" stopIfTrue="1" operator="lessThan">
      <formula>7.4</formula>
    </cfRule>
  </conditionalFormatting>
  <conditionalFormatting sqref="K3:K17">
    <cfRule type="cellIs" dxfId="2178" priority="105" operator="lessThan">
      <formula>7.4</formula>
    </cfRule>
    <cfRule type="cellIs" dxfId="2177" priority="106" operator="lessThan">
      <formula>7.9</formula>
    </cfRule>
  </conditionalFormatting>
  <conditionalFormatting sqref="L3:L33">
    <cfRule type="cellIs" dxfId="2176" priority="241" operator="lessThan">
      <formula>7.4</formula>
    </cfRule>
    <cfRule type="cellIs" dxfId="2175" priority="242" operator="lessThan">
      <formula>7.9</formula>
    </cfRule>
  </conditionalFormatting>
  <conditionalFormatting sqref="M3:M33">
    <cfRule type="cellIs" dxfId="2174" priority="411" operator="lessThan">
      <formula>7.9</formula>
    </cfRule>
    <cfRule type="cellIs" dxfId="2173" priority="412" operator="lessThan">
      <formula>6.9</formula>
    </cfRule>
    <cfRule type="cellIs" dxfId="2172" priority="413" operator="lessThan">
      <formula>7.4</formula>
    </cfRule>
    <cfRule type="cellIs" dxfId="2171" priority="414" operator="lessThan">
      <formula>7.9</formula>
    </cfRule>
    <cfRule type="cellIs" dxfId="2170" priority="415" operator="lessThan">
      <formula>6.9</formula>
    </cfRule>
    <cfRule type="cellIs" dxfId="2169" priority="416" operator="lessThan">
      <formula>7.9</formula>
    </cfRule>
    <cfRule type="cellIs" dxfId="2168" priority="417" operator="lessThan">
      <formula>7.4</formula>
    </cfRule>
    <cfRule type="cellIs" dxfId="2167" priority="418" operator="lessThan">
      <formula>6.9</formula>
    </cfRule>
    <cfRule type="cellIs" dxfId="2166" priority="419" operator="lessThan">
      <formula>7.9</formula>
    </cfRule>
    <cfRule type="cellIs" dxfId="2165" priority="420" operator="lessThan">
      <formula>6.9</formula>
    </cfRule>
    <cfRule type="cellIs" dxfId="2164" priority="421" operator="lessThan">
      <formula>7.4</formula>
    </cfRule>
    <cfRule type="cellIs" dxfId="2163" priority="422" operator="lessThan">
      <formula>6.9</formula>
    </cfRule>
    <cfRule type="cellIs" dxfId="2162" priority="423" operator="lessThan">
      <formula>7.4</formula>
    </cfRule>
    <cfRule type="cellIs" dxfId="2161" priority="424" operator="lessThan">
      <formula>7.9</formula>
    </cfRule>
  </conditionalFormatting>
  <conditionalFormatting sqref="N3:N13">
    <cfRule type="cellIs" dxfId="2160" priority="212" operator="lessThan">
      <formula>6.9</formula>
    </cfRule>
    <cfRule type="cellIs" dxfId="2159" priority="215" operator="lessThan">
      <formula>7.4</formula>
    </cfRule>
    <cfRule type="cellIs" dxfId="2158" priority="216" operator="lessThan">
      <formula>7.9</formula>
    </cfRule>
    <cfRule type="cellIs" dxfId="2157" priority="219" operator="lessThan">
      <formula>7.4</formula>
    </cfRule>
  </conditionalFormatting>
  <conditionalFormatting sqref="N3:N15">
    <cfRule type="cellIs" dxfId="2156" priority="217" operator="lessThan">
      <formula>7.9</formula>
    </cfRule>
  </conditionalFormatting>
  <conditionalFormatting sqref="N3:N16">
    <cfRule type="cellIs" dxfId="2155" priority="228" operator="lessThan">
      <formula>7.4</formula>
    </cfRule>
  </conditionalFormatting>
  <conditionalFormatting sqref="N6">
    <cfRule type="cellIs" dxfId="2154" priority="226" operator="lessThan">
      <formula>6.9</formula>
    </cfRule>
  </conditionalFormatting>
  <conditionalFormatting sqref="N14:N15">
    <cfRule type="cellIs" dxfId="2153" priority="229" operator="lessThan">
      <formula>6.9</formula>
    </cfRule>
  </conditionalFormatting>
  <conditionalFormatting sqref="N16:N17">
    <cfRule type="cellIs" dxfId="2152" priority="218" operator="lessThan">
      <formula>6.9</formula>
    </cfRule>
  </conditionalFormatting>
  <conditionalFormatting sqref="N16:N33">
    <cfRule type="cellIs" dxfId="2151" priority="146" operator="lessThan">
      <formula>7.9</formula>
    </cfRule>
  </conditionalFormatting>
  <conditionalFormatting sqref="N17">
    <cfRule type="cellIs" dxfId="2150" priority="220" operator="lessThan">
      <formula>6.9</formula>
    </cfRule>
    <cfRule type="cellIs" dxfId="2149" priority="221" operator="lessThan">
      <formula>7.4</formula>
    </cfRule>
    <cfRule type="cellIs" dxfId="2148" priority="222" operator="lessThan">
      <formula>7.9</formula>
    </cfRule>
    <cfRule type="cellIs" dxfId="2147" priority="223" operator="lessThan">
      <formula>7.9</formula>
    </cfRule>
    <cfRule type="cellIs" dxfId="2146" priority="224" operator="lessThan">
      <formula>7.4</formula>
    </cfRule>
  </conditionalFormatting>
  <conditionalFormatting sqref="N18:N33">
    <cfRule type="cellIs" dxfId="2145" priority="142" operator="lessThan">
      <formula>6.9</formula>
    </cfRule>
    <cfRule type="cellIs" dxfId="2144" priority="147" operator="lessThan">
      <formula>7.4</formula>
    </cfRule>
  </conditionalFormatting>
  <conditionalFormatting sqref="N18:N33">
    <cfRule type="cellIs" dxfId="2143" priority="141" operator="lessThan">
      <formula>7.9</formula>
    </cfRule>
    <cfRule type="cellIs" dxfId="2142" priority="143" operator="lessThan">
      <formula>6.9</formula>
    </cfRule>
  </conditionalFormatting>
  <conditionalFormatting sqref="N3:P13">
    <cfRule type="cellIs" dxfId="2141" priority="96" operator="lessThan">
      <formula>6.9</formula>
    </cfRule>
  </conditionalFormatting>
  <conditionalFormatting sqref="N18:N33 P18:P33">
    <cfRule type="cellIs" dxfId="2140" priority="144" operator="lessThan">
      <formula>7.4</formula>
    </cfRule>
    <cfRule type="cellIs" dxfId="2139" priority="145" operator="lessThan">
      <formula>7.9</formula>
    </cfRule>
  </conditionalFormatting>
  <conditionalFormatting sqref="O14:O15">
    <cfRule type="cellIs" dxfId="2138" priority="99" operator="lessThan">
      <formula>6.9</formula>
    </cfRule>
    <cfRule type="cellIs" dxfId="2137" priority="101" operator="lessThan">
      <formula>7.9</formula>
    </cfRule>
  </conditionalFormatting>
  <conditionalFormatting sqref="O15">
    <cfRule type="cellIs" dxfId="2136" priority="100" operator="lessThan">
      <formula>7.4</formula>
    </cfRule>
  </conditionalFormatting>
  <conditionalFormatting sqref="O16:O17">
    <cfRule type="cellIs" dxfId="2135" priority="93" operator="lessThan">
      <formula>7.4</formula>
    </cfRule>
    <cfRule type="cellIs" dxfId="2134" priority="94" operator="lessThan">
      <formula>7.9</formula>
    </cfRule>
    <cfRule type="cellIs" dxfId="2133" priority="95" operator="lessThan">
      <formula>6.9</formula>
    </cfRule>
  </conditionalFormatting>
  <conditionalFormatting sqref="O3:P13">
    <cfRule type="cellIs" dxfId="2132" priority="98" operator="lessThan">
      <formula>7.9</formula>
    </cfRule>
  </conditionalFormatting>
  <conditionalFormatting sqref="O3:P14">
    <cfRule type="cellIs" dxfId="2131" priority="97" operator="lessThan">
      <formula>7.4</formula>
    </cfRule>
  </conditionalFormatting>
  <conditionalFormatting sqref="O6:P6">
    <cfRule type="cellIs" dxfId="2130" priority="103" operator="lessThan">
      <formula>6.9</formula>
    </cfRule>
  </conditionalFormatting>
  <conditionalFormatting sqref="P14:P15">
    <cfRule type="cellIs" dxfId="2129" priority="321" operator="lessThan">
      <formula>7.9</formula>
    </cfRule>
  </conditionalFormatting>
  <conditionalFormatting sqref="P14:P17">
    <cfRule type="cellIs" dxfId="2128" priority="315" operator="lessThan">
      <formula>6.9</formula>
    </cfRule>
  </conditionalFormatting>
  <conditionalFormatting sqref="P15">
    <cfRule type="cellIs" dxfId="2127" priority="320" operator="lessThan">
      <formula>7.4</formula>
    </cfRule>
  </conditionalFormatting>
  <conditionalFormatting sqref="P16:P22 P24 P29 P31:P33">
    <cfRule type="cellIs" dxfId="2126" priority="246" operator="lessThan">
      <formula>7.4</formula>
    </cfRule>
    <cfRule type="cellIs" dxfId="2125" priority="247" operator="lessThan">
      <formula>7.9</formula>
    </cfRule>
  </conditionalFormatting>
  <conditionalFormatting sqref="P18:P22 P24 P29 P31:P33">
    <cfRule type="cellIs" dxfId="2124" priority="245" operator="lessThan">
      <formula>6.9</formula>
    </cfRule>
  </conditionalFormatting>
  <conditionalFormatting sqref="Q3:Q33">
    <cfRule type="cellIs" dxfId="2123" priority="590" operator="lessThan">
      <formula>7.9</formula>
    </cfRule>
    <cfRule type="cellIs" dxfId="2122" priority="591" operator="lessThan">
      <formula>6.9</formula>
    </cfRule>
    <cfRule type="cellIs" dxfId="2121" priority="592" operator="lessThan">
      <formula>7.4</formula>
    </cfRule>
    <cfRule type="cellIs" dxfId="2120" priority="593" operator="lessThan">
      <formula>7.9</formula>
    </cfRule>
    <cfRule type="cellIs" dxfId="2119" priority="745" operator="lessThan">
      <formula>6.9</formula>
    </cfRule>
    <cfRule type="cellIs" dxfId="2118" priority="746" operator="lessThan">
      <formula>7.9</formula>
    </cfRule>
    <cfRule type="cellIs" dxfId="2117" priority="747" operator="lessThan">
      <formula>7.4</formula>
    </cfRule>
    <cfRule type="cellIs" dxfId="2116" priority="748" operator="lessThan">
      <formula>6.9</formula>
    </cfRule>
    <cfRule type="cellIs" dxfId="2115" priority="749" operator="lessThan">
      <formula>7.9</formula>
    </cfRule>
    <cfRule type="cellIs" dxfId="2114" priority="750" operator="lessThan">
      <formula>6.9</formula>
    </cfRule>
    <cfRule type="cellIs" dxfId="2113" priority="751" operator="lessThan">
      <formula>7.4</formula>
    </cfRule>
    <cfRule type="cellIs" dxfId="2112" priority="752" operator="lessThan">
      <formula>6.9</formula>
    </cfRule>
    <cfRule type="cellIs" dxfId="2111" priority="753" operator="lessThan">
      <formula>7.4</formula>
    </cfRule>
    <cfRule type="cellIs" dxfId="2110" priority="754" operator="lessThan">
      <formula>7.9</formula>
    </cfRule>
  </conditionalFormatting>
  <conditionalFormatting sqref="R3:R13">
    <cfRule type="cellIs" dxfId="2109" priority="198" operator="lessThan">
      <formula>7.4</formula>
    </cfRule>
    <cfRule type="cellIs" dxfId="2108" priority="199" operator="lessThan">
      <formula>6.9</formula>
    </cfRule>
    <cfRule type="cellIs" dxfId="2107" priority="201" operator="lessThan">
      <formula>6.9</formula>
    </cfRule>
    <cfRule type="cellIs" dxfId="2106" priority="202" operator="lessThan">
      <formula>7.4</formula>
    </cfRule>
    <cfRule type="cellIs" dxfId="2105" priority="203" operator="lessThan">
      <formula>7.9</formula>
    </cfRule>
  </conditionalFormatting>
  <conditionalFormatting sqref="R3:R15">
    <cfRule type="cellIs" dxfId="2104" priority="204" operator="lessThan">
      <formula>7.9</formula>
    </cfRule>
    <cfRule type="cellIs" dxfId="2103" priority="208" operator="lessThan">
      <formula>7.4</formula>
    </cfRule>
  </conditionalFormatting>
  <conditionalFormatting sqref="R6">
    <cfRule type="cellIs" dxfId="2102" priority="205" operator="lessThan">
      <formula>7.4</formula>
    </cfRule>
    <cfRule type="cellIs" dxfId="2101" priority="206" operator="lessThan">
      <formula>6.9</formula>
    </cfRule>
  </conditionalFormatting>
  <conditionalFormatting sqref="R14:R15">
    <cfRule type="cellIs" dxfId="2100" priority="211" operator="lessThan">
      <formula>6.9</formula>
    </cfRule>
  </conditionalFormatting>
  <conditionalFormatting sqref="R16:R17">
    <cfRule type="cellIs" dxfId="2099" priority="207" operator="lessThan">
      <formula>6.9</formula>
    </cfRule>
  </conditionalFormatting>
  <conditionalFormatting sqref="R16:R33">
    <cfRule type="cellIs" dxfId="2098" priority="139" operator="lessThan">
      <formula>7.9</formula>
    </cfRule>
    <cfRule type="cellIs" dxfId="2097" priority="140" operator="lessThan">
      <formula>7.4</formula>
    </cfRule>
  </conditionalFormatting>
  <conditionalFormatting sqref="R18:R33">
    <cfRule type="cellIs" dxfId="2096" priority="135" operator="lessThan">
      <formula>6.9</formula>
    </cfRule>
  </conditionalFormatting>
  <conditionalFormatting sqref="R18:R33">
    <cfRule type="cellIs" dxfId="2095" priority="134" operator="lessThan">
      <formula>7.9</formula>
    </cfRule>
    <cfRule type="cellIs" dxfId="2094" priority="136" operator="lessThan">
      <formula>6.9</formula>
    </cfRule>
    <cfRule type="cellIs" dxfId="2093" priority="137" operator="lessThan">
      <formula>7.4</formula>
    </cfRule>
    <cfRule type="cellIs" dxfId="2092" priority="138" operator="lessThan">
      <formula>7.9</formula>
    </cfRule>
  </conditionalFormatting>
  <conditionalFormatting sqref="S3:S13">
    <cfRule type="cellIs" dxfId="2091" priority="91" operator="lessThan">
      <formula>7.4</formula>
    </cfRule>
    <cfRule type="cellIs" dxfId="2090" priority="92" operator="lessThan">
      <formula>7.9</formula>
    </cfRule>
  </conditionalFormatting>
  <conditionalFormatting sqref="S3:S17">
    <cfRule type="cellIs" dxfId="2089" priority="83" operator="lessThan">
      <formula>7.4</formula>
    </cfRule>
    <cfRule type="cellIs" dxfId="2088" priority="85" operator="lessThan">
      <formula>6.9</formula>
    </cfRule>
  </conditionalFormatting>
  <conditionalFormatting sqref="S14:S17">
    <cfRule type="cellIs" dxfId="2087" priority="84" operator="lessThan">
      <formula>7.9</formula>
    </cfRule>
  </conditionalFormatting>
  <conditionalFormatting sqref="T3:T33">
    <cfRule type="cellIs" dxfId="2086" priority="248" operator="lessThan">
      <formula>7.4</formula>
    </cfRule>
    <cfRule type="cellIs" dxfId="2085" priority="249" operator="lessThan">
      <formula>7.9</formula>
    </cfRule>
  </conditionalFormatting>
  <conditionalFormatting sqref="T17">
    <cfRule type="cellIs" dxfId="2084" priority="312" operator="lessThan">
      <formula>6.9</formula>
    </cfRule>
  </conditionalFormatting>
  <conditionalFormatting sqref="T24 T26">
    <cfRule type="cellIs" dxfId="2083" priority="250" operator="lessThan">
      <formula>6.9</formula>
    </cfRule>
    <cfRule type="cellIs" dxfId="2082" priority="251" operator="lessThan">
      <formula>7.4</formula>
    </cfRule>
    <cfRule type="cellIs" dxfId="2081" priority="252" operator="lessThan">
      <formula>7.9</formula>
    </cfRule>
  </conditionalFormatting>
  <conditionalFormatting sqref="U3:U33">
    <cfRule type="cellIs" dxfId="2080" priority="583" operator="lessThan">
      <formula>6.9</formula>
    </cfRule>
    <cfRule type="cellIs" dxfId="2079" priority="584" operator="lessThan">
      <formula>7.4</formula>
    </cfRule>
    <cfRule type="cellIs" dxfId="2078" priority="585" operator="lessThan">
      <formula>7.9</formula>
    </cfRule>
  </conditionalFormatting>
  <conditionalFormatting sqref="U3:U33">
    <cfRule type="cellIs" dxfId="2077" priority="582" operator="lessThan">
      <formula>7.9</formula>
    </cfRule>
    <cfRule type="cellIs" dxfId="2076" priority="732" operator="lessThan">
      <formula>6.9</formula>
    </cfRule>
    <cfRule type="cellIs" dxfId="2075" priority="733" operator="lessThan">
      <formula>7.9</formula>
    </cfRule>
    <cfRule type="cellIs" dxfId="2074" priority="734" operator="lessThan">
      <formula>7.4</formula>
    </cfRule>
    <cfRule type="cellIs" dxfId="2073" priority="735" operator="lessThan">
      <formula>6.9</formula>
    </cfRule>
    <cfRule type="cellIs" dxfId="2072" priority="736" operator="lessThan">
      <formula>7.9</formula>
    </cfRule>
    <cfRule type="cellIs" dxfId="2071" priority="737" operator="lessThan">
      <formula>6.9</formula>
    </cfRule>
    <cfRule type="cellIs" dxfId="2070" priority="739" operator="lessThan">
      <formula>7.4</formula>
    </cfRule>
    <cfRule type="cellIs" dxfId="2069" priority="740" operator="lessThan">
      <formula>7.9</formula>
    </cfRule>
  </conditionalFormatting>
  <conditionalFormatting sqref="V3:V17">
    <cfRule type="cellIs" dxfId="2068" priority="191" operator="lessThan">
      <formula>7.4</formula>
    </cfRule>
    <cfRule type="cellIs" dxfId="2067" priority="194" operator="lessThan">
      <formula>7.9</formula>
    </cfRule>
  </conditionalFormatting>
  <conditionalFormatting sqref="V6">
    <cfRule type="cellIs" dxfId="2066" priority="189" operator="lessThan">
      <formula>7.4</formula>
    </cfRule>
    <cfRule type="cellIs" dxfId="2065" priority="190" operator="lessThan">
      <formula>6.9</formula>
    </cfRule>
  </conditionalFormatting>
  <conditionalFormatting sqref="V14 V16:V17">
    <cfRule type="cellIs" dxfId="2064" priority="193" operator="lessThan">
      <formula>6.9</formula>
    </cfRule>
  </conditionalFormatting>
  <conditionalFormatting sqref="V15">
    <cfRule type="cellIs" dxfId="2063" priority="196" operator="lessThan">
      <formula>6.9</formula>
    </cfRule>
  </conditionalFormatting>
  <conditionalFormatting sqref="V18:V33">
    <cfRule type="cellIs" dxfId="2062" priority="132" operator="lessThan">
      <formula>7.4</formula>
    </cfRule>
  </conditionalFormatting>
  <conditionalFormatting sqref="V18:V33">
    <cfRule type="cellIs" dxfId="2061" priority="133" operator="lessThan">
      <formula>7.9</formula>
    </cfRule>
  </conditionalFormatting>
  <conditionalFormatting sqref="W3:W17">
    <cfRule type="cellIs" dxfId="2060" priority="77" operator="lessThan">
      <formula>7.4</formula>
    </cfRule>
    <cfRule type="cellIs" dxfId="2059" priority="78" operator="lessThan">
      <formula>7.9</formula>
    </cfRule>
  </conditionalFormatting>
  <conditionalFormatting sqref="W6">
    <cfRule type="cellIs" dxfId="2058" priority="81" operator="lessThan">
      <formula>6.9</formula>
    </cfRule>
  </conditionalFormatting>
  <conditionalFormatting sqref="W14:W17">
    <cfRule type="cellIs" dxfId="2057" priority="79" operator="lessThan">
      <formula>6.9</formula>
    </cfRule>
  </conditionalFormatting>
  <conditionalFormatting sqref="X3:X33">
    <cfRule type="cellIs" dxfId="2056" priority="253" operator="lessThan">
      <formula>7.4</formula>
    </cfRule>
    <cfRule type="cellIs" dxfId="2055" priority="254" operator="lessThan">
      <formula>7.9</formula>
    </cfRule>
  </conditionalFormatting>
  <conditionalFormatting sqref="X6">
    <cfRule type="cellIs" dxfId="2054" priority="306" operator="lessThan">
      <formula>6.9</formula>
    </cfRule>
  </conditionalFormatting>
  <conditionalFormatting sqref="X14:X17">
    <cfRule type="cellIs" dxfId="2053" priority="305" operator="lessThan">
      <formula>6.9</formula>
    </cfRule>
  </conditionalFormatting>
  <conditionalFormatting sqref="Y3:Y33">
    <cfRule type="cellIs" dxfId="2052" priority="531" operator="lessThan">
      <formula>6.9</formula>
    </cfRule>
    <cfRule type="cellIs" dxfId="2051" priority="532" operator="lessThan">
      <formula>7.9</formula>
    </cfRule>
  </conditionalFormatting>
  <conditionalFormatting sqref="Y3:Y33">
    <cfRule type="cellIs" dxfId="2050" priority="530" operator="lessThan">
      <formula>7.9</formula>
    </cfRule>
    <cfRule type="cellIs" dxfId="2049" priority="580" operator="lessThan">
      <formula>7.4</formula>
    </cfRule>
    <cfRule type="cellIs" dxfId="2048" priority="719" operator="lessThan">
      <formula>6.9</formula>
    </cfRule>
    <cfRule type="cellIs" dxfId="2047" priority="720" operator="lessThan">
      <formula>7.9</formula>
    </cfRule>
    <cfRule type="cellIs" dxfId="2046" priority="721" operator="lessThan">
      <formula>7.4</formula>
    </cfRule>
    <cfRule type="cellIs" dxfId="2045" priority="722" operator="lessThan">
      <formula>6.9</formula>
    </cfRule>
    <cfRule type="cellIs" dxfId="2044" priority="723" operator="lessThan">
      <formula>7.9</formula>
    </cfRule>
    <cfRule type="cellIs" dxfId="2043" priority="724" operator="lessThan">
      <formula>6.9</formula>
    </cfRule>
    <cfRule type="cellIs" dxfId="2042" priority="726" operator="lessThan">
      <formula>7.4</formula>
    </cfRule>
    <cfRule type="cellIs" dxfId="2041" priority="727" operator="lessThan">
      <formula>7.9</formula>
    </cfRule>
  </conditionalFormatting>
  <conditionalFormatting sqref="Z3:Z17">
    <cfRule type="cellIs" dxfId="2040" priority="183" operator="lessThan">
      <formula>7.4</formula>
    </cfRule>
    <cfRule type="cellIs" dxfId="2039" priority="186" operator="lessThan">
      <formula>7.9</formula>
    </cfRule>
  </conditionalFormatting>
  <conditionalFormatting sqref="Z6">
    <cfRule type="cellIs" dxfId="2038" priority="181" operator="lessThan">
      <formula>7.4</formula>
    </cfRule>
    <cfRule type="cellIs" dxfId="2037" priority="182" operator="lessThan">
      <formula>6.9</formula>
    </cfRule>
  </conditionalFormatting>
  <conditionalFormatting sqref="Z14 Z16:Z17">
    <cfRule type="cellIs" dxfId="2036" priority="185" operator="lessThan">
      <formula>6.9</formula>
    </cfRule>
  </conditionalFormatting>
  <conditionalFormatting sqref="Z15">
    <cfRule type="cellIs" dxfId="2035" priority="188" operator="lessThan">
      <formula>6.9</formula>
    </cfRule>
  </conditionalFormatting>
  <conditionalFormatting sqref="Z18:Z33">
    <cfRule type="cellIs" dxfId="2034" priority="130" operator="lessThan">
      <formula>7.4</formula>
    </cfRule>
  </conditionalFormatting>
  <conditionalFormatting sqref="Z18:Z33">
    <cfRule type="cellIs" dxfId="2033" priority="131" operator="lessThan">
      <formula>7.9</formula>
    </cfRule>
  </conditionalFormatting>
  <conditionalFormatting sqref="AA3:AA17">
    <cfRule type="cellIs" dxfId="2032" priority="71" operator="lessThan">
      <formula>7.4</formula>
    </cfRule>
    <cfRule type="cellIs" dxfId="2031" priority="72" operator="lessThan">
      <formula>7.9</formula>
    </cfRule>
  </conditionalFormatting>
  <conditionalFormatting sqref="AA6">
    <cfRule type="cellIs" dxfId="2030" priority="75" operator="lessThan">
      <formula>6.9</formula>
    </cfRule>
  </conditionalFormatting>
  <conditionalFormatting sqref="AA14:AA17">
    <cfRule type="cellIs" dxfId="2029" priority="73" operator="lessThan">
      <formula>6.9</formula>
    </cfRule>
  </conditionalFormatting>
  <conditionalFormatting sqref="AB3:AB33">
    <cfRule type="cellIs" dxfId="2028" priority="255" operator="lessThan">
      <formula>7.4</formula>
    </cfRule>
    <cfRule type="cellIs" dxfId="2027" priority="256" operator="lessThan">
      <formula>7.9</formula>
    </cfRule>
  </conditionalFormatting>
  <conditionalFormatting sqref="AB6">
    <cfRule type="cellIs" dxfId="2026" priority="300" operator="lessThan">
      <formula>6.9</formula>
    </cfRule>
  </conditionalFormatting>
  <conditionalFormatting sqref="AC3:AC33">
    <cfRule type="cellIs" dxfId="2025" priority="528" operator="lessThan">
      <formula>6.9</formula>
    </cfRule>
    <cfRule type="cellIs" dxfId="2024" priority="529" operator="lessThan">
      <formula>7.9</formula>
    </cfRule>
  </conditionalFormatting>
  <conditionalFormatting sqref="AC3:AC33">
    <cfRule type="cellIs" dxfId="2023" priority="527" operator="lessThan">
      <formula>7.9</formula>
    </cfRule>
    <cfRule type="cellIs" dxfId="2022" priority="576" operator="lessThan">
      <formula>7.4</formula>
    </cfRule>
    <cfRule type="cellIs" dxfId="2021" priority="706" operator="lessThan">
      <formula>6.9</formula>
    </cfRule>
    <cfRule type="cellIs" dxfId="2020" priority="707" operator="lessThan">
      <formula>7.9</formula>
    </cfRule>
    <cfRule type="cellIs" dxfId="2019" priority="708" operator="lessThan">
      <formula>7.4</formula>
    </cfRule>
    <cfRule type="cellIs" dxfId="2018" priority="709" operator="lessThan">
      <formula>6.9</formula>
    </cfRule>
    <cfRule type="cellIs" dxfId="2017" priority="710" operator="lessThan">
      <formula>7.9</formula>
    </cfRule>
    <cfRule type="cellIs" dxfId="2016" priority="711" operator="lessThan">
      <formula>6.9</formula>
    </cfRule>
    <cfRule type="cellIs" dxfId="2015" priority="713" operator="lessThan">
      <formula>7.4</formula>
    </cfRule>
    <cfRule type="cellIs" dxfId="2014" priority="714" operator="lessThan">
      <formula>7.9</formula>
    </cfRule>
  </conditionalFormatting>
  <conditionalFormatting sqref="AD3:AD14">
    <cfRule type="cellIs" dxfId="2013" priority="177" operator="lessThan">
      <formula>6.9</formula>
    </cfRule>
  </conditionalFormatting>
  <conditionalFormatting sqref="AD3:AD17">
    <cfRule type="cellIs" dxfId="2012" priority="178" operator="lessThan">
      <formula>7.9</formula>
    </cfRule>
  </conditionalFormatting>
  <conditionalFormatting sqref="AD3:AD33">
    <cfRule type="cellIs" dxfId="2011" priority="126" operator="lessThan">
      <formula>7.4</formula>
    </cfRule>
  </conditionalFormatting>
  <conditionalFormatting sqref="AD15">
    <cfRule type="cellIs" dxfId="2010" priority="180" operator="lessThan">
      <formula>6.9</formula>
    </cfRule>
  </conditionalFormatting>
  <conditionalFormatting sqref="AD16:AD30">
    <cfRule type="cellIs" dxfId="2009" priority="128" operator="lessThan">
      <formula>6.9</formula>
    </cfRule>
  </conditionalFormatting>
  <conditionalFormatting sqref="AD18:AD33">
    <cfRule type="cellIs" dxfId="2008" priority="127" operator="lessThan">
      <formula>7.9</formula>
    </cfRule>
  </conditionalFormatting>
  <conditionalFormatting sqref="AE3:AE17">
    <cfRule type="cellIs" dxfId="2007" priority="66" operator="lessThan">
      <formula>7.4</formula>
    </cfRule>
    <cfRule type="cellIs" dxfId="2006" priority="67" operator="lessThan">
      <formula>7.9</formula>
    </cfRule>
    <cfRule type="cellIs" dxfId="2005" priority="68" operator="lessThan">
      <formula>6.9</formula>
    </cfRule>
  </conditionalFormatting>
  <conditionalFormatting sqref="AF3:AF33">
    <cfRule type="cellIs" dxfId="2004" priority="257" operator="lessThan">
      <formula>7.4</formula>
    </cfRule>
    <cfRule type="cellIs" dxfId="2003" priority="258" operator="lessThan">
      <formula>7.9</formula>
    </cfRule>
    <cfRule type="cellIs" dxfId="2002" priority="259" operator="lessThan">
      <formula>6.9</formula>
    </cfRule>
  </conditionalFormatting>
  <conditionalFormatting sqref="AG3:AG33">
    <cfRule type="cellIs" dxfId="2001" priority="526" operator="lessThan">
      <formula>7.9</formula>
    </cfRule>
  </conditionalFormatting>
  <conditionalFormatting sqref="AG3:AG33">
    <cfRule type="cellIs" dxfId="2000" priority="524" operator="lessThan">
      <formula>7.9</formula>
    </cfRule>
    <cfRule type="cellIs" dxfId="1999" priority="525" operator="lessThan">
      <formula>6.9</formula>
    </cfRule>
    <cfRule type="cellIs" dxfId="1998" priority="572" operator="lessThan">
      <formula>7.4</formula>
    </cfRule>
    <cfRule type="cellIs" dxfId="1997" priority="693" operator="lessThan">
      <formula>6.9</formula>
    </cfRule>
    <cfRule type="cellIs" dxfId="1996" priority="694" operator="lessThan">
      <formula>7.9</formula>
    </cfRule>
    <cfRule type="cellIs" dxfId="1995" priority="695" operator="lessThan">
      <formula>7.4</formula>
    </cfRule>
    <cfRule type="cellIs" dxfId="1994" priority="696" operator="lessThan">
      <formula>6.9</formula>
    </cfRule>
    <cfRule type="cellIs" dxfId="1993" priority="697" operator="lessThan">
      <formula>7.9</formula>
    </cfRule>
    <cfRule type="cellIs" dxfId="1992" priority="698" operator="lessThan">
      <formula>6.9</formula>
    </cfRule>
    <cfRule type="cellIs" dxfId="1991" priority="700" operator="lessThan">
      <formula>7.4</formula>
    </cfRule>
    <cfRule type="cellIs" dxfId="1990" priority="701" operator="lessThan">
      <formula>7.9</formula>
    </cfRule>
  </conditionalFormatting>
  <conditionalFormatting sqref="AH3:AH14">
    <cfRule type="cellIs" dxfId="1989" priority="171" operator="lessThan">
      <formula>6.9</formula>
    </cfRule>
  </conditionalFormatting>
  <conditionalFormatting sqref="AH3:AH17">
    <cfRule type="cellIs" dxfId="1988" priority="172" operator="lessThan">
      <formula>7.4</formula>
    </cfRule>
    <cfRule type="cellIs" dxfId="1987" priority="173" operator="lessThan">
      <formula>7.9</formula>
    </cfRule>
  </conditionalFormatting>
  <conditionalFormatting sqref="AH6">
    <cfRule type="cellIs" dxfId="1986" priority="170" operator="lessThan">
      <formula>7.4</formula>
    </cfRule>
  </conditionalFormatting>
  <conditionalFormatting sqref="AH16:AH33">
    <cfRule type="cellIs" dxfId="1985" priority="125" operator="lessThan">
      <formula>6.9</formula>
    </cfRule>
  </conditionalFormatting>
  <conditionalFormatting sqref="AH18:AH33">
    <cfRule type="cellIs" dxfId="1984" priority="123" operator="lessThan">
      <formula>7.4</formula>
    </cfRule>
  </conditionalFormatting>
  <conditionalFormatting sqref="AH18:AH33">
    <cfRule type="cellIs" dxfId="1983" priority="124" operator="lessThan">
      <formula>7.9</formula>
    </cfRule>
  </conditionalFormatting>
  <conditionalFormatting sqref="AI3:AI16">
    <cfRule type="cellIs" dxfId="1982" priority="63" operator="lessThan">
      <formula>6.9</formula>
    </cfRule>
    <cfRule type="cellIs" dxfId="1981" priority="64" operator="lessThan">
      <formula>7.4</formula>
    </cfRule>
  </conditionalFormatting>
  <conditionalFormatting sqref="AI3:AI17">
    <cfRule type="cellIs" dxfId="1980" priority="62" operator="lessThan">
      <formula>7.9</formula>
    </cfRule>
  </conditionalFormatting>
  <conditionalFormatting sqref="AI6">
    <cfRule type="cellIs" dxfId="1979" priority="65" operator="lessThan">
      <formula>6.9</formula>
    </cfRule>
  </conditionalFormatting>
  <conditionalFormatting sqref="AI17">
    <cfRule type="cellIs" dxfId="1978" priority="61" operator="lessThan">
      <formula>7.4</formula>
    </cfRule>
  </conditionalFormatting>
  <conditionalFormatting sqref="AJ18:AJ33">
    <cfRule type="cellIs" dxfId="1977" priority="262" operator="lessThan">
      <formula>6.9</formula>
    </cfRule>
  </conditionalFormatting>
  <conditionalFormatting sqref="AJ3:AJ16">
    <cfRule type="cellIs" dxfId="1976" priority="292" operator="lessThan">
      <formula>6.9</formula>
    </cfRule>
    <cfRule type="cellIs" dxfId="1975" priority="293" operator="lessThan">
      <formula>7.4</formula>
    </cfRule>
  </conditionalFormatting>
  <conditionalFormatting sqref="AJ3:AJ33">
    <cfRule type="cellIs" dxfId="1974" priority="261" operator="lessThan">
      <formula>7.9</formula>
    </cfRule>
  </conditionalFormatting>
  <conditionalFormatting sqref="AJ6">
    <cfRule type="cellIs" dxfId="1973" priority="294" operator="lessThan">
      <formula>6.9</formula>
    </cfRule>
  </conditionalFormatting>
  <conditionalFormatting sqref="AJ17:AJ33">
    <cfRule type="cellIs" dxfId="1972" priority="260" operator="lessThan">
      <formula>7.4</formula>
    </cfRule>
  </conditionalFormatting>
  <conditionalFormatting sqref="AK3:AK33">
    <cfRule type="cellIs" dxfId="1971" priority="521" operator="lessThan">
      <formula>7.9</formula>
    </cfRule>
    <cfRule type="cellIs" dxfId="1970" priority="522" operator="lessThan">
      <formula>6.9</formula>
    </cfRule>
    <cfRule type="cellIs" dxfId="1969" priority="523" operator="lessThan">
      <formula>7.9</formula>
    </cfRule>
  </conditionalFormatting>
  <conditionalFormatting sqref="AK3:AK33">
    <cfRule type="cellIs" dxfId="1968" priority="568" operator="lessThan">
      <formula>7.4</formula>
    </cfRule>
    <cfRule type="cellIs" dxfId="1967" priority="680" operator="lessThan">
      <formula>6.9</formula>
    </cfRule>
    <cfRule type="cellIs" dxfId="1966" priority="681" operator="lessThan">
      <formula>7.9</formula>
    </cfRule>
    <cfRule type="cellIs" dxfId="1965" priority="682" operator="lessThan">
      <formula>7.4</formula>
    </cfRule>
    <cfRule type="cellIs" dxfId="1964" priority="683" operator="lessThan">
      <formula>6.9</formula>
    </cfRule>
    <cfRule type="cellIs" dxfId="1963" priority="684" operator="lessThan">
      <formula>7.9</formula>
    </cfRule>
    <cfRule type="cellIs" dxfId="1962" priority="685" operator="lessThan">
      <formula>6.9</formula>
    </cfRule>
    <cfRule type="cellIs" dxfId="1961" priority="687" operator="lessThan">
      <formula>7.4</formula>
    </cfRule>
    <cfRule type="cellIs" dxfId="1960" priority="688" operator="lessThan">
      <formula>7.9</formula>
    </cfRule>
  </conditionalFormatting>
  <conditionalFormatting sqref="AL3:AL17">
    <cfRule type="cellIs" dxfId="1959" priority="168" operator="lessThan">
      <formula>7.9</formula>
    </cfRule>
    <cfRule type="cellIs" dxfId="1958" priority="169" operator="lessThan">
      <formula>7.4</formula>
    </cfRule>
  </conditionalFormatting>
  <conditionalFormatting sqref="AL6">
    <cfRule type="cellIs" dxfId="1957" priority="167" operator="lessThan">
      <formula>6.9</formula>
    </cfRule>
  </conditionalFormatting>
  <conditionalFormatting sqref="AL18:AL33">
    <cfRule type="cellIs" dxfId="1956" priority="121" operator="lessThan">
      <formula>7.4</formula>
    </cfRule>
    <cfRule type="cellIs" dxfId="1955" priority="122" operator="lessThan">
      <formula>7.9</formula>
    </cfRule>
  </conditionalFormatting>
  <conditionalFormatting sqref="AN3:AN33">
    <cfRule type="cellIs" dxfId="1954" priority="263" operator="lessThan">
      <formula>7.4</formula>
    </cfRule>
    <cfRule type="cellIs" dxfId="1953" priority="264" operator="lessThan">
      <formula>7.9</formula>
    </cfRule>
  </conditionalFormatting>
  <conditionalFormatting sqref="AN6">
    <cfRule type="cellIs" dxfId="1952" priority="289" operator="lessThan">
      <formula>6.9</formula>
    </cfRule>
  </conditionalFormatting>
  <conditionalFormatting sqref="AO3:AO33">
    <cfRule type="cellIs" dxfId="1951" priority="518" operator="lessThan">
      <formula>7.9</formula>
    </cfRule>
    <cfRule type="cellIs" dxfId="1950" priority="519" operator="lessThan">
      <formula>6.9</formula>
    </cfRule>
    <cfRule type="cellIs" dxfId="1949" priority="520" operator="lessThan">
      <formula>7.9</formula>
    </cfRule>
  </conditionalFormatting>
  <conditionalFormatting sqref="AO3:AO33">
    <cfRule type="cellIs" dxfId="1948" priority="564" operator="lessThan">
      <formula>7.4</formula>
    </cfRule>
    <cfRule type="cellIs" dxfId="1947" priority="667" operator="lessThan">
      <formula>6.9</formula>
    </cfRule>
    <cfRule type="cellIs" dxfId="1946" priority="668" operator="lessThan">
      <formula>7.9</formula>
    </cfRule>
    <cfRule type="cellIs" dxfId="1945" priority="669" operator="lessThan">
      <formula>7.4</formula>
    </cfRule>
    <cfRule type="cellIs" dxfId="1944" priority="670" operator="lessThan">
      <formula>6.9</formula>
    </cfRule>
    <cfRule type="cellIs" dxfId="1943" priority="671" operator="lessThan">
      <formula>7.9</formula>
    </cfRule>
    <cfRule type="cellIs" dxfId="1942" priority="672" operator="lessThan">
      <formula>6.9</formula>
    </cfRule>
    <cfRule type="cellIs" dxfId="1941" priority="674" operator="lessThan">
      <formula>7.4</formula>
    </cfRule>
    <cfRule type="cellIs" dxfId="1940" priority="675" operator="lessThan">
      <formula>7.9</formula>
    </cfRule>
  </conditionalFormatting>
  <conditionalFormatting sqref="AP3:AP17">
    <cfRule type="cellIs" dxfId="1939" priority="165" operator="lessThan">
      <formula>7.9</formula>
    </cfRule>
    <cfRule type="cellIs" dxfId="1938" priority="166" operator="lessThan">
      <formula>7.4</formula>
    </cfRule>
  </conditionalFormatting>
  <conditionalFormatting sqref="AP6">
    <cfRule type="cellIs" dxfId="1937" priority="164" operator="lessThan">
      <formula>6.9</formula>
    </cfRule>
  </conditionalFormatting>
  <conditionalFormatting sqref="AP18:AP33">
    <cfRule type="cellIs" dxfId="1936" priority="119" operator="lessThan">
      <formula>7.4</formula>
    </cfRule>
    <cfRule type="cellIs" dxfId="1935" priority="120" operator="lessThan">
      <formula>7.9</formula>
    </cfRule>
  </conditionalFormatting>
  <conditionalFormatting sqref="AR3:AR33">
    <cfRule type="cellIs" dxfId="1934" priority="265" operator="lessThan">
      <formula>7.4</formula>
    </cfRule>
    <cfRule type="cellIs" dxfId="1933" priority="266" operator="lessThan">
      <formula>7.9</formula>
    </cfRule>
  </conditionalFormatting>
  <conditionalFormatting sqref="AR6">
    <cfRule type="cellIs" dxfId="1932" priority="286" operator="lessThan">
      <formula>6.9</formula>
    </cfRule>
  </conditionalFormatting>
  <conditionalFormatting sqref="AS3:AS33">
    <cfRule type="cellIs" dxfId="1931" priority="515" operator="lessThan">
      <formula>7.9</formula>
    </cfRule>
    <cfRule type="cellIs" dxfId="1930" priority="516" operator="lessThan">
      <formula>6.9</formula>
    </cfRule>
    <cfRule type="cellIs" dxfId="1929" priority="517" operator="lessThan">
      <formula>7.9</formula>
    </cfRule>
  </conditionalFormatting>
  <conditionalFormatting sqref="AS3:AS33">
    <cfRule type="cellIs" dxfId="1928" priority="560" operator="lessThan">
      <formula>7.4</formula>
    </cfRule>
    <cfRule type="cellIs" dxfId="1927" priority="654" operator="lessThan">
      <formula>6.9</formula>
    </cfRule>
    <cfRule type="cellIs" dxfId="1926" priority="655" operator="lessThan">
      <formula>7.9</formula>
    </cfRule>
    <cfRule type="cellIs" dxfId="1925" priority="656" operator="lessThan">
      <formula>7.4</formula>
    </cfRule>
    <cfRule type="cellIs" dxfId="1924" priority="657" operator="lessThan">
      <formula>6.9</formula>
    </cfRule>
    <cfRule type="cellIs" dxfId="1923" priority="658" operator="lessThan">
      <formula>7.9</formula>
    </cfRule>
    <cfRule type="cellIs" dxfId="1922" priority="659" operator="lessThan">
      <formula>6.9</formula>
    </cfRule>
    <cfRule type="cellIs" dxfId="1921" priority="661" operator="lessThan">
      <formula>7.4</formula>
    </cfRule>
    <cfRule type="cellIs" dxfId="1920" priority="662" operator="lessThan">
      <formula>7.9</formula>
    </cfRule>
  </conditionalFormatting>
  <conditionalFormatting sqref="AT3:AT14">
    <cfRule type="cellIs" dxfId="1919" priority="161" operator="lessThan">
      <formula>6.9</formula>
    </cfRule>
  </conditionalFormatting>
  <conditionalFormatting sqref="AT3:AT17">
    <cfRule type="cellIs" dxfId="1918" priority="162" operator="lessThan">
      <formula>7.9</formula>
    </cfRule>
    <cfRule type="cellIs" dxfId="1917" priority="163" operator="lessThan">
      <formula>7.4</formula>
    </cfRule>
  </conditionalFormatting>
  <conditionalFormatting sqref="AT16:AT33">
    <cfRule type="cellIs" dxfId="1916" priority="118" operator="lessThan">
      <formula>6.9</formula>
    </cfRule>
  </conditionalFormatting>
  <conditionalFormatting sqref="AT18:AT33">
    <cfRule type="cellIs" dxfId="1915" priority="116" operator="lessThan">
      <formula>7.4</formula>
    </cfRule>
    <cfRule type="cellIs" dxfId="1914" priority="117" operator="lessThan">
      <formula>7.9</formula>
    </cfRule>
  </conditionalFormatting>
  <conditionalFormatting sqref="AV3:AV33">
    <cfRule type="cellIs" dxfId="1913" priority="267" operator="lessThan">
      <formula>7.9</formula>
    </cfRule>
    <cfRule type="cellIs" dxfId="1912" priority="268" operator="lessThan">
      <formula>7.4</formula>
    </cfRule>
  </conditionalFormatting>
  <conditionalFormatting sqref="AW3:AW33">
    <cfRule type="cellIs" dxfId="1911" priority="512" operator="lessThan">
      <formula>7.9</formula>
    </cfRule>
    <cfRule type="cellIs" dxfId="1910" priority="513" operator="lessThan">
      <formula>6.9</formula>
    </cfRule>
    <cfRule type="cellIs" dxfId="1909" priority="514" operator="lessThan">
      <formula>7.9</formula>
    </cfRule>
  </conditionalFormatting>
  <conditionalFormatting sqref="AW3:AW33">
    <cfRule type="cellIs" dxfId="1908" priority="556" operator="lessThan">
      <formula>7.4</formula>
    </cfRule>
    <cfRule type="cellIs" dxfId="1907" priority="641" operator="lessThan">
      <formula>6.9</formula>
    </cfRule>
    <cfRule type="cellIs" dxfId="1906" priority="642" operator="lessThan">
      <formula>7.9</formula>
    </cfRule>
    <cfRule type="cellIs" dxfId="1905" priority="643" operator="lessThan">
      <formula>7.4</formula>
    </cfRule>
    <cfRule type="cellIs" dxfId="1904" priority="644" operator="lessThan">
      <formula>6.9</formula>
    </cfRule>
    <cfRule type="cellIs" dxfId="1903" priority="645" operator="lessThan">
      <formula>7.9</formula>
    </cfRule>
    <cfRule type="cellIs" dxfId="1902" priority="646" operator="lessThan">
      <formula>6.9</formula>
    </cfRule>
    <cfRule type="cellIs" dxfId="1901" priority="648" operator="lessThan">
      <formula>7.4</formula>
    </cfRule>
    <cfRule type="cellIs" dxfId="1900" priority="649" operator="lessThan">
      <formula>7.9</formula>
    </cfRule>
  </conditionalFormatting>
  <conditionalFormatting sqref="AX3:AX17">
    <cfRule type="cellIs" dxfId="1899" priority="159" operator="lessThan">
      <formula>7.9</formula>
    </cfRule>
    <cfRule type="cellIs" dxfId="1898" priority="160" operator="lessThan">
      <formula>7.4</formula>
    </cfRule>
  </conditionalFormatting>
  <conditionalFormatting sqref="AX6">
    <cfRule type="cellIs" dxfId="1897" priority="158" operator="lessThan">
      <formula>6.9</formula>
    </cfRule>
  </conditionalFormatting>
  <conditionalFormatting sqref="AX18:AX33">
    <cfRule type="cellIs" dxfId="1896" priority="114" operator="lessThan">
      <formula>7.4</formula>
    </cfRule>
    <cfRule type="cellIs" dxfId="1895" priority="115" operator="lessThan">
      <formula>7.9</formula>
    </cfRule>
  </conditionalFormatting>
  <conditionalFormatting sqref="AZ3:AZ33">
    <cfRule type="cellIs" dxfId="1894" priority="269" operator="lessThan">
      <formula>7.9</formula>
    </cfRule>
    <cfRule type="cellIs" dxfId="1893" priority="270" operator="lessThan">
      <formula>7.4</formula>
    </cfRule>
  </conditionalFormatting>
  <conditionalFormatting sqref="BA3:BA33">
    <cfRule type="cellIs" dxfId="1892" priority="509" operator="lessThan">
      <formula>7.9</formula>
    </cfRule>
    <cfRule type="cellIs" dxfId="1891" priority="510" operator="lessThan">
      <formula>6.9</formula>
    </cfRule>
    <cfRule type="cellIs" dxfId="1890" priority="511" operator="lessThan">
      <formula>7.9</formula>
    </cfRule>
    <cfRule type="cellIs" dxfId="1889" priority="552" operator="lessThan">
      <formula>7.4</formula>
    </cfRule>
  </conditionalFormatting>
  <conditionalFormatting sqref="BA3:BA33">
    <cfRule type="cellIs" dxfId="1888" priority="628" operator="lessThan">
      <formula>6.9</formula>
    </cfRule>
    <cfRule type="cellIs" dxfId="1887" priority="629" operator="lessThan">
      <formula>7.9</formula>
    </cfRule>
    <cfRule type="cellIs" dxfId="1886" priority="630" operator="lessThan">
      <formula>7.4</formula>
    </cfRule>
    <cfRule type="cellIs" dxfId="1885" priority="631" operator="lessThan">
      <formula>6.9</formula>
    </cfRule>
    <cfRule type="cellIs" dxfId="1884" priority="632" operator="lessThan">
      <formula>7.9</formula>
    </cfRule>
    <cfRule type="cellIs" dxfId="1883" priority="633" operator="lessThan">
      <formula>6.9</formula>
    </cfRule>
    <cfRule type="cellIs" dxfId="1882" priority="635" operator="lessThan">
      <formula>7.4</formula>
    </cfRule>
    <cfRule type="cellIs" dxfId="1881" priority="636" operator="lessThan">
      <formula>7.9</formula>
    </cfRule>
  </conditionalFormatting>
  <conditionalFormatting sqref="BB3:BB17">
    <cfRule type="cellIs" dxfId="1880" priority="156" operator="lessThan">
      <formula>7.9</formula>
    </cfRule>
    <cfRule type="cellIs" dxfId="1879" priority="157" operator="lessThan">
      <formula>7.4</formula>
    </cfRule>
  </conditionalFormatting>
  <conditionalFormatting sqref="BB6">
    <cfRule type="cellIs" dxfId="1878" priority="155" operator="lessThan">
      <formula>6.9</formula>
    </cfRule>
  </conditionalFormatting>
  <conditionalFormatting sqref="BB18:BB33">
    <cfRule type="cellIs" dxfId="1877" priority="112" operator="lessThan">
      <formula>7.4</formula>
    </cfRule>
    <cfRule type="cellIs" dxfId="1876" priority="113" operator="lessThan">
      <formula>7.9</formula>
    </cfRule>
  </conditionalFormatting>
  <conditionalFormatting sqref="BD3:BD33">
    <cfRule type="cellIs" dxfId="1875" priority="271" operator="lessThan">
      <formula>7.9</formula>
    </cfRule>
    <cfRule type="cellIs" dxfId="1874" priority="272" operator="lessThan">
      <formula>7.4</formula>
    </cfRule>
  </conditionalFormatting>
  <conditionalFormatting sqref="BD6">
    <cfRule type="cellIs" dxfId="1873" priority="279" operator="lessThan">
      <formula>6.9</formula>
    </cfRule>
  </conditionalFormatting>
  <conditionalFormatting sqref="BE3:BE33">
    <cfRule type="cellIs" dxfId="1872" priority="506" operator="lessThan">
      <formula>7.9</formula>
    </cfRule>
    <cfRule type="cellIs" dxfId="1871" priority="507" operator="lessThan">
      <formula>6.9</formula>
    </cfRule>
    <cfRule type="cellIs" dxfId="1870" priority="508" operator="lessThan">
      <formula>7.4</formula>
    </cfRule>
    <cfRule type="cellIs" dxfId="1869" priority="549" operator="lessThan">
      <formula>7.9</formula>
    </cfRule>
  </conditionalFormatting>
  <conditionalFormatting sqref="BE3:BE33">
    <cfRule type="cellIs" dxfId="1868" priority="615" operator="lessThan">
      <formula>6.9</formula>
    </cfRule>
    <cfRule type="cellIs" dxfId="1867" priority="616" operator="lessThan">
      <formula>7.9</formula>
    </cfRule>
    <cfRule type="cellIs" dxfId="1866" priority="617" operator="lessThan">
      <formula>7.4</formula>
    </cfRule>
    <cfRule type="cellIs" dxfId="1865" priority="618" operator="lessThan">
      <formula>6.9</formula>
    </cfRule>
    <cfRule type="cellIs" dxfId="1864" priority="619" operator="lessThan">
      <formula>7.9</formula>
    </cfRule>
    <cfRule type="cellIs" dxfId="1863" priority="620" operator="lessThan">
      <formula>6.9</formula>
    </cfRule>
    <cfRule type="cellIs" dxfId="1862" priority="622" operator="lessThan">
      <formula>7.4</formula>
    </cfRule>
    <cfRule type="cellIs" dxfId="1861" priority="623" operator="lessThan">
      <formula>7.9</formula>
    </cfRule>
  </conditionalFormatting>
  <conditionalFormatting sqref="BF3:BF17">
    <cfRule type="cellIs" dxfId="1860" priority="153" operator="lessThan">
      <formula>7.9</formula>
    </cfRule>
    <cfRule type="cellIs" dxfId="1859" priority="154" operator="lessThan">
      <formula>7.4</formula>
    </cfRule>
  </conditionalFormatting>
  <conditionalFormatting sqref="BF6">
    <cfRule type="cellIs" dxfId="1858" priority="152" operator="lessThan">
      <formula>6.9</formula>
    </cfRule>
  </conditionalFormatting>
  <conditionalFormatting sqref="BF18:BF33">
    <cfRule type="cellIs" dxfId="1857" priority="110" operator="lessThan">
      <formula>7.4</formula>
    </cfRule>
    <cfRule type="cellIs" dxfId="1856" priority="111" operator="lessThan">
      <formula>7.9</formula>
    </cfRule>
  </conditionalFormatting>
  <conditionalFormatting sqref="BH3:BH33">
    <cfRule type="cellIs" dxfId="1855" priority="273" operator="lessThan">
      <formula>7.9</formula>
    </cfRule>
    <cfRule type="cellIs" dxfId="1854" priority="274" operator="lessThan">
      <formula>7.4</formula>
    </cfRule>
  </conditionalFormatting>
  <conditionalFormatting sqref="BI3:BI33">
    <cfRule type="cellIs" dxfId="1853" priority="598" operator="lessThan">
      <formula>7.9</formula>
    </cfRule>
    <cfRule type="cellIs" dxfId="1852" priority="599" operator="lessThan">
      <formula>6.9</formula>
    </cfRule>
    <cfRule type="cellIs" dxfId="1851" priority="600" operator="lessThan">
      <formula>7.4</formula>
    </cfRule>
    <cfRule type="cellIs" dxfId="1850" priority="601" operator="lessThan">
      <formula>7.9</formula>
    </cfRule>
    <cfRule type="cellIs" dxfId="1849" priority="602" operator="lessThan">
      <formula>6.9</formula>
    </cfRule>
    <cfRule type="cellIs" dxfId="1848" priority="603" operator="lessThan">
      <formula>7.9</formula>
    </cfRule>
    <cfRule type="cellIs" dxfId="1847" priority="604" operator="lessThan">
      <formula>7.4</formula>
    </cfRule>
    <cfRule type="cellIs" dxfId="1846" priority="605" operator="lessThan">
      <formula>6.9</formula>
    </cfRule>
    <cfRule type="cellIs" dxfId="1845" priority="606" operator="lessThan">
      <formula>7.9</formula>
    </cfRule>
    <cfRule type="cellIs" dxfId="1844" priority="607" operator="lessThan">
      <formula>6.9</formula>
    </cfRule>
    <cfRule type="cellIs" dxfId="1843" priority="609" operator="lessThan">
      <formula>7.4</formula>
    </cfRule>
    <cfRule type="cellIs" dxfId="1842" priority="610" operator="lessThan">
      <formula>7.9</formula>
    </cfRule>
  </conditionalFormatting>
  <conditionalFormatting sqref="AM3:AM17">
    <cfRule type="cellIs" dxfId="1841" priority="58" operator="lessThan">
      <formula>7.9</formula>
    </cfRule>
  </conditionalFormatting>
  <conditionalFormatting sqref="AM6">
    <cfRule type="cellIs" dxfId="1840" priority="60" operator="lessThan">
      <formula>6.9</formula>
    </cfRule>
  </conditionalFormatting>
  <conditionalFormatting sqref="AM3:AM17">
    <cfRule type="cellIs" dxfId="1839" priority="59" operator="lessThan">
      <formula>7.4</formula>
    </cfRule>
  </conditionalFormatting>
  <conditionalFormatting sqref="AQ3:AQ17">
    <cfRule type="cellIs" dxfId="1838" priority="55" operator="lessThan">
      <formula>7.9</formula>
    </cfRule>
  </conditionalFormatting>
  <conditionalFormatting sqref="AQ6">
    <cfRule type="cellIs" dxfId="1837" priority="57" operator="lessThan">
      <formula>6.9</formula>
    </cfRule>
  </conditionalFormatting>
  <conditionalFormatting sqref="AQ3:AQ17">
    <cfRule type="cellIs" dxfId="1836" priority="56" operator="lessThan">
      <formula>7.4</formula>
    </cfRule>
  </conditionalFormatting>
  <conditionalFormatting sqref="AU17">
    <cfRule type="cellIs" dxfId="1835" priority="50" operator="lessThan">
      <formula>7.9</formula>
    </cfRule>
  </conditionalFormatting>
  <conditionalFormatting sqref="AU17">
    <cfRule type="cellIs" dxfId="1834" priority="51" operator="lessThan">
      <formula>7.4</formula>
    </cfRule>
  </conditionalFormatting>
  <conditionalFormatting sqref="AU3:AU16">
    <cfRule type="cellIs" dxfId="1833" priority="52" operator="lessThan">
      <formula>6.9</formula>
    </cfRule>
    <cfRule type="cellIs" dxfId="1832" priority="53" operator="lessThan">
      <formula>7.4</formula>
    </cfRule>
    <cfRule type="cellIs" dxfId="1831" priority="54" operator="lessThan">
      <formula>7.9</formula>
    </cfRule>
  </conditionalFormatting>
  <conditionalFormatting sqref="AY16:AY17">
    <cfRule type="cellIs" dxfId="1830" priority="46" operator="lessThan">
      <formula>7.9</formula>
    </cfRule>
  </conditionalFormatting>
  <conditionalFormatting sqref="AY3:AY17">
    <cfRule type="cellIs" dxfId="1829" priority="47" operator="lessThan">
      <formula>7.4</formula>
    </cfRule>
  </conditionalFormatting>
  <conditionalFormatting sqref="AY6">
    <cfRule type="cellIs" dxfId="1828" priority="48" operator="lessThan">
      <formula>6.9</formula>
    </cfRule>
  </conditionalFormatting>
  <conditionalFormatting sqref="AY3:AY15">
    <cfRule type="cellIs" dxfId="1827" priority="49" operator="lessThan">
      <formula>7.9</formula>
    </cfRule>
  </conditionalFormatting>
  <conditionalFormatting sqref="BC16:BC17">
    <cfRule type="cellIs" dxfId="1826" priority="42" operator="lessThan">
      <formula>7.9</formula>
    </cfRule>
  </conditionalFormatting>
  <conditionalFormatting sqref="BC3:BC17">
    <cfRule type="cellIs" dxfId="1825" priority="43" operator="lessThan">
      <formula>7.4</formula>
    </cfRule>
  </conditionalFormatting>
  <conditionalFormatting sqref="BC3:BC15">
    <cfRule type="cellIs" dxfId="1824" priority="44" operator="lessThan">
      <formula>7.9</formula>
    </cfRule>
  </conditionalFormatting>
  <conditionalFormatting sqref="BC6">
    <cfRule type="cellIs" dxfId="1823" priority="45" operator="lessThan">
      <formula>6.9</formula>
    </cfRule>
  </conditionalFormatting>
  <conditionalFormatting sqref="BG3:BG15">
    <cfRule type="cellIs" dxfId="1822" priority="38" operator="lessThan">
      <formula>7.9</formula>
    </cfRule>
  </conditionalFormatting>
  <conditionalFormatting sqref="BG16:BG17">
    <cfRule type="cellIs" dxfId="1821" priority="39" operator="lessThan">
      <formula>7.9</formula>
    </cfRule>
  </conditionalFormatting>
  <conditionalFormatting sqref="BG3:BG17">
    <cfRule type="cellIs" dxfId="1820" priority="40" operator="lessThan">
      <formula>7.4</formula>
    </cfRule>
  </conditionalFormatting>
  <conditionalFormatting sqref="BG6">
    <cfRule type="cellIs" dxfId="1819" priority="41" operator="lessThan">
      <formula>6.9</formula>
    </cfRule>
  </conditionalFormatting>
  <conditionalFormatting sqref="G18:G33">
    <cfRule type="cellIs" dxfId="1818" priority="36" operator="lessThan">
      <formula>7.9</formula>
    </cfRule>
    <cfRule type="cellIs" dxfId="1817" priority="37" operator="lessThan">
      <formula>7.4</formula>
    </cfRule>
  </conditionalFormatting>
  <conditionalFormatting sqref="K18:K33">
    <cfRule type="cellIs" dxfId="1816" priority="34" operator="lessThan">
      <formula>7.9</formula>
    </cfRule>
    <cfRule type="cellIs" dxfId="1815" priority="35" operator="lessThan">
      <formula>7.4</formula>
    </cfRule>
  </conditionalFormatting>
  <conditionalFormatting sqref="O18:O33">
    <cfRule type="cellIs" dxfId="1814" priority="29" operator="lessThan">
      <formula>7.9</formula>
    </cfRule>
    <cfRule type="cellIs" dxfId="1813" priority="30" operator="lessThan">
      <formula>7.4</formula>
    </cfRule>
  </conditionalFormatting>
  <conditionalFormatting sqref="O18:O33">
    <cfRule type="cellIs" dxfId="1812" priority="31" operator="lessThan">
      <formula>6.9</formula>
    </cfRule>
  </conditionalFormatting>
  <conditionalFormatting sqref="O18:O33">
    <cfRule type="cellIs" dxfId="1811" priority="32" operator="lessThan">
      <formula>7.4</formula>
    </cfRule>
    <cfRule type="cellIs" dxfId="1810" priority="33" operator="lessThan">
      <formula>7.9</formula>
    </cfRule>
  </conditionalFormatting>
  <conditionalFormatting sqref="S18:S33">
    <cfRule type="cellIs" dxfId="1809" priority="24" operator="lessThan">
      <formula>7.9</formula>
    </cfRule>
    <cfRule type="cellIs" dxfId="1808" priority="25" operator="lessThan">
      <formula>7.4</formula>
    </cfRule>
  </conditionalFormatting>
  <conditionalFormatting sqref="S18:S33">
    <cfRule type="cellIs" dxfId="1807" priority="26" operator="lessThan">
      <formula>6.9</formula>
    </cfRule>
  </conditionalFormatting>
  <conditionalFormatting sqref="S18:S33">
    <cfRule type="cellIs" dxfId="1806" priority="27" operator="lessThan">
      <formula>7.4</formula>
    </cfRule>
    <cfRule type="cellIs" dxfId="1805" priority="28" operator="lessThan">
      <formula>7.9</formula>
    </cfRule>
  </conditionalFormatting>
  <conditionalFormatting sqref="W18:W33">
    <cfRule type="cellIs" dxfId="1804" priority="22" operator="lessThan">
      <formula>7.4</formula>
    </cfRule>
    <cfRule type="cellIs" dxfId="1803" priority="23" operator="lessThan">
      <formula>7.9</formula>
    </cfRule>
  </conditionalFormatting>
  <conditionalFormatting sqref="AA18:AA33">
    <cfRule type="cellIs" dxfId="1802" priority="20" operator="lessThan">
      <formula>7.4</formula>
    </cfRule>
    <cfRule type="cellIs" dxfId="1801" priority="21" operator="lessThan">
      <formula>7.9</formula>
    </cfRule>
  </conditionalFormatting>
  <conditionalFormatting sqref="AE18:AE33">
    <cfRule type="cellIs" dxfId="1800" priority="17" operator="lessThan">
      <formula>7.4</formula>
    </cfRule>
    <cfRule type="cellIs" dxfId="1799" priority="18" operator="lessThan">
      <formula>7.9</formula>
    </cfRule>
  </conditionalFormatting>
  <conditionalFormatting sqref="AE18:AE21 AE23:AE32">
    <cfRule type="cellIs" dxfId="1798" priority="19" operator="lessThan">
      <formula>6.9</formula>
    </cfRule>
  </conditionalFormatting>
  <conditionalFormatting sqref="AI18:AI33">
    <cfRule type="cellIs" dxfId="1797" priority="16" operator="lessThan">
      <formula>6.9</formula>
    </cfRule>
  </conditionalFormatting>
  <conditionalFormatting sqref="AI18:AI33">
    <cfRule type="cellIs" dxfId="1796" priority="14" operator="lessThan">
      <formula>7.9</formula>
    </cfRule>
    <cfRule type="cellIs" dxfId="1795" priority="15" operator="lessThan">
      <formula>7.4</formula>
    </cfRule>
  </conditionalFormatting>
  <conditionalFormatting sqref="AM18:AM33">
    <cfRule type="cellIs" dxfId="1794" priority="12" operator="lessThan">
      <formula>7.9</formula>
    </cfRule>
    <cfRule type="cellIs" dxfId="1793" priority="13" operator="lessThan">
      <formula>7.4</formula>
    </cfRule>
  </conditionalFormatting>
  <conditionalFormatting sqref="AQ18:AQ33">
    <cfRule type="cellIs" dxfId="1792" priority="10" operator="lessThan">
      <formula>7.9</formula>
    </cfRule>
    <cfRule type="cellIs" dxfId="1791" priority="11" operator="lessThan">
      <formula>7.4</formula>
    </cfRule>
  </conditionalFormatting>
  <conditionalFormatting sqref="AU18:AU33">
    <cfRule type="cellIs" dxfId="1790" priority="7" operator="lessThan">
      <formula>6.9</formula>
    </cfRule>
    <cfRule type="cellIs" dxfId="1789" priority="8" operator="lessThan">
      <formula>7.4</formula>
    </cfRule>
    <cfRule type="cellIs" dxfId="1788" priority="9" operator="lessThan">
      <formula>7.9</formula>
    </cfRule>
  </conditionalFormatting>
  <conditionalFormatting sqref="AY18:AY33">
    <cfRule type="cellIs" dxfId="1787" priority="5" operator="lessThan">
      <formula>7.9</formula>
    </cfRule>
    <cfRule type="cellIs" dxfId="1786" priority="6" operator="lessThan">
      <formula>7.4</formula>
    </cfRule>
  </conditionalFormatting>
  <conditionalFormatting sqref="BC18:BC33">
    <cfRule type="cellIs" dxfId="1785" priority="3" operator="lessThan">
      <formula>7.9</formula>
    </cfRule>
    <cfRule type="cellIs" dxfId="1784" priority="4" operator="lessThan">
      <formula>7.4</formula>
    </cfRule>
  </conditionalFormatting>
  <conditionalFormatting sqref="BG18:BG33">
    <cfRule type="cellIs" dxfId="1783" priority="1" operator="lessThan">
      <formula>7.9</formula>
    </cfRule>
    <cfRule type="cellIs" dxfId="1782" priority="2" operator="lessThan">
      <formula>7.4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7B78-ED32-43BE-A98A-A2A4A18E8616}">
  <sheetPr>
    <outlinePr summaryBelow="0" summaryRight="0"/>
  </sheetPr>
  <dimension ref="A1:BJ44"/>
  <sheetViews>
    <sheetView topLeftCell="A5" zoomScale="80" zoomScaleNormal="80" workbookViewId="0">
      <selection activeCell="A13" sqref="A13:B13"/>
    </sheetView>
  </sheetViews>
  <sheetFormatPr baseColWidth="10" defaultColWidth="12.5703125" defaultRowHeight="15.75" customHeight="1" x14ac:dyDescent="0.2"/>
  <cols>
    <col min="1" max="1" width="13.42578125" bestFit="1" customWidth="1"/>
    <col min="2" max="2" width="74" bestFit="1" customWidth="1"/>
    <col min="3" max="3" width="11.5703125" bestFit="1" customWidth="1"/>
    <col min="4" max="5" width="12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  <col min="58" max="58" width="7.28515625" bestFit="1" customWidth="1"/>
    <col min="59" max="59" width="7.5703125" bestFit="1" customWidth="1"/>
    <col min="60" max="60" width="7.5703125" customWidth="1"/>
    <col min="61" max="61" width="5.5703125" bestFit="1" customWidth="1"/>
  </cols>
  <sheetData>
    <row r="1" spans="1:62" ht="44.25" customHeight="1" x14ac:dyDescent="0.2">
      <c r="A1" s="1"/>
      <c r="B1" s="1"/>
      <c r="C1" s="47"/>
      <c r="D1" s="47"/>
      <c r="E1" s="47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139</v>
      </c>
      <c r="O1" s="195"/>
      <c r="P1" s="195"/>
      <c r="Q1" s="196"/>
      <c r="R1" s="194" t="s">
        <v>887</v>
      </c>
      <c r="S1" s="195"/>
      <c r="T1" s="195"/>
      <c r="U1" s="196"/>
      <c r="V1" s="194" t="s">
        <v>138</v>
      </c>
      <c r="W1" s="195"/>
      <c r="X1" s="195"/>
      <c r="Y1" s="196"/>
      <c r="Z1" s="194" t="s">
        <v>865</v>
      </c>
      <c r="AA1" s="195"/>
      <c r="AB1" s="195"/>
      <c r="AC1" s="196"/>
      <c r="AD1" s="194" t="s">
        <v>888</v>
      </c>
      <c r="AE1" s="195"/>
      <c r="AF1" s="195"/>
      <c r="AG1" s="196"/>
      <c r="AH1" s="194" t="s">
        <v>889</v>
      </c>
      <c r="AI1" s="195"/>
      <c r="AJ1" s="195"/>
      <c r="AK1" s="196"/>
      <c r="AL1" s="194" t="s">
        <v>543</v>
      </c>
      <c r="AM1" s="195"/>
      <c r="AN1" s="195"/>
      <c r="AO1" s="196"/>
      <c r="AP1" s="194" t="s">
        <v>871</v>
      </c>
      <c r="AQ1" s="195"/>
      <c r="AR1" s="195"/>
      <c r="AS1" s="196"/>
      <c r="AT1" s="194" t="s">
        <v>544</v>
      </c>
      <c r="AU1" s="195"/>
      <c r="AV1" s="195"/>
      <c r="AW1" s="196"/>
      <c r="AX1" s="194" t="s">
        <v>0</v>
      </c>
      <c r="AY1" s="195"/>
      <c r="AZ1" s="195"/>
      <c r="BA1" s="196"/>
      <c r="BB1" s="194" t="s">
        <v>873</v>
      </c>
      <c r="BC1" s="195"/>
      <c r="BD1" s="195"/>
      <c r="BE1" s="196"/>
      <c r="BF1" s="194" t="s">
        <v>874</v>
      </c>
      <c r="BG1" s="195"/>
      <c r="BH1" s="195"/>
      <c r="BI1" s="196"/>
      <c r="BJ1" s="71" t="s">
        <v>2</v>
      </c>
    </row>
    <row r="2" spans="1:62" x14ac:dyDescent="0.2">
      <c r="A2" s="1" t="s">
        <v>3</v>
      </c>
      <c r="B2" s="1" t="s">
        <v>4</v>
      </c>
      <c r="C2" s="75" t="s">
        <v>877</v>
      </c>
      <c r="D2" s="75" t="s">
        <v>878</v>
      </c>
      <c r="E2" s="75" t="s">
        <v>879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5" t="s">
        <v>8</v>
      </c>
      <c r="BG2" s="75" t="s">
        <v>9</v>
      </c>
      <c r="BH2" s="75" t="s">
        <v>10</v>
      </c>
      <c r="BI2" s="68" t="s">
        <v>11</v>
      </c>
      <c r="BJ2" s="71" t="s">
        <v>12</v>
      </c>
    </row>
    <row r="3" spans="1:62" x14ac:dyDescent="0.25">
      <c r="A3" s="1" t="s">
        <v>613</v>
      </c>
      <c r="B3" s="5" t="s">
        <v>614</v>
      </c>
      <c r="C3" s="24" t="s">
        <v>15</v>
      </c>
      <c r="D3" s="50">
        <v>2</v>
      </c>
      <c r="E3" s="50" t="s">
        <v>16</v>
      </c>
      <c r="F3" s="137">
        <v>9</v>
      </c>
      <c r="G3" s="14">
        <v>10</v>
      </c>
      <c r="H3" s="14">
        <v>10</v>
      </c>
      <c r="I3" s="84">
        <f>AVERAGE(F3:H3)</f>
        <v>9.6666666666666661</v>
      </c>
      <c r="J3" s="130">
        <v>10</v>
      </c>
      <c r="K3" s="14">
        <v>10</v>
      </c>
      <c r="L3" s="14">
        <v>10</v>
      </c>
      <c r="M3" s="84">
        <f t="shared" ref="M3:M23" si="0">AVERAGE(J3:L3)</f>
        <v>10</v>
      </c>
      <c r="N3" s="149">
        <v>9.8000000000000007</v>
      </c>
      <c r="O3" s="18">
        <v>10</v>
      </c>
      <c r="P3" s="39">
        <v>10</v>
      </c>
      <c r="Q3" s="84">
        <f t="shared" ref="Q3:Q23" si="1">AVERAGE(N3:P3)</f>
        <v>9.9333333333333336</v>
      </c>
      <c r="R3" s="149">
        <v>9.8000000000000007</v>
      </c>
      <c r="S3" s="18">
        <v>9</v>
      </c>
      <c r="T3" s="39">
        <v>8</v>
      </c>
      <c r="U3" s="84">
        <f>AVERAGE(R3:T3)</f>
        <v>8.9333333333333336</v>
      </c>
      <c r="V3" s="149">
        <v>10</v>
      </c>
      <c r="W3" s="18">
        <v>9.6999999999999993</v>
      </c>
      <c r="X3" s="39">
        <v>9</v>
      </c>
      <c r="Y3" s="84">
        <f>AVERAGE(V3:X3)</f>
        <v>9.5666666666666664</v>
      </c>
      <c r="Z3" s="149">
        <v>10</v>
      </c>
      <c r="AA3" s="18">
        <v>9.8000000000000007</v>
      </c>
      <c r="AB3" s="92">
        <v>9.8000000000000007</v>
      </c>
      <c r="AC3" s="84">
        <f>AVERAGE(Z3:AB3)</f>
        <v>9.8666666666666671</v>
      </c>
      <c r="AD3" s="149">
        <v>9</v>
      </c>
      <c r="AE3" s="18">
        <v>9</v>
      </c>
      <c r="AF3" s="39">
        <v>10</v>
      </c>
      <c r="AG3" s="84">
        <f>AVERAGE(AD3:AF3)</f>
        <v>9.3333333333333339</v>
      </c>
      <c r="AH3" s="158">
        <v>10</v>
      </c>
      <c r="AI3" s="18">
        <v>10</v>
      </c>
      <c r="AJ3" s="39">
        <v>10</v>
      </c>
      <c r="AK3" s="84">
        <f>AVERAGE(AH3:AJ3)</f>
        <v>10</v>
      </c>
      <c r="AL3" s="158">
        <v>8</v>
      </c>
      <c r="AM3" s="18">
        <v>9</v>
      </c>
      <c r="AN3" s="39">
        <v>10</v>
      </c>
      <c r="AO3" s="84">
        <f>AVERAGE(AL3:AN3)</f>
        <v>9</v>
      </c>
      <c r="AP3" s="159">
        <v>8</v>
      </c>
      <c r="AQ3" s="207">
        <v>9</v>
      </c>
      <c r="AR3" s="113">
        <v>9</v>
      </c>
      <c r="AS3" s="84">
        <f>AVERAGE(AP3:AR3)</f>
        <v>8.6666666666666661</v>
      </c>
      <c r="AT3" s="143">
        <v>10</v>
      </c>
      <c r="AU3" s="18">
        <v>9</v>
      </c>
      <c r="AV3" s="39">
        <v>10</v>
      </c>
      <c r="AW3" s="84">
        <f>AVERAGE(AT3:AV3)</f>
        <v>9.6666666666666661</v>
      </c>
      <c r="AX3" s="144">
        <v>9</v>
      </c>
      <c r="AY3" s="209">
        <v>8</v>
      </c>
      <c r="AZ3" s="39">
        <v>10</v>
      </c>
      <c r="BA3" s="84">
        <f>AVERAGE(AX3:AZ3)</f>
        <v>9</v>
      </c>
      <c r="BB3" s="137">
        <v>9</v>
      </c>
      <c r="BC3" s="18">
        <v>10</v>
      </c>
      <c r="BD3" s="39">
        <v>10</v>
      </c>
      <c r="BE3" s="84">
        <f>AVERAGE(BB3:BD3)</f>
        <v>9.6666666666666661</v>
      </c>
      <c r="BF3" s="149">
        <v>10</v>
      </c>
      <c r="BG3" s="18">
        <v>10</v>
      </c>
      <c r="BH3" s="39">
        <v>10</v>
      </c>
      <c r="BI3" s="84">
        <f>AVERAGE(BF3:BH3)</f>
        <v>10</v>
      </c>
      <c r="BJ3" s="64">
        <f>AVERAGE(I3,M3,Q3,U3,Y3,AC3,AG3,AK3,AO3,AS3,AW3,BA3,BE3,BI3)</f>
        <v>9.5214285714285722</v>
      </c>
    </row>
    <row r="4" spans="1:62" x14ac:dyDescent="0.25">
      <c r="A4" s="1" t="s">
        <v>661</v>
      </c>
      <c r="B4" s="8" t="s">
        <v>662</v>
      </c>
      <c r="C4" s="24" t="s">
        <v>15</v>
      </c>
      <c r="D4" s="50">
        <v>2</v>
      </c>
      <c r="E4" s="50" t="s">
        <v>16</v>
      </c>
      <c r="F4" s="137">
        <v>8</v>
      </c>
      <c r="G4" s="14">
        <v>8</v>
      </c>
      <c r="H4" s="14">
        <v>10</v>
      </c>
      <c r="I4" s="84">
        <f t="shared" ref="I4:I44" si="2">AVERAGE(F4:H4)</f>
        <v>8.6666666666666661</v>
      </c>
      <c r="J4" s="130">
        <v>10</v>
      </c>
      <c r="K4" s="14">
        <v>10</v>
      </c>
      <c r="L4" s="14">
        <v>10</v>
      </c>
      <c r="M4" s="84">
        <f t="shared" si="0"/>
        <v>10</v>
      </c>
      <c r="N4" s="149">
        <v>9.8000000000000007</v>
      </c>
      <c r="O4" s="18">
        <v>8</v>
      </c>
      <c r="P4" s="39">
        <v>9.3000000000000007</v>
      </c>
      <c r="Q4" s="84">
        <f t="shared" si="1"/>
        <v>9.0333333333333332</v>
      </c>
      <c r="R4" s="149">
        <v>9.8000000000000007</v>
      </c>
      <c r="S4" s="18">
        <v>6</v>
      </c>
      <c r="T4" s="39">
        <v>8</v>
      </c>
      <c r="U4" s="84">
        <f t="shared" ref="U4:U44" si="3">AVERAGE(R4:T4)</f>
        <v>7.9333333333333336</v>
      </c>
      <c r="V4" s="149">
        <v>9</v>
      </c>
      <c r="W4" s="18">
        <v>7.5</v>
      </c>
      <c r="X4" s="39">
        <v>8</v>
      </c>
      <c r="Y4" s="84">
        <f t="shared" ref="Y4:Y44" si="4">AVERAGE(V4:X4)</f>
        <v>8.1666666666666661</v>
      </c>
      <c r="Z4" s="149">
        <v>9</v>
      </c>
      <c r="AA4" s="18">
        <v>9.1999999999999993</v>
      </c>
      <c r="AB4" s="114">
        <v>7.5</v>
      </c>
      <c r="AC4" s="84">
        <f t="shared" ref="AC4:AC44" si="5">AVERAGE(Z4:AB4)</f>
        <v>8.5666666666666664</v>
      </c>
      <c r="AD4" s="149">
        <v>9</v>
      </c>
      <c r="AE4" s="18">
        <v>10</v>
      </c>
      <c r="AF4" s="39">
        <v>10</v>
      </c>
      <c r="AG4" s="84">
        <f t="shared" ref="AG4:AG44" si="6">AVERAGE(AD4:AF4)</f>
        <v>9.6666666666666661</v>
      </c>
      <c r="AH4" s="158">
        <v>10</v>
      </c>
      <c r="AI4" s="18">
        <v>8</v>
      </c>
      <c r="AJ4" s="39">
        <v>9</v>
      </c>
      <c r="AK4" s="84">
        <f t="shared" ref="AK4:AK44" si="7">AVERAGE(AH4:AJ4)</f>
        <v>9</v>
      </c>
      <c r="AL4" s="159">
        <v>8</v>
      </c>
      <c r="AM4" s="207">
        <v>7</v>
      </c>
      <c r="AN4" s="113">
        <v>9</v>
      </c>
      <c r="AO4" s="84">
        <f t="shared" ref="AO4:AO44" si="8">AVERAGE(AL4:AN4)</f>
        <v>8</v>
      </c>
      <c r="AP4" s="159">
        <v>8</v>
      </c>
      <c r="AQ4" s="207">
        <v>9</v>
      </c>
      <c r="AR4" s="113">
        <v>8</v>
      </c>
      <c r="AS4" s="84">
        <f t="shared" ref="AS4:AS44" si="9">AVERAGE(AP4:AR4)</f>
        <v>8.3333333333333339</v>
      </c>
      <c r="AT4" s="143">
        <v>10</v>
      </c>
      <c r="AU4" s="18">
        <v>9</v>
      </c>
      <c r="AV4" s="39">
        <v>10</v>
      </c>
      <c r="AW4" s="84">
        <f t="shared" ref="AW4:AW44" si="10">AVERAGE(AT4:AV4)</f>
        <v>9.6666666666666661</v>
      </c>
      <c r="AX4" s="144">
        <v>10</v>
      </c>
      <c r="AY4" s="209">
        <v>9</v>
      </c>
      <c r="AZ4" s="39">
        <v>10</v>
      </c>
      <c r="BA4" s="84">
        <f t="shared" ref="BA4:BA44" si="11">AVERAGE(AX4:AZ4)</f>
        <v>9.6666666666666661</v>
      </c>
      <c r="BB4" s="137">
        <v>9</v>
      </c>
      <c r="BC4" s="18">
        <v>9</v>
      </c>
      <c r="BD4" s="39">
        <v>9</v>
      </c>
      <c r="BE4" s="84">
        <f t="shared" ref="BE4:BE44" si="12">AVERAGE(BB4:BD4)</f>
        <v>9</v>
      </c>
      <c r="BF4" s="149">
        <v>10</v>
      </c>
      <c r="BG4" s="18">
        <v>10</v>
      </c>
      <c r="BH4" s="39">
        <v>10</v>
      </c>
      <c r="BI4" s="84">
        <f t="shared" ref="BI4:BI44" si="13">AVERAGE(BF4:BH4)</f>
        <v>10</v>
      </c>
      <c r="BJ4" s="64">
        <f t="shared" ref="BJ4:BJ44" si="14">AVERAGE(I4,M4,Q4,U4,Y4,AC4,AG4,AK4,AO4,AS4,AW4,BA4,BE4,BI4)</f>
        <v>8.9785714285714295</v>
      </c>
    </row>
    <row r="5" spans="1:62" x14ac:dyDescent="0.25">
      <c r="A5" s="1" t="s">
        <v>635</v>
      </c>
      <c r="B5" s="8" t="s">
        <v>636</v>
      </c>
      <c r="C5" s="24" t="s">
        <v>15</v>
      </c>
      <c r="D5" s="50">
        <v>2</v>
      </c>
      <c r="E5" s="50" t="s">
        <v>16</v>
      </c>
      <c r="F5" s="137">
        <v>8</v>
      </c>
      <c r="G5" s="14">
        <v>8</v>
      </c>
      <c r="H5" s="14">
        <v>10</v>
      </c>
      <c r="I5" s="84">
        <f t="shared" si="2"/>
        <v>8.6666666666666661</v>
      </c>
      <c r="J5" s="130">
        <v>10</v>
      </c>
      <c r="K5" s="14">
        <v>9</v>
      </c>
      <c r="L5" s="14">
        <v>9</v>
      </c>
      <c r="M5" s="84">
        <f t="shared" si="0"/>
        <v>9.3333333333333339</v>
      </c>
      <c r="N5" s="149">
        <v>9.5</v>
      </c>
      <c r="O5" s="18">
        <v>9</v>
      </c>
      <c r="P5" s="39">
        <v>9.8000000000000007</v>
      </c>
      <c r="Q5" s="84">
        <f t="shared" si="1"/>
        <v>9.4333333333333336</v>
      </c>
      <c r="R5" s="149">
        <v>9.5</v>
      </c>
      <c r="S5" s="18">
        <v>8</v>
      </c>
      <c r="T5" s="115">
        <v>8</v>
      </c>
      <c r="U5" s="84">
        <f t="shared" si="3"/>
        <v>8.5</v>
      </c>
      <c r="V5" s="149">
        <v>9</v>
      </c>
      <c r="W5" s="18">
        <v>9.6999999999999993</v>
      </c>
      <c r="X5" s="39">
        <v>8</v>
      </c>
      <c r="Y5" s="84">
        <f t="shared" si="4"/>
        <v>8.9</v>
      </c>
      <c r="Z5" s="149">
        <v>9</v>
      </c>
      <c r="AA5" s="18">
        <v>9.8000000000000007</v>
      </c>
      <c r="AB5" s="92">
        <v>8.1999999999999993</v>
      </c>
      <c r="AC5" s="84">
        <f t="shared" si="5"/>
        <v>9</v>
      </c>
      <c r="AD5" s="149">
        <v>8</v>
      </c>
      <c r="AE5" s="18">
        <v>9</v>
      </c>
      <c r="AF5" s="39">
        <v>10</v>
      </c>
      <c r="AG5" s="84">
        <f t="shared" si="6"/>
        <v>9</v>
      </c>
      <c r="AH5" s="158">
        <v>10</v>
      </c>
      <c r="AI5" s="18">
        <v>9</v>
      </c>
      <c r="AJ5" s="39">
        <v>10</v>
      </c>
      <c r="AK5" s="84">
        <f t="shared" si="7"/>
        <v>9.6666666666666661</v>
      </c>
      <c r="AL5" s="159">
        <v>8</v>
      </c>
      <c r="AM5" s="207">
        <v>9</v>
      </c>
      <c r="AN5" s="113">
        <v>10</v>
      </c>
      <c r="AO5" s="84">
        <f t="shared" si="8"/>
        <v>9</v>
      </c>
      <c r="AP5" s="161">
        <v>8</v>
      </c>
      <c r="AQ5" s="207">
        <v>7</v>
      </c>
      <c r="AR5" s="113">
        <v>9</v>
      </c>
      <c r="AS5" s="84">
        <f t="shared" si="9"/>
        <v>8</v>
      </c>
      <c r="AT5" s="143">
        <v>10</v>
      </c>
      <c r="AU5" s="18">
        <v>9</v>
      </c>
      <c r="AV5" s="39">
        <v>10</v>
      </c>
      <c r="AW5" s="84">
        <f t="shared" si="10"/>
        <v>9.6666666666666661</v>
      </c>
      <c r="AX5" s="144">
        <v>9</v>
      </c>
      <c r="AY5" s="209">
        <v>9</v>
      </c>
      <c r="AZ5" s="39">
        <v>10</v>
      </c>
      <c r="BA5" s="84">
        <f t="shared" si="11"/>
        <v>9.3333333333333339</v>
      </c>
      <c r="BB5" s="137">
        <v>9</v>
      </c>
      <c r="BC5" s="18">
        <v>10</v>
      </c>
      <c r="BD5" s="39">
        <v>10</v>
      </c>
      <c r="BE5" s="84">
        <f t="shared" si="12"/>
        <v>9.6666666666666661</v>
      </c>
      <c r="BF5" s="149">
        <v>10</v>
      </c>
      <c r="BG5" s="18">
        <v>10</v>
      </c>
      <c r="BH5" s="39">
        <v>10</v>
      </c>
      <c r="BI5" s="84">
        <f t="shared" si="13"/>
        <v>10</v>
      </c>
      <c r="BJ5" s="64">
        <f t="shared" si="14"/>
        <v>9.1547619047619069</v>
      </c>
    </row>
    <row r="6" spans="1:62" x14ac:dyDescent="0.25">
      <c r="A6" s="1" t="s">
        <v>609</v>
      </c>
      <c r="B6" s="8" t="s">
        <v>610</v>
      </c>
      <c r="C6" s="24" t="s">
        <v>15</v>
      </c>
      <c r="D6" s="50">
        <v>2</v>
      </c>
      <c r="E6" s="50" t="s">
        <v>16</v>
      </c>
      <c r="F6" s="137">
        <v>8</v>
      </c>
      <c r="G6" s="14">
        <v>6</v>
      </c>
      <c r="H6" s="14">
        <v>10</v>
      </c>
      <c r="I6" s="84">
        <f t="shared" si="2"/>
        <v>8</v>
      </c>
      <c r="J6" s="130">
        <v>10</v>
      </c>
      <c r="K6" s="14">
        <v>9</v>
      </c>
      <c r="L6" s="14">
        <v>10</v>
      </c>
      <c r="M6" s="84">
        <f t="shared" si="0"/>
        <v>9.6666666666666661</v>
      </c>
      <c r="N6" s="149">
        <v>9.5</v>
      </c>
      <c r="O6" s="18">
        <v>10</v>
      </c>
      <c r="P6" s="39">
        <v>8.8000000000000007</v>
      </c>
      <c r="Q6" s="84">
        <f t="shared" si="1"/>
        <v>9.4333333333333336</v>
      </c>
      <c r="R6" s="149">
        <v>9.5</v>
      </c>
      <c r="S6" s="18">
        <v>6</v>
      </c>
      <c r="T6" s="116">
        <v>10</v>
      </c>
      <c r="U6" s="84">
        <f t="shared" si="3"/>
        <v>8.5</v>
      </c>
      <c r="V6" s="149">
        <v>9</v>
      </c>
      <c r="W6" s="18">
        <v>7.5</v>
      </c>
      <c r="X6" s="39">
        <v>9</v>
      </c>
      <c r="Y6" s="84">
        <f t="shared" si="4"/>
        <v>8.5</v>
      </c>
      <c r="Z6" s="149">
        <v>9</v>
      </c>
      <c r="AA6" s="18">
        <v>9.3000000000000007</v>
      </c>
      <c r="AB6" s="92">
        <v>9.8000000000000007</v>
      </c>
      <c r="AC6" s="84">
        <f t="shared" si="5"/>
        <v>9.3666666666666671</v>
      </c>
      <c r="AD6" s="149">
        <v>10</v>
      </c>
      <c r="AE6" s="18">
        <v>9</v>
      </c>
      <c r="AF6" s="39">
        <v>10</v>
      </c>
      <c r="AG6" s="84">
        <f t="shared" si="6"/>
        <v>9.6666666666666661</v>
      </c>
      <c r="AH6" s="158">
        <v>10</v>
      </c>
      <c r="AI6" s="18">
        <v>8</v>
      </c>
      <c r="AJ6" s="39">
        <v>10</v>
      </c>
      <c r="AK6" s="84">
        <f t="shared" si="7"/>
        <v>9.3333333333333339</v>
      </c>
      <c r="AL6" s="158">
        <v>8</v>
      </c>
      <c r="AM6" s="18">
        <v>8</v>
      </c>
      <c r="AN6" s="39">
        <v>9</v>
      </c>
      <c r="AO6" s="84">
        <f t="shared" si="8"/>
        <v>8.3333333333333339</v>
      </c>
      <c r="AP6" s="159">
        <v>8</v>
      </c>
      <c r="AQ6" s="207">
        <v>8</v>
      </c>
      <c r="AR6" s="113">
        <v>9</v>
      </c>
      <c r="AS6" s="84">
        <f t="shared" si="9"/>
        <v>8.3333333333333339</v>
      </c>
      <c r="AT6" s="143">
        <v>10</v>
      </c>
      <c r="AU6" s="18">
        <v>9</v>
      </c>
      <c r="AV6" s="39">
        <v>10</v>
      </c>
      <c r="AW6" s="84">
        <f t="shared" si="10"/>
        <v>9.6666666666666661</v>
      </c>
      <c r="AX6" s="144">
        <v>9</v>
      </c>
      <c r="AY6" s="209">
        <v>8</v>
      </c>
      <c r="AZ6" s="39">
        <v>10</v>
      </c>
      <c r="BA6" s="84">
        <f t="shared" si="11"/>
        <v>9</v>
      </c>
      <c r="BB6" s="137">
        <v>9</v>
      </c>
      <c r="BC6" s="18">
        <v>10</v>
      </c>
      <c r="BD6" s="39">
        <v>10</v>
      </c>
      <c r="BE6" s="84">
        <f t="shared" si="12"/>
        <v>9.6666666666666661</v>
      </c>
      <c r="BF6" s="149">
        <v>10</v>
      </c>
      <c r="BG6" s="18">
        <v>8</v>
      </c>
      <c r="BH6" s="39">
        <v>10</v>
      </c>
      <c r="BI6" s="84">
        <f t="shared" si="13"/>
        <v>9.3333333333333339</v>
      </c>
      <c r="BJ6" s="64">
        <f t="shared" si="14"/>
        <v>9.0571428571428552</v>
      </c>
    </row>
    <row r="7" spans="1:62" x14ac:dyDescent="0.25">
      <c r="A7" s="1" t="s">
        <v>649</v>
      </c>
      <c r="B7" s="5" t="s">
        <v>650</v>
      </c>
      <c r="C7" s="24" t="s">
        <v>15</v>
      </c>
      <c r="D7" s="50">
        <v>2</v>
      </c>
      <c r="E7" s="50" t="s">
        <v>16</v>
      </c>
      <c r="F7" s="137">
        <v>8</v>
      </c>
      <c r="G7" s="15">
        <v>8</v>
      </c>
      <c r="H7" s="14">
        <v>10</v>
      </c>
      <c r="I7" s="84">
        <f t="shared" si="2"/>
        <v>8.6666666666666661</v>
      </c>
      <c r="J7" s="130">
        <v>9</v>
      </c>
      <c r="K7" s="15">
        <v>8</v>
      </c>
      <c r="L7" s="14">
        <v>8</v>
      </c>
      <c r="M7" s="84">
        <f t="shared" si="0"/>
        <v>8.3333333333333339</v>
      </c>
      <c r="N7" s="149">
        <v>9.5</v>
      </c>
      <c r="O7" s="18">
        <v>9</v>
      </c>
      <c r="P7" s="39">
        <v>9.8000000000000007</v>
      </c>
      <c r="Q7" s="84">
        <f t="shared" si="1"/>
        <v>9.4333333333333336</v>
      </c>
      <c r="R7" s="149">
        <v>9.5</v>
      </c>
      <c r="S7" s="18">
        <v>4</v>
      </c>
      <c r="T7" s="114">
        <v>7.5</v>
      </c>
      <c r="U7" s="84">
        <f t="shared" si="3"/>
        <v>7</v>
      </c>
      <c r="V7" s="149">
        <v>8</v>
      </c>
      <c r="W7" s="18">
        <v>7.5</v>
      </c>
      <c r="X7" s="39">
        <v>9</v>
      </c>
      <c r="Y7" s="84">
        <f t="shared" si="4"/>
        <v>8.1666666666666661</v>
      </c>
      <c r="Z7" s="149">
        <v>8</v>
      </c>
      <c r="AA7" s="18">
        <v>8.6999999999999993</v>
      </c>
      <c r="AB7" s="92">
        <v>9.8000000000000007</v>
      </c>
      <c r="AC7" s="84">
        <f t="shared" si="5"/>
        <v>8.8333333333333339</v>
      </c>
      <c r="AD7" s="149">
        <v>8</v>
      </c>
      <c r="AE7" s="18">
        <v>8</v>
      </c>
      <c r="AF7" s="39">
        <v>10</v>
      </c>
      <c r="AG7" s="84">
        <f t="shared" si="6"/>
        <v>8.6666666666666661</v>
      </c>
      <c r="AH7" s="158">
        <v>10</v>
      </c>
      <c r="AI7" s="18">
        <v>8</v>
      </c>
      <c r="AJ7" s="39">
        <v>10</v>
      </c>
      <c r="AK7" s="84">
        <f t="shared" si="7"/>
        <v>9.3333333333333339</v>
      </c>
      <c r="AL7" s="159">
        <v>8</v>
      </c>
      <c r="AM7" s="207">
        <v>9</v>
      </c>
      <c r="AN7" s="113">
        <v>9</v>
      </c>
      <c r="AO7" s="84">
        <f t="shared" si="8"/>
        <v>8.6666666666666661</v>
      </c>
      <c r="AP7" s="159">
        <v>8</v>
      </c>
      <c r="AQ7" s="207">
        <v>8</v>
      </c>
      <c r="AR7" s="113">
        <v>8</v>
      </c>
      <c r="AS7" s="84">
        <f t="shared" si="9"/>
        <v>8</v>
      </c>
      <c r="AT7" s="143">
        <v>10</v>
      </c>
      <c r="AU7" s="18">
        <v>9</v>
      </c>
      <c r="AV7" s="39">
        <v>10</v>
      </c>
      <c r="AW7" s="84">
        <f t="shared" si="10"/>
        <v>9.6666666666666661</v>
      </c>
      <c r="AX7" s="144">
        <v>9</v>
      </c>
      <c r="AY7" s="209">
        <v>9</v>
      </c>
      <c r="AZ7" s="39">
        <v>10</v>
      </c>
      <c r="BA7" s="84">
        <f t="shared" si="11"/>
        <v>9.3333333333333339</v>
      </c>
      <c r="BB7" s="137">
        <v>8</v>
      </c>
      <c r="BC7" s="18">
        <v>9</v>
      </c>
      <c r="BD7" s="39">
        <v>9</v>
      </c>
      <c r="BE7" s="84">
        <f t="shared" si="12"/>
        <v>8.6666666666666661</v>
      </c>
      <c r="BF7" s="149">
        <v>10</v>
      </c>
      <c r="BG7" s="18">
        <v>8</v>
      </c>
      <c r="BH7" s="39">
        <v>10</v>
      </c>
      <c r="BI7" s="84">
        <f t="shared" si="13"/>
        <v>9.3333333333333339</v>
      </c>
      <c r="BJ7" s="64">
        <f t="shared" si="14"/>
        <v>8.7214285714285715</v>
      </c>
    </row>
    <row r="8" spans="1:62" x14ac:dyDescent="0.25">
      <c r="A8" s="1" t="s">
        <v>619</v>
      </c>
      <c r="B8" s="8" t="s">
        <v>620</v>
      </c>
      <c r="C8" s="24" t="s">
        <v>15</v>
      </c>
      <c r="D8" s="50">
        <v>2</v>
      </c>
      <c r="E8" s="50" t="s">
        <v>16</v>
      </c>
      <c r="F8" s="137">
        <v>10</v>
      </c>
      <c r="G8" s="14">
        <v>10</v>
      </c>
      <c r="H8" s="14">
        <v>10</v>
      </c>
      <c r="I8" s="84">
        <f t="shared" si="2"/>
        <v>10</v>
      </c>
      <c r="J8" s="130">
        <v>10</v>
      </c>
      <c r="K8" s="14">
        <v>10</v>
      </c>
      <c r="L8" s="14">
        <v>10</v>
      </c>
      <c r="M8" s="84">
        <f t="shared" si="0"/>
        <v>10</v>
      </c>
      <c r="N8" s="149">
        <v>9.8000000000000007</v>
      </c>
      <c r="O8" s="18">
        <v>10</v>
      </c>
      <c r="P8" s="39">
        <v>9.8000000000000007</v>
      </c>
      <c r="Q8" s="84">
        <f t="shared" si="1"/>
        <v>9.8666666666666671</v>
      </c>
      <c r="R8" s="149">
        <v>9.8000000000000007</v>
      </c>
      <c r="S8" s="18">
        <v>8</v>
      </c>
      <c r="T8" s="116">
        <v>10</v>
      </c>
      <c r="U8" s="84">
        <f t="shared" si="3"/>
        <v>9.2666666666666675</v>
      </c>
      <c r="V8" s="149">
        <v>9</v>
      </c>
      <c r="W8" s="18">
        <v>9.5</v>
      </c>
      <c r="X8" s="39">
        <v>9</v>
      </c>
      <c r="Y8" s="84">
        <f t="shared" si="4"/>
        <v>9.1666666666666661</v>
      </c>
      <c r="Z8" s="149">
        <v>9</v>
      </c>
      <c r="AA8" s="18">
        <v>10</v>
      </c>
      <c r="AB8" s="92">
        <v>9.5</v>
      </c>
      <c r="AC8" s="84">
        <f t="shared" si="5"/>
        <v>9.5</v>
      </c>
      <c r="AD8" s="149">
        <v>10</v>
      </c>
      <c r="AE8" s="18">
        <v>10</v>
      </c>
      <c r="AF8" s="39">
        <v>10</v>
      </c>
      <c r="AG8" s="84">
        <f t="shared" si="6"/>
        <v>10</v>
      </c>
      <c r="AH8" s="158">
        <v>10</v>
      </c>
      <c r="AI8" s="18">
        <v>9</v>
      </c>
      <c r="AJ8" s="39">
        <v>10</v>
      </c>
      <c r="AK8" s="84">
        <f t="shared" si="7"/>
        <v>9.6666666666666661</v>
      </c>
      <c r="AL8" s="158">
        <v>9</v>
      </c>
      <c r="AM8" s="18">
        <v>9</v>
      </c>
      <c r="AN8" s="39">
        <v>10</v>
      </c>
      <c r="AO8" s="84">
        <f t="shared" si="8"/>
        <v>9.3333333333333339</v>
      </c>
      <c r="AP8" s="158">
        <v>9</v>
      </c>
      <c r="AQ8" s="18">
        <v>9</v>
      </c>
      <c r="AR8" s="39">
        <v>9</v>
      </c>
      <c r="AS8" s="84">
        <f t="shared" si="9"/>
        <v>9</v>
      </c>
      <c r="AT8" s="143">
        <v>10</v>
      </c>
      <c r="AU8" s="18">
        <v>9</v>
      </c>
      <c r="AV8" s="39">
        <v>10</v>
      </c>
      <c r="AW8" s="84">
        <f t="shared" si="10"/>
        <v>9.6666666666666661</v>
      </c>
      <c r="AX8" s="144">
        <v>10</v>
      </c>
      <c r="AY8" s="209">
        <v>9</v>
      </c>
      <c r="AZ8" s="39">
        <v>10</v>
      </c>
      <c r="BA8" s="84">
        <f t="shared" si="11"/>
        <v>9.6666666666666661</v>
      </c>
      <c r="BB8" s="137">
        <v>10</v>
      </c>
      <c r="BC8" s="18">
        <v>10</v>
      </c>
      <c r="BD8" s="39">
        <v>10</v>
      </c>
      <c r="BE8" s="84">
        <f t="shared" si="12"/>
        <v>10</v>
      </c>
      <c r="BF8" s="149">
        <v>10</v>
      </c>
      <c r="BG8" s="18">
        <v>10</v>
      </c>
      <c r="BH8" s="39">
        <v>10</v>
      </c>
      <c r="BI8" s="84">
        <f t="shared" si="13"/>
        <v>10</v>
      </c>
      <c r="BJ8" s="64">
        <f t="shared" si="14"/>
        <v>9.6523809523809518</v>
      </c>
    </row>
    <row r="9" spans="1:62" x14ac:dyDescent="0.25">
      <c r="A9" s="1" t="s">
        <v>643</v>
      </c>
      <c r="B9" s="5" t="s">
        <v>644</v>
      </c>
      <c r="C9" s="24" t="s">
        <v>15</v>
      </c>
      <c r="D9" s="50">
        <v>2</v>
      </c>
      <c r="E9" s="50" t="s">
        <v>16</v>
      </c>
      <c r="F9" s="137">
        <v>10</v>
      </c>
      <c r="G9" s="14">
        <v>10</v>
      </c>
      <c r="H9" s="14">
        <v>10</v>
      </c>
      <c r="I9" s="84">
        <f t="shared" si="2"/>
        <v>10</v>
      </c>
      <c r="J9" s="130">
        <v>10</v>
      </c>
      <c r="K9" s="14">
        <v>10</v>
      </c>
      <c r="L9" s="14">
        <v>10</v>
      </c>
      <c r="M9" s="84">
        <f t="shared" si="0"/>
        <v>10</v>
      </c>
      <c r="N9" s="149">
        <v>9.8000000000000007</v>
      </c>
      <c r="O9" s="18">
        <v>10</v>
      </c>
      <c r="P9" s="39">
        <v>10</v>
      </c>
      <c r="Q9" s="84">
        <f t="shared" si="1"/>
        <v>9.9333333333333336</v>
      </c>
      <c r="R9" s="149">
        <v>9.8000000000000007</v>
      </c>
      <c r="S9" s="18">
        <v>10</v>
      </c>
      <c r="T9" s="116">
        <v>10</v>
      </c>
      <c r="U9" s="84">
        <f t="shared" si="3"/>
        <v>9.9333333333333336</v>
      </c>
      <c r="V9" s="149">
        <v>10</v>
      </c>
      <c r="W9" s="18">
        <v>9.6999999999999993</v>
      </c>
      <c r="X9" s="39">
        <v>10</v>
      </c>
      <c r="Y9" s="84">
        <f t="shared" si="4"/>
        <v>9.9</v>
      </c>
      <c r="Z9" s="149">
        <v>10</v>
      </c>
      <c r="AA9" s="18">
        <v>10</v>
      </c>
      <c r="AB9" s="92">
        <v>10</v>
      </c>
      <c r="AC9" s="84">
        <f t="shared" si="5"/>
        <v>10</v>
      </c>
      <c r="AD9" s="149">
        <v>10</v>
      </c>
      <c r="AE9" s="18">
        <v>9</v>
      </c>
      <c r="AF9" s="39">
        <v>10</v>
      </c>
      <c r="AG9" s="84">
        <f t="shared" si="6"/>
        <v>9.6666666666666661</v>
      </c>
      <c r="AH9" s="158">
        <v>10</v>
      </c>
      <c r="AI9" s="18">
        <v>10</v>
      </c>
      <c r="AJ9" s="39">
        <v>10</v>
      </c>
      <c r="AK9" s="84">
        <f t="shared" si="7"/>
        <v>10</v>
      </c>
      <c r="AL9" s="158">
        <v>9</v>
      </c>
      <c r="AM9" s="18">
        <v>9</v>
      </c>
      <c r="AN9" s="39">
        <v>10</v>
      </c>
      <c r="AO9" s="84">
        <f t="shared" si="8"/>
        <v>9.3333333333333339</v>
      </c>
      <c r="AP9" s="161">
        <v>9</v>
      </c>
      <c r="AQ9" s="207">
        <v>9</v>
      </c>
      <c r="AR9" s="113">
        <v>10</v>
      </c>
      <c r="AS9" s="84">
        <f t="shared" si="9"/>
        <v>9.3333333333333339</v>
      </c>
      <c r="AT9" s="143">
        <v>10</v>
      </c>
      <c r="AU9" s="18">
        <v>9</v>
      </c>
      <c r="AV9" s="39">
        <v>10</v>
      </c>
      <c r="AW9" s="84">
        <f t="shared" si="10"/>
        <v>9.6666666666666661</v>
      </c>
      <c r="AX9" s="144">
        <v>10</v>
      </c>
      <c r="AY9" s="209">
        <v>9</v>
      </c>
      <c r="AZ9" s="39">
        <v>10</v>
      </c>
      <c r="BA9" s="84">
        <f t="shared" si="11"/>
        <v>9.6666666666666661</v>
      </c>
      <c r="BB9" s="137">
        <v>10</v>
      </c>
      <c r="BC9" s="18">
        <v>10</v>
      </c>
      <c r="BD9" s="39">
        <v>10</v>
      </c>
      <c r="BE9" s="84">
        <f t="shared" si="12"/>
        <v>10</v>
      </c>
      <c r="BF9" s="149">
        <v>10</v>
      </c>
      <c r="BG9" s="18">
        <v>10</v>
      </c>
      <c r="BH9" s="39">
        <v>10</v>
      </c>
      <c r="BI9" s="84">
        <f t="shared" si="13"/>
        <v>10</v>
      </c>
      <c r="BJ9" s="64">
        <f t="shared" si="14"/>
        <v>9.8166666666666664</v>
      </c>
    </row>
    <row r="10" spans="1:62" x14ac:dyDescent="0.25">
      <c r="A10" s="1" t="s">
        <v>683</v>
      </c>
      <c r="B10" s="5" t="s">
        <v>684</v>
      </c>
      <c r="C10" s="24" t="s">
        <v>15</v>
      </c>
      <c r="D10" s="50">
        <v>2</v>
      </c>
      <c r="E10" s="50" t="s">
        <v>16</v>
      </c>
      <c r="F10" s="137">
        <v>8</v>
      </c>
      <c r="G10" s="14">
        <v>8</v>
      </c>
      <c r="H10" s="14">
        <v>10</v>
      </c>
      <c r="I10" s="84">
        <f t="shared" si="2"/>
        <v>8.6666666666666661</v>
      </c>
      <c r="J10" s="130">
        <v>9</v>
      </c>
      <c r="K10" s="14">
        <v>8</v>
      </c>
      <c r="L10" s="14">
        <v>8</v>
      </c>
      <c r="M10" s="84">
        <f t="shared" si="0"/>
        <v>8.3333333333333339</v>
      </c>
      <c r="N10" s="149">
        <v>9.8000000000000007</v>
      </c>
      <c r="O10" s="18">
        <v>8</v>
      </c>
      <c r="P10" s="39">
        <v>8.5</v>
      </c>
      <c r="Q10" s="84">
        <f t="shared" si="1"/>
        <v>8.7666666666666675</v>
      </c>
      <c r="R10" s="149">
        <v>9.8000000000000007</v>
      </c>
      <c r="S10" s="18">
        <v>8</v>
      </c>
      <c r="T10" s="116">
        <v>8</v>
      </c>
      <c r="U10" s="84">
        <f t="shared" si="3"/>
        <v>8.6</v>
      </c>
      <c r="V10" s="149">
        <v>9</v>
      </c>
      <c r="W10" s="18">
        <v>7.5</v>
      </c>
      <c r="X10" s="39">
        <v>9</v>
      </c>
      <c r="Y10" s="84">
        <f t="shared" si="4"/>
        <v>8.5</v>
      </c>
      <c r="Z10" s="149">
        <v>9</v>
      </c>
      <c r="AA10" s="18">
        <v>9</v>
      </c>
      <c r="AB10" s="92">
        <v>9.5</v>
      </c>
      <c r="AC10" s="84">
        <f t="shared" si="5"/>
        <v>9.1666666666666661</v>
      </c>
      <c r="AD10" s="149">
        <v>9</v>
      </c>
      <c r="AE10" s="18">
        <v>9</v>
      </c>
      <c r="AF10" s="39">
        <v>10</v>
      </c>
      <c r="AG10" s="84">
        <f t="shared" si="6"/>
        <v>9.3333333333333339</v>
      </c>
      <c r="AH10" s="158">
        <v>10</v>
      </c>
      <c r="AI10" s="18">
        <v>8</v>
      </c>
      <c r="AJ10" s="39">
        <v>8</v>
      </c>
      <c r="AK10" s="84">
        <f t="shared" si="7"/>
        <v>8.6666666666666661</v>
      </c>
      <c r="AL10" s="158">
        <v>8</v>
      </c>
      <c r="AM10" s="18">
        <v>8</v>
      </c>
      <c r="AN10" s="39">
        <v>9</v>
      </c>
      <c r="AO10" s="84">
        <f t="shared" si="8"/>
        <v>8.3333333333333339</v>
      </c>
      <c r="AP10" s="161">
        <v>7</v>
      </c>
      <c r="AQ10" s="215">
        <v>8</v>
      </c>
      <c r="AR10" s="113">
        <v>9</v>
      </c>
      <c r="AS10" s="84">
        <f t="shared" si="9"/>
        <v>8</v>
      </c>
      <c r="AT10" s="143">
        <v>10</v>
      </c>
      <c r="AU10" s="18">
        <v>9</v>
      </c>
      <c r="AV10" s="39">
        <v>10</v>
      </c>
      <c r="AW10" s="84">
        <f t="shared" si="10"/>
        <v>9.6666666666666661</v>
      </c>
      <c r="AX10" s="144">
        <v>9</v>
      </c>
      <c r="AY10" s="209">
        <v>9</v>
      </c>
      <c r="AZ10" s="39">
        <v>10</v>
      </c>
      <c r="BA10" s="84">
        <f t="shared" si="11"/>
        <v>9.3333333333333339</v>
      </c>
      <c r="BB10" s="137">
        <v>9</v>
      </c>
      <c r="BC10" s="18">
        <v>10</v>
      </c>
      <c r="BD10" s="39">
        <v>10</v>
      </c>
      <c r="BE10" s="84">
        <f t="shared" si="12"/>
        <v>9.6666666666666661</v>
      </c>
      <c r="BF10" s="149">
        <v>10</v>
      </c>
      <c r="BG10" s="18">
        <v>8</v>
      </c>
      <c r="BH10" s="39">
        <v>10</v>
      </c>
      <c r="BI10" s="84">
        <f t="shared" si="13"/>
        <v>9.3333333333333339</v>
      </c>
      <c r="BJ10" s="64">
        <f t="shared" si="14"/>
        <v>8.8833333333333329</v>
      </c>
    </row>
    <row r="11" spans="1:62" x14ac:dyDescent="0.25">
      <c r="A11" s="1" t="s">
        <v>641</v>
      </c>
      <c r="B11" s="5" t="s">
        <v>642</v>
      </c>
      <c r="C11" s="24" t="s">
        <v>15</v>
      </c>
      <c r="D11" s="50">
        <v>2</v>
      </c>
      <c r="E11" s="50" t="s">
        <v>16</v>
      </c>
      <c r="F11" s="137">
        <v>8</v>
      </c>
      <c r="G11" s="14">
        <v>8</v>
      </c>
      <c r="H11" s="14">
        <v>10</v>
      </c>
      <c r="I11" s="84">
        <f t="shared" si="2"/>
        <v>8.6666666666666661</v>
      </c>
      <c r="J11" s="130">
        <v>10</v>
      </c>
      <c r="K11" s="14">
        <v>9</v>
      </c>
      <c r="L11" s="14">
        <v>9</v>
      </c>
      <c r="M11" s="84">
        <f t="shared" si="0"/>
        <v>9.3333333333333339</v>
      </c>
      <c r="N11" s="149">
        <v>9.8000000000000007</v>
      </c>
      <c r="O11" s="18">
        <v>10</v>
      </c>
      <c r="P11" s="39">
        <v>10</v>
      </c>
      <c r="Q11" s="84">
        <f t="shared" si="1"/>
        <v>9.9333333333333336</v>
      </c>
      <c r="R11" s="149">
        <v>9.8000000000000007</v>
      </c>
      <c r="S11" s="18">
        <v>4</v>
      </c>
      <c r="T11" s="114">
        <v>7.5</v>
      </c>
      <c r="U11" s="84">
        <f t="shared" si="3"/>
        <v>7.1000000000000005</v>
      </c>
      <c r="V11" s="149">
        <v>8</v>
      </c>
      <c r="W11" s="18">
        <v>8</v>
      </c>
      <c r="X11" s="39">
        <v>9</v>
      </c>
      <c r="Y11" s="84">
        <f t="shared" si="4"/>
        <v>8.3333333333333339</v>
      </c>
      <c r="Z11" s="149">
        <v>8</v>
      </c>
      <c r="AA11" s="18">
        <v>9.8000000000000007</v>
      </c>
      <c r="AB11" s="92">
        <v>9</v>
      </c>
      <c r="AC11" s="84">
        <f t="shared" si="5"/>
        <v>8.9333333333333336</v>
      </c>
      <c r="AD11" s="149">
        <v>8</v>
      </c>
      <c r="AE11" s="18">
        <v>8</v>
      </c>
      <c r="AF11" s="39">
        <v>10</v>
      </c>
      <c r="AG11" s="84">
        <f t="shared" si="6"/>
        <v>8.6666666666666661</v>
      </c>
      <c r="AH11" s="158">
        <v>10</v>
      </c>
      <c r="AI11" s="18">
        <v>8</v>
      </c>
      <c r="AJ11" s="39">
        <v>9</v>
      </c>
      <c r="AK11" s="84">
        <f t="shared" si="7"/>
        <v>9</v>
      </c>
      <c r="AL11" s="160">
        <v>7</v>
      </c>
      <c r="AM11" s="214">
        <v>8</v>
      </c>
      <c r="AN11" s="39">
        <v>10</v>
      </c>
      <c r="AO11" s="84">
        <f t="shared" si="8"/>
        <v>8.3333333333333339</v>
      </c>
      <c r="AP11" s="159">
        <v>8</v>
      </c>
      <c r="AQ11" s="207">
        <v>8</v>
      </c>
      <c r="AR11" s="113">
        <v>8</v>
      </c>
      <c r="AS11" s="84">
        <f t="shared" si="9"/>
        <v>8</v>
      </c>
      <c r="AT11" s="143">
        <v>10</v>
      </c>
      <c r="AU11" s="18">
        <v>9</v>
      </c>
      <c r="AV11" s="39">
        <v>10</v>
      </c>
      <c r="AW11" s="84">
        <f t="shared" si="10"/>
        <v>9.6666666666666661</v>
      </c>
      <c r="AX11" s="144">
        <v>10</v>
      </c>
      <c r="AY11" s="209">
        <v>9</v>
      </c>
      <c r="AZ11" s="39">
        <v>10</v>
      </c>
      <c r="BA11" s="84">
        <f t="shared" si="11"/>
        <v>9.6666666666666661</v>
      </c>
      <c r="BB11" s="137">
        <v>9</v>
      </c>
      <c r="BC11" s="18">
        <v>10</v>
      </c>
      <c r="BD11" s="39">
        <v>10</v>
      </c>
      <c r="BE11" s="84">
        <f t="shared" si="12"/>
        <v>9.6666666666666661</v>
      </c>
      <c r="BF11" s="149">
        <v>10</v>
      </c>
      <c r="BG11" s="18">
        <v>9</v>
      </c>
      <c r="BH11" s="39">
        <v>10</v>
      </c>
      <c r="BI11" s="84">
        <f t="shared" si="13"/>
        <v>9.6666666666666661</v>
      </c>
      <c r="BJ11" s="64">
        <f t="shared" si="14"/>
        <v>8.9261904761904773</v>
      </c>
    </row>
    <row r="12" spans="1:62" x14ac:dyDescent="0.25">
      <c r="A12" s="1" t="s">
        <v>651</v>
      </c>
      <c r="B12" s="12" t="s">
        <v>652</v>
      </c>
      <c r="C12" s="24" t="s">
        <v>15</v>
      </c>
      <c r="D12" s="50">
        <v>2</v>
      </c>
      <c r="E12" s="50" t="s">
        <v>16</v>
      </c>
      <c r="F12" s="137">
        <v>10</v>
      </c>
      <c r="G12" s="14">
        <v>8</v>
      </c>
      <c r="H12" s="14">
        <v>10</v>
      </c>
      <c r="I12" s="84">
        <f t="shared" si="2"/>
        <v>9.3333333333333339</v>
      </c>
      <c r="J12" s="130">
        <v>10</v>
      </c>
      <c r="K12" s="14">
        <v>9</v>
      </c>
      <c r="L12" s="14">
        <v>9</v>
      </c>
      <c r="M12" s="84">
        <f t="shared" si="0"/>
        <v>9.3333333333333339</v>
      </c>
      <c r="N12" s="149">
        <v>10</v>
      </c>
      <c r="O12" s="18">
        <v>10</v>
      </c>
      <c r="P12" s="39">
        <v>10</v>
      </c>
      <c r="Q12" s="84">
        <f t="shared" si="1"/>
        <v>10</v>
      </c>
      <c r="R12" s="149">
        <v>10</v>
      </c>
      <c r="S12" s="18">
        <v>8</v>
      </c>
      <c r="T12" s="39">
        <v>8.1999999999999993</v>
      </c>
      <c r="U12" s="84">
        <f t="shared" si="3"/>
        <v>8.7333333333333325</v>
      </c>
      <c r="V12" s="149">
        <v>8</v>
      </c>
      <c r="W12" s="18">
        <v>8</v>
      </c>
      <c r="X12" s="39">
        <v>9</v>
      </c>
      <c r="Y12" s="84">
        <f t="shared" si="4"/>
        <v>8.3333333333333339</v>
      </c>
      <c r="Z12" s="149">
        <v>8</v>
      </c>
      <c r="AA12" s="18">
        <v>10</v>
      </c>
      <c r="AB12" s="92">
        <v>9.1999999999999993</v>
      </c>
      <c r="AC12" s="84">
        <f t="shared" si="5"/>
        <v>9.0666666666666664</v>
      </c>
      <c r="AD12" s="149">
        <v>8</v>
      </c>
      <c r="AE12" s="18">
        <v>9</v>
      </c>
      <c r="AF12" s="39">
        <v>10</v>
      </c>
      <c r="AG12" s="84">
        <f t="shared" si="6"/>
        <v>9</v>
      </c>
      <c r="AH12" s="158">
        <v>10</v>
      </c>
      <c r="AI12" s="18">
        <v>9</v>
      </c>
      <c r="AJ12" s="39">
        <v>9</v>
      </c>
      <c r="AK12" s="84">
        <f t="shared" si="7"/>
        <v>9.3333333333333339</v>
      </c>
      <c r="AL12" s="158">
        <v>8</v>
      </c>
      <c r="AM12" s="206">
        <v>8</v>
      </c>
      <c r="AN12" s="39">
        <v>9</v>
      </c>
      <c r="AO12" s="84">
        <f t="shared" si="8"/>
        <v>8.3333333333333339</v>
      </c>
      <c r="AP12" s="159">
        <v>8</v>
      </c>
      <c r="AQ12" s="207">
        <v>8</v>
      </c>
      <c r="AR12" s="113">
        <v>9</v>
      </c>
      <c r="AS12" s="84">
        <f t="shared" si="9"/>
        <v>8.3333333333333339</v>
      </c>
      <c r="AT12" s="143">
        <v>10</v>
      </c>
      <c r="AU12" s="18">
        <v>9</v>
      </c>
      <c r="AV12" s="39">
        <v>10</v>
      </c>
      <c r="AW12" s="84">
        <f t="shared" si="10"/>
        <v>9.6666666666666661</v>
      </c>
      <c r="AX12" s="144">
        <v>10</v>
      </c>
      <c r="AY12" s="209">
        <v>8</v>
      </c>
      <c r="AZ12" s="39">
        <v>10</v>
      </c>
      <c r="BA12" s="84">
        <f t="shared" si="11"/>
        <v>9.3333333333333339</v>
      </c>
      <c r="BB12" s="137">
        <v>9</v>
      </c>
      <c r="BC12" s="18">
        <v>10</v>
      </c>
      <c r="BD12" s="39">
        <v>10</v>
      </c>
      <c r="BE12" s="84">
        <f t="shared" si="12"/>
        <v>9.6666666666666661</v>
      </c>
      <c r="BF12" s="149">
        <v>10</v>
      </c>
      <c r="BG12" s="18">
        <v>9</v>
      </c>
      <c r="BH12" s="39">
        <v>10</v>
      </c>
      <c r="BI12" s="84">
        <f t="shared" si="13"/>
        <v>9.6666666666666661</v>
      </c>
      <c r="BJ12" s="64">
        <f t="shared" si="14"/>
        <v>9.1523809523809518</v>
      </c>
    </row>
    <row r="13" spans="1:62" x14ac:dyDescent="0.25">
      <c r="A13" s="226" t="s">
        <v>621</v>
      </c>
      <c r="B13" s="227" t="s">
        <v>622</v>
      </c>
      <c r="C13" s="24" t="s">
        <v>15</v>
      </c>
      <c r="D13" s="50">
        <v>2</v>
      </c>
      <c r="E13" s="50" t="s">
        <v>16</v>
      </c>
      <c r="F13" s="137">
        <v>10</v>
      </c>
      <c r="G13" s="14">
        <v>10</v>
      </c>
      <c r="H13" s="14">
        <v>10</v>
      </c>
      <c r="I13" s="84">
        <f t="shared" si="2"/>
        <v>10</v>
      </c>
      <c r="J13" s="130">
        <v>10</v>
      </c>
      <c r="K13" s="14">
        <v>9</v>
      </c>
      <c r="L13" s="14">
        <v>10</v>
      </c>
      <c r="M13" s="84">
        <f t="shared" si="0"/>
        <v>9.6666666666666661</v>
      </c>
      <c r="N13" s="149">
        <v>9.8000000000000007</v>
      </c>
      <c r="O13" s="18">
        <v>10</v>
      </c>
      <c r="P13" s="39">
        <v>10</v>
      </c>
      <c r="Q13" s="84">
        <f t="shared" si="1"/>
        <v>9.9333333333333336</v>
      </c>
      <c r="R13" s="149">
        <v>9.8000000000000007</v>
      </c>
      <c r="S13" s="18">
        <v>8</v>
      </c>
      <c r="T13" s="39">
        <v>10</v>
      </c>
      <c r="U13" s="84">
        <f t="shared" si="3"/>
        <v>9.2666666666666675</v>
      </c>
      <c r="V13" s="149">
        <v>10</v>
      </c>
      <c r="W13" s="18">
        <v>7.5</v>
      </c>
      <c r="X13" s="39">
        <v>9</v>
      </c>
      <c r="Y13" s="84">
        <f t="shared" si="4"/>
        <v>8.8333333333333339</v>
      </c>
      <c r="Z13" s="149">
        <v>10</v>
      </c>
      <c r="AA13" s="18">
        <v>9</v>
      </c>
      <c r="AB13" s="92">
        <v>8</v>
      </c>
      <c r="AC13" s="84">
        <f t="shared" si="5"/>
        <v>9</v>
      </c>
      <c r="AD13" s="149">
        <v>10</v>
      </c>
      <c r="AE13" s="18">
        <v>9</v>
      </c>
      <c r="AF13" s="39">
        <v>10</v>
      </c>
      <c r="AG13" s="84">
        <f t="shared" si="6"/>
        <v>9.6666666666666661</v>
      </c>
      <c r="AH13" s="158">
        <v>10</v>
      </c>
      <c r="AI13" s="18">
        <v>9</v>
      </c>
      <c r="AJ13" s="39">
        <v>9</v>
      </c>
      <c r="AK13" s="84">
        <f t="shared" si="7"/>
        <v>9.3333333333333339</v>
      </c>
      <c r="AL13" s="158">
        <v>9</v>
      </c>
      <c r="AM13" s="18">
        <v>10</v>
      </c>
      <c r="AN13" s="39">
        <v>10</v>
      </c>
      <c r="AO13" s="84">
        <f t="shared" si="8"/>
        <v>9.6666666666666661</v>
      </c>
      <c r="AP13" s="158">
        <v>8.5</v>
      </c>
      <c r="AQ13" s="18">
        <v>10</v>
      </c>
      <c r="AR13" s="39">
        <v>10</v>
      </c>
      <c r="AS13" s="84">
        <f t="shared" si="9"/>
        <v>9.5</v>
      </c>
      <c r="AT13" s="143">
        <v>10</v>
      </c>
      <c r="AU13" s="18">
        <v>9</v>
      </c>
      <c r="AV13" s="39">
        <v>10</v>
      </c>
      <c r="AW13" s="84">
        <f t="shared" si="10"/>
        <v>9.6666666666666661</v>
      </c>
      <c r="AX13" s="144">
        <v>10</v>
      </c>
      <c r="AY13" s="209">
        <v>9</v>
      </c>
      <c r="AZ13" s="39">
        <v>10</v>
      </c>
      <c r="BA13" s="84">
        <f t="shared" si="11"/>
        <v>9.6666666666666661</v>
      </c>
      <c r="BB13" s="137">
        <v>10</v>
      </c>
      <c r="BC13" s="18">
        <v>10</v>
      </c>
      <c r="BD13" s="39">
        <v>10</v>
      </c>
      <c r="BE13" s="84">
        <f t="shared" si="12"/>
        <v>10</v>
      </c>
      <c r="BF13" s="149">
        <v>10</v>
      </c>
      <c r="BG13" s="18">
        <v>10</v>
      </c>
      <c r="BH13" s="39">
        <v>10</v>
      </c>
      <c r="BI13" s="84">
        <f t="shared" si="13"/>
        <v>10</v>
      </c>
      <c r="BJ13" s="64">
        <f t="shared" si="14"/>
        <v>9.5857142857142872</v>
      </c>
    </row>
    <row r="14" spans="1:62" x14ac:dyDescent="0.25">
      <c r="A14" s="1" t="s">
        <v>671</v>
      </c>
      <c r="B14" s="5" t="s">
        <v>672</v>
      </c>
      <c r="C14" s="24" t="s">
        <v>15</v>
      </c>
      <c r="D14" s="50">
        <v>2</v>
      </c>
      <c r="E14" s="50" t="s">
        <v>16</v>
      </c>
      <c r="F14" s="137">
        <v>8</v>
      </c>
      <c r="G14" s="14">
        <v>10</v>
      </c>
      <c r="H14" s="14">
        <v>10</v>
      </c>
      <c r="I14" s="84">
        <f t="shared" si="2"/>
        <v>9.3333333333333339</v>
      </c>
      <c r="J14" s="130">
        <v>10</v>
      </c>
      <c r="K14" s="14">
        <v>10</v>
      </c>
      <c r="L14" s="14">
        <v>10</v>
      </c>
      <c r="M14" s="84">
        <f t="shared" si="0"/>
        <v>10</v>
      </c>
      <c r="N14" s="149">
        <v>10</v>
      </c>
      <c r="O14" s="18">
        <v>10</v>
      </c>
      <c r="P14" s="39">
        <v>10</v>
      </c>
      <c r="Q14" s="84">
        <f t="shared" si="1"/>
        <v>10</v>
      </c>
      <c r="R14" s="149">
        <v>10</v>
      </c>
      <c r="S14" s="18">
        <v>8</v>
      </c>
      <c r="T14" s="39">
        <v>10</v>
      </c>
      <c r="U14" s="84">
        <f t="shared" si="3"/>
        <v>9.3333333333333339</v>
      </c>
      <c r="V14" s="149">
        <v>9</v>
      </c>
      <c r="W14" s="18">
        <v>8.5</v>
      </c>
      <c r="X14" s="39">
        <v>9</v>
      </c>
      <c r="Y14" s="84">
        <f t="shared" si="4"/>
        <v>8.8333333333333339</v>
      </c>
      <c r="Z14" s="149">
        <v>9</v>
      </c>
      <c r="AA14" s="18">
        <v>10</v>
      </c>
      <c r="AB14" s="92">
        <v>8.5</v>
      </c>
      <c r="AC14" s="84">
        <f t="shared" si="5"/>
        <v>9.1666666666666661</v>
      </c>
      <c r="AD14" s="149">
        <v>8</v>
      </c>
      <c r="AE14" s="18">
        <v>10</v>
      </c>
      <c r="AF14" s="39">
        <v>10</v>
      </c>
      <c r="AG14" s="84">
        <f t="shared" si="6"/>
        <v>9.3333333333333339</v>
      </c>
      <c r="AH14" s="158">
        <v>10</v>
      </c>
      <c r="AI14" s="18">
        <v>10</v>
      </c>
      <c r="AJ14" s="39">
        <v>10</v>
      </c>
      <c r="AK14" s="84">
        <f t="shared" si="7"/>
        <v>10</v>
      </c>
      <c r="AL14" s="158">
        <v>8</v>
      </c>
      <c r="AM14" s="18">
        <v>9</v>
      </c>
      <c r="AN14" s="39">
        <v>9</v>
      </c>
      <c r="AO14" s="84">
        <f t="shared" si="8"/>
        <v>8.6666666666666661</v>
      </c>
      <c r="AP14" s="158">
        <v>8.5</v>
      </c>
      <c r="AQ14" s="18">
        <v>9</v>
      </c>
      <c r="AR14" s="39">
        <v>9</v>
      </c>
      <c r="AS14" s="84">
        <f t="shared" si="9"/>
        <v>8.8333333333333339</v>
      </c>
      <c r="AT14" s="143">
        <v>10</v>
      </c>
      <c r="AU14" s="18">
        <v>9</v>
      </c>
      <c r="AV14" s="39">
        <v>10</v>
      </c>
      <c r="AW14" s="84">
        <f t="shared" si="10"/>
        <v>9.6666666666666661</v>
      </c>
      <c r="AX14" s="144">
        <v>9</v>
      </c>
      <c r="AY14" s="209">
        <v>8</v>
      </c>
      <c r="AZ14" s="39">
        <v>10</v>
      </c>
      <c r="BA14" s="84">
        <f t="shared" si="11"/>
        <v>9</v>
      </c>
      <c r="BB14" s="137">
        <v>9</v>
      </c>
      <c r="BC14" s="18">
        <v>10</v>
      </c>
      <c r="BD14" s="39">
        <v>10</v>
      </c>
      <c r="BE14" s="84">
        <f t="shared" si="12"/>
        <v>9.6666666666666661</v>
      </c>
      <c r="BF14" s="149">
        <v>10</v>
      </c>
      <c r="BG14" s="18">
        <v>10</v>
      </c>
      <c r="BH14" s="39">
        <v>10</v>
      </c>
      <c r="BI14" s="84">
        <f t="shared" si="13"/>
        <v>10</v>
      </c>
      <c r="BJ14" s="64">
        <f t="shared" si="14"/>
        <v>9.4166666666666679</v>
      </c>
    </row>
    <row r="15" spans="1:62" x14ac:dyDescent="0.25">
      <c r="A15" s="1" t="s">
        <v>665</v>
      </c>
      <c r="B15" s="5" t="s">
        <v>666</v>
      </c>
      <c r="C15" s="24" t="s">
        <v>15</v>
      </c>
      <c r="D15" s="50">
        <v>2</v>
      </c>
      <c r="E15" s="50" t="s">
        <v>16</v>
      </c>
      <c r="F15" s="137">
        <v>10</v>
      </c>
      <c r="G15" s="14">
        <v>10</v>
      </c>
      <c r="H15" s="14">
        <v>10</v>
      </c>
      <c r="I15" s="84">
        <f t="shared" si="2"/>
        <v>10</v>
      </c>
      <c r="J15" s="130">
        <v>10</v>
      </c>
      <c r="K15" s="14">
        <v>10</v>
      </c>
      <c r="L15" s="14">
        <v>10</v>
      </c>
      <c r="M15" s="84">
        <f t="shared" si="0"/>
        <v>10</v>
      </c>
      <c r="N15" s="149">
        <v>10</v>
      </c>
      <c r="O15" s="18">
        <v>10</v>
      </c>
      <c r="P15" s="39">
        <v>10</v>
      </c>
      <c r="Q15" s="84">
        <f t="shared" si="1"/>
        <v>10</v>
      </c>
      <c r="R15" s="149">
        <v>10</v>
      </c>
      <c r="S15" s="206">
        <v>8</v>
      </c>
      <c r="T15" s="39">
        <v>9.4</v>
      </c>
      <c r="U15" s="84">
        <f t="shared" si="3"/>
        <v>9.1333333333333329</v>
      </c>
      <c r="V15" s="149">
        <v>8</v>
      </c>
      <c r="W15" s="18">
        <v>9.1999999999999993</v>
      </c>
      <c r="X15" s="39">
        <v>9</v>
      </c>
      <c r="Y15" s="84">
        <f t="shared" si="4"/>
        <v>8.7333333333333325</v>
      </c>
      <c r="Z15" s="149">
        <v>8</v>
      </c>
      <c r="AA15" s="18">
        <v>10</v>
      </c>
      <c r="AB15" s="92">
        <v>9.5</v>
      </c>
      <c r="AC15" s="84">
        <f t="shared" si="5"/>
        <v>9.1666666666666661</v>
      </c>
      <c r="AD15" s="149">
        <v>9</v>
      </c>
      <c r="AE15" s="18">
        <v>10</v>
      </c>
      <c r="AF15" s="39">
        <v>10</v>
      </c>
      <c r="AG15" s="84">
        <f t="shared" si="6"/>
        <v>9.6666666666666661</v>
      </c>
      <c r="AH15" s="158">
        <v>10</v>
      </c>
      <c r="AI15" s="18">
        <v>10</v>
      </c>
      <c r="AJ15" s="39">
        <v>10</v>
      </c>
      <c r="AK15" s="84">
        <f t="shared" si="7"/>
        <v>10</v>
      </c>
      <c r="AL15" s="158">
        <v>8</v>
      </c>
      <c r="AM15" s="18">
        <v>9</v>
      </c>
      <c r="AN15" s="39">
        <v>10</v>
      </c>
      <c r="AO15" s="84">
        <f t="shared" si="8"/>
        <v>9</v>
      </c>
      <c r="AP15" s="161">
        <v>8.5</v>
      </c>
      <c r="AQ15" s="207">
        <v>10</v>
      </c>
      <c r="AR15" s="113">
        <v>9</v>
      </c>
      <c r="AS15" s="84">
        <f t="shared" si="9"/>
        <v>9.1666666666666661</v>
      </c>
      <c r="AT15" s="143">
        <v>10</v>
      </c>
      <c r="AU15" s="18">
        <v>9</v>
      </c>
      <c r="AV15" s="39">
        <v>10</v>
      </c>
      <c r="AW15" s="84">
        <f t="shared" si="10"/>
        <v>9.6666666666666661</v>
      </c>
      <c r="AX15" s="144">
        <v>9</v>
      </c>
      <c r="AY15" s="209">
        <v>8</v>
      </c>
      <c r="AZ15" s="39">
        <v>10</v>
      </c>
      <c r="BA15" s="84">
        <f t="shared" si="11"/>
        <v>9</v>
      </c>
      <c r="BB15" s="137">
        <v>9</v>
      </c>
      <c r="BC15" s="18">
        <v>10</v>
      </c>
      <c r="BD15" s="109">
        <v>10</v>
      </c>
      <c r="BE15" s="84">
        <f t="shared" si="12"/>
        <v>9.6666666666666661</v>
      </c>
      <c r="BF15" s="149">
        <v>10</v>
      </c>
      <c r="BG15" s="18">
        <v>10</v>
      </c>
      <c r="BH15" s="39">
        <v>10</v>
      </c>
      <c r="BI15" s="84">
        <f t="shared" si="13"/>
        <v>10</v>
      </c>
      <c r="BJ15" s="64">
        <f t="shared" si="14"/>
        <v>9.514285714285716</v>
      </c>
    </row>
    <row r="16" spans="1:62" x14ac:dyDescent="0.25">
      <c r="A16" s="1" t="s">
        <v>625</v>
      </c>
      <c r="B16" s="5" t="s">
        <v>626</v>
      </c>
      <c r="C16" s="24" t="s">
        <v>15</v>
      </c>
      <c r="D16" s="50">
        <v>2</v>
      </c>
      <c r="E16" s="50" t="s">
        <v>16</v>
      </c>
      <c r="F16" s="137">
        <v>10</v>
      </c>
      <c r="G16" s="14">
        <v>10</v>
      </c>
      <c r="H16" s="14">
        <v>10</v>
      </c>
      <c r="I16" s="84">
        <f t="shared" si="2"/>
        <v>10</v>
      </c>
      <c r="J16" s="130">
        <v>10</v>
      </c>
      <c r="K16" s="14">
        <v>8</v>
      </c>
      <c r="L16" s="14">
        <v>8</v>
      </c>
      <c r="M16" s="84">
        <f t="shared" si="0"/>
        <v>8.6666666666666661</v>
      </c>
      <c r="N16" s="149">
        <v>10</v>
      </c>
      <c r="O16" s="18">
        <v>8</v>
      </c>
      <c r="P16" s="39">
        <v>9.8000000000000007</v>
      </c>
      <c r="Q16" s="84">
        <f t="shared" si="1"/>
        <v>9.2666666666666675</v>
      </c>
      <c r="R16" s="149">
        <v>10</v>
      </c>
      <c r="S16" s="18">
        <v>8</v>
      </c>
      <c r="T16" s="39">
        <v>8.1999999999999993</v>
      </c>
      <c r="U16" s="84">
        <f t="shared" si="3"/>
        <v>8.7333333333333325</v>
      </c>
      <c r="V16" s="149">
        <v>10</v>
      </c>
      <c r="W16" s="18">
        <v>8.1999999999999993</v>
      </c>
      <c r="X16" s="39">
        <v>9</v>
      </c>
      <c r="Y16" s="84">
        <f t="shared" si="4"/>
        <v>9.0666666666666664</v>
      </c>
      <c r="Z16" s="149">
        <v>10</v>
      </c>
      <c r="AA16" s="18">
        <v>9.8000000000000007</v>
      </c>
      <c r="AB16" s="92">
        <v>8.3000000000000007</v>
      </c>
      <c r="AC16" s="84">
        <f t="shared" si="5"/>
        <v>9.3666666666666671</v>
      </c>
      <c r="AD16" s="149">
        <v>10</v>
      </c>
      <c r="AE16" s="18">
        <v>10</v>
      </c>
      <c r="AF16" s="39">
        <v>10</v>
      </c>
      <c r="AG16" s="84">
        <f t="shared" si="6"/>
        <v>10</v>
      </c>
      <c r="AH16" s="158">
        <v>10</v>
      </c>
      <c r="AI16" s="18">
        <v>10</v>
      </c>
      <c r="AJ16" s="39">
        <v>10</v>
      </c>
      <c r="AK16" s="84">
        <f t="shared" si="7"/>
        <v>10</v>
      </c>
      <c r="AL16" s="158">
        <v>9</v>
      </c>
      <c r="AM16" s="18">
        <v>9</v>
      </c>
      <c r="AN16" s="39">
        <v>10</v>
      </c>
      <c r="AO16" s="84">
        <f t="shared" si="8"/>
        <v>9.3333333333333339</v>
      </c>
      <c r="AP16" s="159">
        <v>9</v>
      </c>
      <c r="AQ16" s="207">
        <v>9</v>
      </c>
      <c r="AR16" s="113">
        <v>9</v>
      </c>
      <c r="AS16" s="84">
        <f t="shared" si="9"/>
        <v>9</v>
      </c>
      <c r="AT16" s="143">
        <v>10</v>
      </c>
      <c r="AU16" s="18">
        <v>9</v>
      </c>
      <c r="AV16" s="39">
        <v>10</v>
      </c>
      <c r="AW16" s="84">
        <f t="shared" si="10"/>
        <v>9.6666666666666661</v>
      </c>
      <c r="AX16" s="144">
        <v>9</v>
      </c>
      <c r="AY16" s="209">
        <v>9</v>
      </c>
      <c r="AZ16" s="39">
        <v>10</v>
      </c>
      <c r="BA16" s="84">
        <f t="shared" si="11"/>
        <v>9.3333333333333339</v>
      </c>
      <c r="BB16" s="137">
        <v>10</v>
      </c>
      <c r="BC16" s="18">
        <v>9</v>
      </c>
      <c r="BD16" s="109">
        <v>9</v>
      </c>
      <c r="BE16" s="84">
        <f t="shared" si="12"/>
        <v>9.3333333333333339</v>
      </c>
      <c r="BF16" s="149">
        <v>10</v>
      </c>
      <c r="BG16" s="18">
        <v>9</v>
      </c>
      <c r="BH16" s="39">
        <v>10</v>
      </c>
      <c r="BI16" s="84">
        <f t="shared" si="13"/>
        <v>9.6666666666666661</v>
      </c>
      <c r="BJ16" s="64">
        <f t="shared" si="14"/>
        <v>9.3880952380952358</v>
      </c>
    </row>
    <row r="17" spans="1:62" x14ac:dyDescent="0.25">
      <c r="A17" s="1" t="s">
        <v>617</v>
      </c>
      <c r="B17" s="8" t="s">
        <v>618</v>
      </c>
      <c r="C17" s="24" t="s">
        <v>15</v>
      </c>
      <c r="D17" s="50">
        <v>2</v>
      </c>
      <c r="E17" s="50" t="s">
        <v>16</v>
      </c>
      <c r="F17" s="137">
        <v>9</v>
      </c>
      <c r="G17" s="14">
        <v>8</v>
      </c>
      <c r="H17" s="14">
        <v>10</v>
      </c>
      <c r="I17" s="84">
        <f t="shared" si="2"/>
        <v>9</v>
      </c>
      <c r="J17" s="130">
        <v>10</v>
      </c>
      <c r="K17" s="14">
        <v>10</v>
      </c>
      <c r="L17" s="14">
        <v>10</v>
      </c>
      <c r="M17" s="84">
        <f t="shared" si="0"/>
        <v>10</v>
      </c>
      <c r="N17" s="149">
        <v>9.8000000000000007</v>
      </c>
      <c r="O17" s="18">
        <v>10</v>
      </c>
      <c r="P17" s="39">
        <v>9.3000000000000007</v>
      </c>
      <c r="Q17" s="84">
        <f t="shared" si="1"/>
        <v>9.7000000000000011</v>
      </c>
      <c r="R17" s="149">
        <v>9.8000000000000007</v>
      </c>
      <c r="S17" s="18">
        <v>10</v>
      </c>
      <c r="T17" s="39">
        <v>8.6999999999999993</v>
      </c>
      <c r="U17" s="84">
        <f t="shared" si="3"/>
        <v>9.5</v>
      </c>
      <c r="V17" s="149">
        <v>8</v>
      </c>
      <c r="W17" s="18">
        <v>9.6999999999999993</v>
      </c>
      <c r="X17" s="39">
        <v>9</v>
      </c>
      <c r="Y17" s="84">
        <f t="shared" si="4"/>
        <v>8.9</v>
      </c>
      <c r="Z17" s="149">
        <v>8</v>
      </c>
      <c r="AA17" s="18">
        <v>10</v>
      </c>
      <c r="AB17" s="92">
        <v>9.8000000000000007</v>
      </c>
      <c r="AC17" s="84">
        <f t="shared" si="5"/>
        <v>9.2666666666666675</v>
      </c>
      <c r="AD17" s="149">
        <v>9</v>
      </c>
      <c r="AE17" s="18">
        <v>9</v>
      </c>
      <c r="AF17" s="39">
        <v>10</v>
      </c>
      <c r="AG17" s="84">
        <f t="shared" si="6"/>
        <v>9.3333333333333339</v>
      </c>
      <c r="AH17" s="158">
        <v>10</v>
      </c>
      <c r="AI17" s="18">
        <v>10</v>
      </c>
      <c r="AJ17" s="39">
        <v>10</v>
      </c>
      <c r="AK17" s="84">
        <f t="shared" si="7"/>
        <v>10</v>
      </c>
      <c r="AL17" s="158">
        <v>9</v>
      </c>
      <c r="AM17" s="18">
        <v>9</v>
      </c>
      <c r="AN17" s="39">
        <v>10</v>
      </c>
      <c r="AO17" s="84">
        <f t="shared" si="8"/>
        <v>9.3333333333333339</v>
      </c>
      <c r="AP17" s="158">
        <v>9</v>
      </c>
      <c r="AQ17" s="18">
        <v>9</v>
      </c>
      <c r="AR17" s="39">
        <v>10</v>
      </c>
      <c r="AS17" s="84">
        <f t="shared" si="9"/>
        <v>9.3333333333333339</v>
      </c>
      <c r="AT17" s="143">
        <v>10</v>
      </c>
      <c r="AU17" s="18">
        <v>9</v>
      </c>
      <c r="AV17" s="39">
        <v>10</v>
      </c>
      <c r="AW17" s="84">
        <f t="shared" si="10"/>
        <v>9.6666666666666661</v>
      </c>
      <c r="AX17" s="144">
        <v>10</v>
      </c>
      <c r="AY17" s="209">
        <v>9</v>
      </c>
      <c r="AZ17" s="39">
        <v>10</v>
      </c>
      <c r="BA17" s="84">
        <f t="shared" si="11"/>
        <v>9.6666666666666661</v>
      </c>
      <c r="BB17" s="162">
        <v>10</v>
      </c>
      <c r="BC17" s="214">
        <v>10</v>
      </c>
      <c r="BD17" s="109">
        <v>10</v>
      </c>
      <c r="BE17" s="84">
        <f t="shared" si="12"/>
        <v>10</v>
      </c>
      <c r="BF17" s="149">
        <v>10</v>
      </c>
      <c r="BG17" s="18">
        <v>10</v>
      </c>
      <c r="BH17" s="39">
        <v>10</v>
      </c>
      <c r="BI17" s="84">
        <f t="shared" si="13"/>
        <v>10</v>
      </c>
      <c r="BJ17" s="64">
        <f t="shared" si="14"/>
        <v>9.5499999999999989</v>
      </c>
    </row>
    <row r="18" spans="1:62" x14ac:dyDescent="0.25">
      <c r="A18" s="1" t="s">
        <v>663</v>
      </c>
      <c r="B18" s="5" t="s">
        <v>664</v>
      </c>
      <c r="C18" s="24" t="s">
        <v>15</v>
      </c>
      <c r="D18" s="50">
        <v>2</v>
      </c>
      <c r="E18" s="50" t="s">
        <v>16</v>
      </c>
      <c r="F18" s="133">
        <v>10</v>
      </c>
      <c r="G18" s="14">
        <v>8</v>
      </c>
      <c r="H18" s="14">
        <v>10</v>
      </c>
      <c r="I18" s="84">
        <f t="shared" si="2"/>
        <v>9.3333333333333339</v>
      </c>
      <c r="J18" s="130">
        <v>10</v>
      </c>
      <c r="K18" s="14">
        <v>10</v>
      </c>
      <c r="L18" s="14">
        <v>9</v>
      </c>
      <c r="M18" s="84">
        <f t="shared" si="0"/>
        <v>9.6666666666666661</v>
      </c>
      <c r="N18" s="149">
        <v>10</v>
      </c>
      <c r="O18" s="18">
        <v>10</v>
      </c>
      <c r="P18" s="39">
        <v>9.8000000000000007</v>
      </c>
      <c r="Q18" s="84">
        <f t="shared" si="1"/>
        <v>9.9333333333333336</v>
      </c>
      <c r="R18" s="149">
        <v>10</v>
      </c>
      <c r="S18" s="18">
        <v>9</v>
      </c>
      <c r="T18" s="39">
        <v>9.1</v>
      </c>
      <c r="U18" s="84">
        <f t="shared" si="3"/>
        <v>9.3666666666666671</v>
      </c>
      <c r="V18" s="157">
        <v>8.5</v>
      </c>
      <c r="W18" s="207">
        <v>9</v>
      </c>
      <c r="X18" s="39">
        <v>9</v>
      </c>
      <c r="Y18" s="84">
        <f t="shared" si="4"/>
        <v>8.8333333333333339</v>
      </c>
      <c r="Z18" s="157">
        <v>8.5</v>
      </c>
      <c r="AA18" s="207">
        <v>10</v>
      </c>
      <c r="AB18" s="118">
        <v>8.8000000000000007</v>
      </c>
      <c r="AC18" s="84">
        <f t="shared" si="5"/>
        <v>9.1</v>
      </c>
      <c r="AD18" s="149">
        <v>8</v>
      </c>
      <c r="AE18" s="18">
        <v>9</v>
      </c>
      <c r="AF18" s="39">
        <v>10</v>
      </c>
      <c r="AG18" s="84">
        <f t="shared" si="6"/>
        <v>9</v>
      </c>
      <c r="AH18" s="158">
        <v>10</v>
      </c>
      <c r="AI18" s="18">
        <v>8</v>
      </c>
      <c r="AJ18" s="39">
        <v>8</v>
      </c>
      <c r="AK18" s="84">
        <f t="shared" si="7"/>
        <v>8.6666666666666661</v>
      </c>
      <c r="AL18" s="158">
        <v>8</v>
      </c>
      <c r="AM18" s="18">
        <v>8</v>
      </c>
      <c r="AN18" s="39">
        <v>9</v>
      </c>
      <c r="AO18" s="84">
        <f t="shared" si="8"/>
        <v>8.3333333333333339</v>
      </c>
      <c r="AP18" s="159">
        <v>8</v>
      </c>
      <c r="AQ18" s="207">
        <v>8</v>
      </c>
      <c r="AR18" s="113">
        <v>8</v>
      </c>
      <c r="AS18" s="84">
        <f t="shared" si="9"/>
        <v>8</v>
      </c>
      <c r="AT18" s="143">
        <v>10</v>
      </c>
      <c r="AU18" s="18">
        <v>9</v>
      </c>
      <c r="AV18" s="39">
        <v>10</v>
      </c>
      <c r="AW18" s="84">
        <f t="shared" si="10"/>
        <v>9.6666666666666661</v>
      </c>
      <c r="AX18" s="144">
        <v>10</v>
      </c>
      <c r="AY18" s="209">
        <v>9</v>
      </c>
      <c r="AZ18" s="39">
        <v>10</v>
      </c>
      <c r="BA18" s="84">
        <f t="shared" si="11"/>
        <v>9.6666666666666661</v>
      </c>
      <c r="BB18" s="137">
        <v>8</v>
      </c>
      <c r="BC18" s="18">
        <v>9</v>
      </c>
      <c r="BD18" s="109">
        <v>9</v>
      </c>
      <c r="BE18" s="84">
        <f t="shared" si="12"/>
        <v>8.6666666666666661</v>
      </c>
      <c r="BF18" s="149">
        <v>10</v>
      </c>
      <c r="BG18" s="18">
        <v>9</v>
      </c>
      <c r="BH18" s="39">
        <v>10</v>
      </c>
      <c r="BI18" s="84">
        <f t="shared" si="13"/>
        <v>9.6666666666666661</v>
      </c>
      <c r="BJ18" s="64">
        <f t="shared" si="14"/>
        <v>9.1357142857142879</v>
      </c>
    </row>
    <row r="19" spans="1:62" ht="15.75" customHeight="1" x14ac:dyDescent="0.25">
      <c r="A19" s="1" t="s">
        <v>667</v>
      </c>
      <c r="B19" s="8" t="s">
        <v>668</v>
      </c>
      <c r="C19" s="24" t="s">
        <v>15</v>
      </c>
      <c r="D19" s="50">
        <v>2</v>
      </c>
      <c r="E19" s="50" t="s">
        <v>16</v>
      </c>
      <c r="F19" s="137">
        <v>9</v>
      </c>
      <c r="G19" s="14">
        <v>6</v>
      </c>
      <c r="H19" s="14">
        <v>10</v>
      </c>
      <c r="I19" s="84">
        <f t="shared" si="2"/>
        <v>8.3333333333333339</v>
      </c>
      <c r="J19" s="130">
        <v>10</v>
      </c>
      <c r="K19" s="14">
        <v>10</v>
      </c>
      <c r="L19" s="14">
        <v>9</v>
      </c>
      <c r="M19" s="84">
        <f t="shared" si="0"/>
        <v>9.6666666666666661</v>
      </c>
      <c r="N19" s="137">
        <v>10</v>
      </c>
      <c r="O19" s="18">
        <v>10</v>
      </c>
      <c r="P19" s="39">
        <v>9.8000000000000007</v>
      </c>
      <c r="Q19" s="84">
        <f t="shared" si="1"/>
        <v>9.9333333333333336</v>
      </c>
      <c r="R19" s="137">
        <v>10</v>
      </c>
      <c r="S19" s="18">
        <v>8</v>
      </c>
      <c r="T19" s="39">
        <v>8.3000000000000007</v>
      </c>
      <c r="U19" s="84">
        <f t="shared" si="3"/>
        <v>8.7666666666666675</v>
      </c>
      <c r="V19" s="137">
        <v>9</v>
      </c>
      <c r="W19" s="18">
        <v>9.6999999999999993</v>
      </c>
      <c r="X19" s="39">
        <v>9</v>
      </c>
      <c r="Y19" s="84">
        <f t="shared" si="4"/>
        <v>9.2333333333333325</v>
      </c>
      <c r="Z19" s="137">
        <v>9</v>
      </c>
      <c r="AA19" s="18">
        <v>9.8000000000000007</v>
      </c>
      <c r="AB19" s="92">
        <v>8.5</v>
      </c>
      <c r="AC19" s="84">
        <f t="shared" si="5"/>
        <v>9.1</v>
      </c>
      <c r="AD19" s="137">
        <v>9</v>
      </c>
      <c r="AE19" s="18">
        <v>9</v>
      </c>
      <c r="AF19" s="39">
        <v>10</v>
      </c>
      <c r="AG19" s="84">
        <f t="shared" si="6"/>
        <v>9.3333333333333339</v>
      </c>
      <c r="AH19" s="137">
        <v>10</v>
      </c>
      <c r="AI19" s="18">
        <v>9</v>
      </c>
      <c r="AJ19" s="39">
        <v>10</v>
      </c>
      <c r="AK19" s="84">
        <f t="shared" si="7"/>
        <v>9.6666666666666661</v>
      </c>
      <c r="AL19" s="137">
        <v>9</v>
      </c>
      <c r="AM19" s="18">
        <v>8</v>
      </c>
      <c r="AN19" s="39">
        <v>9</v>
      </c>
      <c r="AO19" s="84">
        <f t="shared" si="8"/>
        <v>8.6666666666666661</v>
      </c>
      <c r="AP19" s="158">
        <v>8.5</v>
      </c>
      <c r="AQ19" s="18">
        <v>9</v>
      </c>
      <c r="AR19" s="39">
        <v>10</v>
      </c>
      <c r="AS19" s="84">
        <f t="shared" si="9"/>
        <v>9.1666666666666661</v>
      </c>
      <c r="AT19" s="143">
        <v>10</v>
      </c>
      <c r="AU19" s="18">
        <v>9</v>
      </c>
      <c r="AV19" s="39">
        <v>10</v>
      </c>
      <c r="AW19" s="84">
        <f t="shared" si="10"/>
        <v>9.6666666666666661</v>
      </c>
      <c r="AX19" s="143">
        <v>10</v>
      </c>
      <c r="AY19" s="18">
        <v>9</v>
      </c>
      <c r="AZ19" s="39">
        <v>10</v>
      </c>
      <c r="BA19" s="84">
        <f t="shared" si="11"/>
        <v>9.6666666666666661</v>
      </c>
      <c r="BB19" s="137">
        <v>8</v>
      </c>
      <c r="BC19" s="18">
        <v>10</v>
      </c>
      <c r="BD19" s="109">
        <v>10</v>
      </c>
      <c r="BE19" s="84">
        <f t="shared" si="12"/>
        <v>9.3333333333333339</v>
      </c>
      <c r="BF19" s="149">
        <v>10</v>
      </c>
      <c r="BG19" s="18">
        <v>9</v>
      </c>
      <c r="BH19" s="39">
        <v>10</v>
      </c>
      <c r="BI19" s="84">
        <f t="shared" si="13"/>
        <v>9.6666666666666661</v>
      </c>
      <c r="BJ19" s="64">
        <f t="shared" si="14"/>
        <v>9.3000000000000007</v>
      </c>
    </row>
    <row r="20" spans="1:62" ht="15.75" customHeight="1" x14ac:dyDescent="0.25">
      <c r="A20" s="1" t="s">
        <v>679</v>
      </c>
      <c r="B20" s="5" t="s">
        <v>890</v>
      </c>
      <c r="C20" s="24" t="s">
        <v>15</v>
      </c>
      <c r="D20" s="50">
        <v>2</v>
      </c>
      <c r="E20" s="50" t="s">
        <v>16</v>
      </c>
      <c r="F20" s="32">
        <v>0</v>
      </c>
      <c r="G20" s="18">
        <v>8</v>
      </c>
      <c r="H20" s="14">
        <v>10</v>
      </c>
      <c r="I20" s="84">
        <f t="shared" si="2"/>
        <v>6</v>
      </c>
      <c r="J20" s="32">
        <v>0</v>
      </c>
      <c r="K20" s="18">
        <v>8</v>
      </c>
      <c r="L20" s="14">
        <v>10</v>
      </c>
      <c r="M20" s="84">
        <f t="shared" si="0"/>
        <v>6</v>
      </c>
      <c r="N20" s="32">
        <v>0</v>
      </c>
      <c r="O20" s="18">
        <v>9</v>
      </c>
      <c r="P20" s="39">
        <v>10</v>
      </c>
      <c r="Q20" s="84">
        <f t="shared" si="1"/>
        <v>6.333333333333333</v>
      </c>
      <c r="R20" s="32">
        <v>0</v>
      </c>
      <c r="S20" s="18">
        <v>9</v>
      </c>
      <c r="T20" s="39">
        <v>8.5</v>
      </c>
      <c r="U20" s="84">
        <f t="shared" si="3"/>
        <v>5.833333333333333</v>
      </c>
      <c r="V20" s="32">
        <v>0</v>
      </c>
      <c r="W20" s="18">
        <v>9</v>
      </c>
      <c r="X20" s="39">
        <v>9</v>
      </c>
      <c r="Y20" s="84">
        <f t="shared" si="4"/>
        <v>6</v>
      </c>
      <c r="Z20" s="32">
        <v>0</v>
      </c>
      <c r="AA20" s="18">
        <v>10</v>
      </c>
      <c r="AB20" s="92">
        <v>10</v>
      </c>
      <c r="AC20" s="84">
        <f t="shared" si="5"/>
        <v>6.666666666666667</v>
      </c>
      <c r="AD20" s="32">
        <v>0</v>
      </c>
      <c r="AE20" s="18">
        <v>9</v>
      </c>
      <c r="AF20" s="39">
        <v>10</v>
      </c>
      <c r="AG20" s="84">
        <f t="shared" si="6"/>
        <v>6.333333333333333</v>
      </c>
      <c r="AH20" s="32">
        <v>0</v>
      </c>
      <c r="AI20" s="18">
        <v>9</v>
      </c>
      <c r="AJ20" s="39">
        <v>10</v>
      </c>
      <c r="AK20" s="84">
        <f t="shared" si="7"/>
        <v>6.333333333333333</v>
      </c>
      <c r="AL20" s="32">
        <v>0</v>
      </c>
      <c r="AM20" s="18">
        <v>8</v>
      </c>
      <c r="AN20" s="39">
        <v>10</v>
      </c>
      <c r="AO20" s="84">
        <f t="shared" si="8"/>
        <v>6</v>
      </c>
      <c r="AP20" s="32">
        <v>0</v>
      </c>
      <c r="AQ20" s="18">
        <v>8</v>
      </c>
      <c r="AR20" s="39">
        <v>9</v>
      </c>
      <c r="AS20" s="84">
        <f t="shared" si="9"/>
        <v>5.666666666666667</v>
      </c>
      <c r="AT20" s="32">
        <v>0</v>
      </c>
      <c r="AU20" s="18">
        <v>10</v>
      </c>
      <c r="AV20" s="39">
        <v>10</v>
      </c>
      <c r="AW20" s="84">
        <f t="shared" si="10"/>
        <v>6.666666666666667</v>
      </c>
      <c r="AX20" s="32">
        <v>0</v>
      </c>
      <c r="AY20" s="18">
        <v>8</v>
      </c>
      <c r="AZ20" s="39">
        <v>10</v>
      </c>
      <c r="BA20" s="84">
        <f t="shared" si="11"/>
        <v>6</v>
      </c>
      <c r="BB20" s="32">
        <v>0</v>
      </c>
      <c r="BC20" s="18">
        <v>8</v>
      </c>
      <c r="BD20" s="109">
        <v>8</v>
      </c>
      <c r="BE20" s="84">
        <f t="shared" si="12"/>
        <v>5.333333333333333</v>
      </c>
      <c r="BF20" s="32">
        <v>0</v>
      </c>
      <c r="BG20" s="18">
        <v>9</v>
      </c>
      <c r="BH20" s="39">
        <v>10</v>
      </c>
      <c r="BI20" s="84">
        <f t="shared" si="13"/>
        <v>6.333333333333333</v>
      </c>
      <c r="BJ20" s="64">
        <f t="shared" si="14"/>
        <v>6.1071428571428559</v>
      </c>
    </row>
    <row r="21" spans="1:62" ht="15.75" customHeight="1" x14ac:dyDescent="0.25">
      <c r="A21" s="1" t="s">
        <v>685</v>
      </c>
      <c r="B21" s="5" t="s">
        <v>686</v>
      </c>
      <c r="C21" s="24" t="s">
        <v>15</v>
      </c>
      <c r="D21" s="50">
        <v>2</v>
      </c>
      <c r="E21" s="50" t="s">
        <v>16</v>
      </c>
      <c r="F21" s="32">
        <v>0</v>
      </c>
      <c r="G21" s="18">
        <v>0</v>
      </c>
      <c r="H21" s="14">
        <v>10</v>
      </c>
      <c r="I21" s="84">
        <f t="shared" si="2"/>
        <v>3.3333333333333335</v>
      </c>
      <c r="J21" s="32">
        <v>0</v>
      </c>
      <c r="K21" s="18">
        <v>0</v>
      </c>
      <c r="L21" s="14">
        <v>9</v>
      </c>
      <c r="M21" s="84">
        <f t="shared" si="0"/>
        <v>3</v>
      </c>
      <c r="N21" s="32">
        <v>0</v>
      </c>
      <c r="O21" s="18">
        <v>0</v>
      </c>
      <c r="P21" s="39">
        <v>10</v>
      </c>
      <c r="Q21" s="84">
        <f t="shared" si="1"/>
        <v>3.3333333333333335</v>
      </c>
      <c r="R21" s="32">
        <v>0</v>
      </c>
      <c r="S21" s="18">
        <v>0</v>
      </c>
      <c r="T21" s="114">
        <v>7.5</v>
      </c>
      <c r="U21" s="84">
        <f t="shared" si="3"/>
        <v>2.5</v>
      </c>
      <c r="V21" s="32">
        <v>0</v>
      </c>
      <c r="W21" s="18">
        <v>0</v>
      </c>
      <c r="X21" s="39">
        <v>8</v>
      </c>
      <c r="Y21" s="84">
        <f t="shared" si="4"/>
        <v>2.6666666666666665</v>
      </c>
      <c r="Z21" s="32">
        <v>0</v>
      </c>
      <c r="AA21" s="18">
        <v>0</v>
      </c>
      <c r="AB21" s="92">
        <v>8</v>
      </c>
      <c r="AC21" s="84">
        <f t="shared" si="5"/>
        <v>2.6666666666666665</v>
      </c>
      <c r="AD21" s="32">
        <v>0</v>
      </c>
      <c r="AE21" s="18">
        <v>0</v>
      </c>
      <c r="AF21" s="39">
        <v>10</v>
      </c>
      <c r="AG21" s="84">
        <f t="shared" si="6"/>
        <v>3.3333333333333335</v>
      </c>
      <c r="AH21" s="32">
        <v>0</v>
      </c>
      <c r="AI21" s="18">
        <v>0</v>
      </c>
      <c r="AJ21" s="39">
        <v>9</v>
      </c>
      <c r="AK21" s="84">
        <f t="shared" si="7"/>
        <v>3</v>
      </c>
      <c r="AL21" s="32">
        <v>0</v>
      </c>
      <c r="AM21" s="18">
        <v>0</v>
      </c>
      <c r="AN21" s="39">
        <v>9</v>
      </c>
      <c r="AO21" s="84">
        <f t="shared" si="8"/>
        <v>3</v>
      </c>
      <c r="AP21" s="32">
        <v>0</v>
      </c>
      <c r="AQ21" s="18">
        <v>0</v>
      </c>
      <c r="AR21" s="39">
        <v>9</v>
      </c>
      <c r="AS21" s="84">
        <f t="shared" si="9"/>
        <v>3</v>
      </c>
      <c r="AT21" s="32">
        <v>0</v>
      </c>
      <c r="AU21" s="18">
        <v>0</v>
      </c>
      <c r="AV21" s="39">
        <v>10</v>
      </c>
      <c r="AW21" s="84">
        <f t="shared" si="10"/>
        <v>3.3333333333333335</v>
      </c>
      <c r="AX21" s="32">
        <v>0</v>
      </c>
      <c r="AY21" s="18">
        <v>0</v>
      </c>
      <c r="AZ21" s="39">
        <v>10</v>
      </c>
      <c r="BA21" s="84">
        <f t="shared" si="11"/>
        <v>3.3333333333333335</v>
      </c>
      <c r="BB21" s="32">
        <v>0</v>
      </c>
      <c r="BC21" s="18">
        <v>0</v>
      </c>
      <c r="BD21" s="109">
        <v>10</v>
      </c>
      <c r="BE21" s="84">
        <f t="shared" si="12"/>
        <v>3.3333333333333335</v>
      </c>
      <c r="BF21" s="32">
        <v>0</v>
      </c>
      <c r="BG21" s="18">
        <v>0</v>
      </c>
      <c r="BH21" s="39">
        <v>10</v>
      </c>
      <c r="BI21" s="84">
        <f t="shared" si="13"/>
        <v>3.3333333333333335</v>
      </c>
      <c r="BJ21" s="64">
        <f t="shared" si="14"/>
        <v>3.0833333333333335</v>
      </c>
    </row>
    <row r="22" spans="1:62" ht="15.75" customHeight="1" x14ac:dyDescent="0.25">
      <c r="A22" s="111"/>
      <c r="B22" s="112" t="s">
        <v>891</v>
      </c>
      <c r="C22" s="24" t="s">
        <v>15</v>
      </c>
      <c r="D22" s="50">
        <v>2</v>
      </c>
      <c r="E22" s="50" t="s">
        <v>16</v>
      </c>
      <c r="F22" s="32">
        <v>0</v>
      </c>
      <c r="G22" s="32">
        <v>0</v>
      </c>
      <c r="H22" s="14">
        <v>10</v>
      </c>
      <c r="I22" s="84">
        <f t="shared" si="2"/>
        <v>3.3333333333333335</v>
      </c>
      <c r="J22" s="32">
        <v>0</v>
      </c>
      <c r="K22" s="32">
        <v>0</v>
      </c>
      <c r="L22" s="14">
        <v>9</v>
      </c>
      <c r="M22" s="84">
        <f t="shared" si="0"/>
        <v>3</v>
      </c>
      <c r="N22" s="32">
        <v>0</v>
      </c>
      <c r="O22" s="32">
        <v>0</v>
      </c>
      <c r="P22" s="39">
        <v>9.3000000000000007</v>
      </c>
      <c r="Q22" s="84">
        <f t="shared" si="1"/>
        <v>3.1</v>
      </c>
      <c r="R22" s="32">
        <v>0</v>
      </c>
      <c r="S22" s="32">
        <v>0</v>
      </c>
      <c r="T22" s="114">
        <v>7.5</v>
      </c>
      <c r="U22" s="84">
        <f t="shared" si="3"/>
        <v>2.5</v>
      </c>
      <c r="V22" s="32">
        <v>0</v>
      </c>
      <c r="W22" s="32">
        <v>0</v>
      </c>
      <c r="X22" s="39">
        <v>9</v>
      </c>
      <c r="Y22" s="84">
        <f t="shared" si="4"/>
        <v>3</v>
      </c>
      <c r="Z22" s="32">
        <v>0</v>
      </c>
      <c r="AA22" s="32">
        <v>0</v>
      </c>
      <c r="AB22" s="92">
        <v>8</v>
      </c>
      <c r="AC22" s="84">
        <f t="shared" si="5"/>
        <v>2.6666666666666665</v>
      </c>
      <c r="AD22" s="32">
        <v>0</v>
      </c>
      <c r="AE22" s="32">
        <v>0</v>
      </c>
      <c r="AF22" s="39">
        <v>10</v>
      </c>
      <c r="AG22" s="84">
        <f t="shared" si="6"/>
        <v>3.3333333333333335</v>
      </c>
      <c r="AH22" s="32">
        <v>0</v>
      </c>
      <c r="AI22" s="32">
        <v>0</v>
      </c>
      <c r="AJ22" s="39">
        <v>10</v>
      </c>
      <c r="AK22" s="84">
        <f t="shared" si="7"/>
        <v>3.3333333333333335</v>
      </c>
      <c r="AL22" s="32">
        <v>0</v>
      </c>
      <c r="AM22" s="32">
        <v>0</v>
      </c>
      <c r="AN22" s="39">
        <v>9</v>
      </c>
      <c r="AO22" s="84">
        <f t="shared" si="8"/>
        <v>3</v>
      </c>
      <c r="AP22" s="32">
        <v>0</v>
      </c>
      <c r="AQ22" s="32">
        <v>0</v>
      </c>
      <c r="AR22" s="39">
        <v>9</v>
      </c>
      <c r="AS22" s="84">
        <f t="shared" si="9"/>
        <v>3</v>
      </c>
      <c r="AT22" s="32">
        <v>0</v>
      </c>
      <c r="AU22" s="32">
        <v>0</v>
      </c>
      <c r="AV22" s="39">
        <v>10</v>
      </c>
      <c r="AW22" s="84">
        <f t="shared" si="10"/>
        <v>3.3333333333333335</v>
      </c>
      <c r="AX22" s="32">
        <v>0</v>
      </c>
      <c r="AY22" s="32">
        <v>0</v>
      </c>
      <c r="AZ22" s="39">
        <v>10</v>
      </c>
      <c r="BA22" s="84">
        <f t="shared" si="11"/>
        <v>3.3333333333333335</v>
      </c>
      <c r="BB22" s="32">
        <v>0</v>
      </c>
      <c r="BC22" s="32">
        <v>0</v>
      </c>
      <c r="BD22" s="109">
        <v>10</v>
      </c>
      <c r="BE22" s="84">
        <f t="shared" si="12"/>
        <v>3.3333333333333335</v>
      </c>
      <c r="BF22" s="32">
        <v>0</v>
      </c>
      <c r="BG22" s="32">
        <v>0</v>
      </c>
      <c r="BH22" s="39">
        <v>10</v>
      </c>
      <c r="BI22" s="84">
        <f t="shared" si="13"/>
        <v>3.3333333333333335</v>
      </c>
      <c r="BJ22" s="64">
        <f t="shared" si="14"/>
        <v>3.1142857142857148</v>
      </c>
    </row>
    <row r="23" spans="1:62" s="87" customFormat="1" ht="15.75" customHeight="1" x14ac:dyDescent="0.25">
      <c r="A23" s="85" t="s">
        <v>615</v>
      </c>
      <c r="B23" s="86" t="s">
        <v>616</v>
      </c>
      <c r="C23" s="100" t="s">
        <v>15</v>
      </c>
      <c r="D23" s="101">
        <v>2</v>
      </c>
      <c r="E23" s="101" t="s">
        <v>41</v>
      </c>
      <c r="F23" s="165">
        <v>9</v>
      </c>
      <c r="G23" s="18">
        <v>6</v>
      </c>
      <c r="H23" s="124">
        <v>10</v>
      </c>
      <c r="I23" s="103">
        <f t="shared" si="2"/>
        <v>8.3333333333333339</v>
      </c>
      <c r="J23" s="166">
        <v>10</v>
      </c>
      <c r="K23" s="18">
        <v>8</v>
      </c>
      <c r="L23" s="105">
        <v>8</v>
      </c>
      <c r="M23" s="103">
        <f t="shared" si="0"/>
        <v>8.6666666666666661</v>
      </c>
      <c r="N23" s="167">
        <v>9.8000000000000007</v>
      </c>
      <c r="O23" s="18">
        <v>9</v>
      </c>
      <c r="P23" s="105">
        <v>7.5</v>
      </c>
      <c r="Q23" s="103">
        <f t="shared" si="1"/>
        <v>8.7666666666666675</v>
      </c>
      <c r="R23" s="167">
        <v>9.8000000000000007</v>
      </c>
      <c r="S23" s="18">
        <v>7</v>
      </c>
      <c r="T23" s="125">
        <v>1.1000000000000001</v>
      </c>
      <c r="U23" s="103">
        <f t="shared" si="3"/>
        <v>5.9666666666666677</v>
      </c>
      <c r="V23" s="137">
        <v>9</v>
      </c>
      <c r="W23" s="18">
        <v>9</v>
      </c>
      <c r="X23" s="105">
        <v>9</v>
      </c>
      <c r="Y23" s="103">
        <f t="shared" si="4"/>
        <v>9</v>
      </c>
      <c r="Z23" s="137">
        <v>9</v>
      </c>
      <c r="AA23" s="18">
        <v>8</v>
      </c>
      <c r="AB23" s="110">
        <v>8</v>
      </c>
      <c r="AC23" s="103">
        <f t="shared" si="5"/>
        <v>8.3333333333333339</v>
      </c>
      <c r="AD23" s="137">
        <v>8</v>
      </c>
      <c r="AE23" s="18">
        <v>9</v>
      </c>
      <c r="AF23" s="105">
        <v>10</v>
      </c>
      <c r="AG23" s="103">
        <f t="shared" si="6"/>
        <v>9</v>
      </c>
      <c r="AH23" s="137">
        <v>10</v>
      </c>
      <c r="AI23" s="18">
        <v>8</v>
      </c>
      <c r="AJ23" s="105">
        <v>8</v>
      </c>
      <c r="AK23" s="103">
        <f t="shared" si="7"/>
        <v>8.6666666666666661</v>
      </c>
      <c r="AL23" s="137">
        <v>8</v>
      </c>
      <c r="AM23" s="18">
        <v>5</v>
      </c>
      <c r="AN23" s="105">
        <v>8</v>
      </c>
      <c r="AO23" s="103">
        <f t="shared" si="8"/>
        <v>7</v>
      </c>
      <c r="AP23" s="137">
        <v>9</v>
      </c>
      <c r="AQ23" s="18">
        <v>5</v>
      </c>
      <c r="AR23" s="105">
        <v>6</v>
      </c>
      <c r="AS23" s="103">
        <f t="shared" si="9"/>
        <v>6.666666666666667</v>
      </c>
      <c r="AT23" s="143">
        <v>10</v>
      </c>
      <c r="AU23" s="18">
        <v>9</v>
      </c>
      <c r="AV23" s="105">
        <v>10</v>
      </c>
      <c r="AW23" s="103">
        <f t="shared" si="10"/>
        <v>9.6666666666666661</v>
      </c>
      <c r="AX23" s="144">
        <v>9</v>
      </c>
      <c r="AY23" s="209">
        <v>8</v>
      </c>
      <c r="AZ23" s="105">
        <v>10</v>
      </c>
      <c r="BA23" s="103">
        <f t="shared" si="11"/>
        <v>9</v>
      </c>
      <c r="BB23" s="137">
        <v>9</v>
      </c>
      <c r="BC23" s="18">
        <v>10</v>
      </c>
      <c r="BD23" s="105">
        <v>10</v>
      </c>
      <c r="BE23" s="103">
        <f t="shared" si="12"/>
        <v>9.6666666666666661</v>
      </c>
      <c r="BF23" s="149">
        <v>10</v>
      </c>
      <c r="BG23" s="18">
        <v>9</v>
      </c>
      <c r="BH23" s="105">
        <v>10</v>
      </c>
      <c r="BI23" s="103">
        <f t="shared" si="13"/>
        <v>9.6666666666666661</v>
      </c>
      <c r="BJ23" s="106">
        <f t="shared" si="14"/>
        <v>8.4571428571428591</v>
      </c>
    </row>
    <row r="24" spans="1:62" x14ac:dyDescent="0.25">
      <c r="A24" s="1" t="s">
        <v>669</v>
      </c>
      <c r="B24" s="5" t="s">
        <v>670</v>
      </c>
      <c r="C24" s="24" t="s">
        <v>15</v>
      </c>
      <c r="D24" s="50">
        <v>2</v>
      </c>
      <c r="E24" s="50" t="s">
        <v>41</v>
      </c>
      <c r="F24" s="163">
        <v>10</v>
      </c>
      <c r="G24" s="18">
        <v>8</v>
      </c>
      <c r="H24" s="14">
        <v>10</v>
      </c>
      <c r="I24" s="84">
        <f t="shared" si="2"/>
        <v>9.3333333333333339</v>
      </c>
      <c r="J24" s="130">
        <v>10</v>
      </c>
      <c r="K24" s="18">
        <v>9</v>
      </c>
      <c r="L24" s="39">
        <v>9</v>
      </c>
      <c r="M24" s="84">
        <f t="shared" ref="M24:M44" si="15">AVERAGE(J24:L24)</f>
        <v>9.3333333333333339</v>
      </c>
      <c r="N24" s="137">
        <v>9.5</v>
      </c>
      <c r="O24" s="18">
        <v>10</v>
      </c>
      <c r="P24" s="39">
        <v>10</v>
      </c>
      <c r="Q24" s="84">
        <f t="shared" ref="Q24:Q44" si="16">AVERAGE(N24:P24)</f>
        <v>9.8333333333333339</v>
      </c>
      <c r="R24" s="137">
        <v>9.5</v>
      </c>
      <c r="S24" s="18">
        <v>8</v>
      </c>
      <c r="T24" s="92">
        <v>9</v>
      </c>
      <c r="U24" s="84">
        <f t="shared" si="3"/>
        <v>8.8333333333333339</v>
      </c>
      <c r="V24" s="137">
        <v>10</v>
      </c>
      <c r="W24" s="18">
        <v>9</v>
      </c>
      <c r="X24" s="39">
        <v>9</v>
      </c>
      <c r="Y24" s="84">
        <f t="shared" si="4"/>
        <v>9.3333333333333339</v>
      </c>
      <c r="Z24" s="137">
        <v>10</v>
      </c>
      <c r="AA24" s="18">
        <v>9.8000000000000007</v>
      </c>
      <c r="AB24" s="92">
        <v>10</v>
      </c>
      <c r="AC24" s="84">
        <f t="shared" si="5"/>
        <v>9.9333333333333336</v>
      </c>
      <c r="AD24" s="137">
        <v>10</v>
      </c>
      <c r="AE24" s="18">
        <v>9</v>
      </c>
      <c r="AF24" s="39">
        <v>10</v>
      </c>
      <c r="AG24" s="84">
        <f t="shared" si="6"/>
        <v>9.6666666666666661</v>
      </c>
      <c r="AH24" s="137">
        <v>10</v>
      </c>
      <c r="AI24" s="18">
        <v>10</v>
      </c>
      <c r="AJ24" s="39">
        <v>10</v>
      </c>
      <c r="AK24" s="84">
        <f t="shared" si="7"/>
        <v>10</v>
      </c>
      <c r="AL24" s="137">
        <v>9</v>
      </c>
      <c r="AM24" s="18">
        <v>9</v>
      </c>
      <c r="AN24" s="39">
        <v>10</v>
      </c>
      <c r="AO24" s="84">
        <f t="shared" si="8"/>
        <v>9.3333333333333339</v>
      </c>
      <c r="AP24" s="137">
        <v>9.5</v>
      </c>
      <c r="AQ24" s="18">
        <v>9</v>
      </c>
      <c r="AR24" s="39">
        <v>10</v>
      </c>
      <c r="AS24" s="84">
        <f t="shared" si="9"/>
        <v>9.5</v>
      </c>
      <c r="AT24" s="143">
        <v>10</v>
      </c>
      <c r="AU24" s="18">
        <v>9</v>
      </c>
      <c r="AV24" s="39">
        <v>10</v>
      </c>
      <c r="AW24" s="84">
        <f t="shared" si="10"/>
        <v>9.6666666666666661</v>
      </c>
      <c r="AX24" s="144">
        <v>10</v>
      </c>
      <c r="AY24" s="209">
        <v>9</v>
      </c>
      <c r="AZ24" s="39">
        <v>10</v>
      </c>
      <c r="BA24" s="84">
        <f t="shared" si="11"/>
        <v>9.6666666666666661</v>
      </c>
      <c r="BB24" s="137">
        <v>9</v>
      </c>
      <c r="BC24" s="18">
        <v>10</v>
      </c>
      <c r="BD24" s="39">
        <v>10</v>
      </c>
      <c r="BE24" s="84">
        <f t="shared" si="12"/>
        <v>9.6666666666666661</v>
      </c>
      <c r="BF24" s="149">
        <v>10</v>
      </c>
      <c r="BG24" s="18">
        <v>9</v>
      </c>
      <c r="BH24" s="39">
        <v>10</v>
      </c>
      <c r="BI24" s="84">
        <f t="shared" si="13"/>
        <v>9.6666666666666661</v>
      </c>
      <c r="BJ24" s="64">
        <f t="shared" si="14"/>
        <v>9.5547619047619055</v>
      </c>
    </row>
    <row r="25" spans="1:62" x14ac:dyDescent="0.25">
      <c r="A25" s="13" t="s">
        <v>681</v>
      </c>
      <c r="B25" s="16" t="s">
        <v>682</v>
      </c>
      <c r="C25" s="24" t="s">
        <v>15</v>
      </c>
      <c r="D25" s="50">
        <v>2</v>
      </c>
      <c r="E25" s="107" t="s">
        <v>41</v>
      </c>
      <c r="F25" s="163">
        <v>8</v>
      </c>
      <c r="G25" s="18">
        <v>8</v>
      </c>
      <c r="H25" s="14">
        <v>10</v>
      </c>
      <c r="I25" s="108">
        <f t="shared" si="2"/>
        <v>8.6666666666666661</v>
      </c>
      <c r="J25" s="130">
        <v>10</v>
      </c>
      <c r="K25" s="18">
        <v>9</v>
      </c>
      <c r="L25" s="39">
        <v>8</v>
      </c>
      <c r="M25" s="108">
        <f t="shared" si="15"/>
        <v>9</v>
      </c>
      <c r="N25" s="137">
        <v>9.8000000000000007</v>
      </c>
      <c r="O25" s="18">
        <v>9</v>
      </c>
      <c r="P25" s="39">
        <v>7.5</v>
      </c>
      <c r="Q25" s="108">
        <f t="shared" si="16"/>
        <v>8.7666666666666675</v>
      </c>
      <c r="R25" s="137">
        <v>9.8000000000000007</v>
      </c>
      <c r="S25" s="18">
        <v>8</v>
      </c>
      <c r="T25" s="92">
        <v>9.4</v>
      </c>
      <c r="U25" s="108">
        <f t="shared" si="3"/>
        <v>9.0666666666666682</v>
      </c>
      <c r="V25" s="137">
        <v>9</v>
      </c>
      <c r="W25" s="18">
        <v>8.5</v>
      </c>
      <c r="X25" s="39">
        <v>7.5</v>
      </c>
      <c r="Y25" s="108">
        <f t="shared" si="4"/>
        <v>8.3333333333333339</v>
      </c>
      <c r="Z25" s="137">
        <v>9</v>
      </c>
      <c r="AA25" s="18">
        <v>8</v>
      </c>
      <c r="AB25" s="117">
        <v>7.5</v>
      </c>
      <c r="AC25" s="108">
        <f t="shared" si="5"/>
        <v>8.1666666666666661</v>
      </c>
      <c r="AD25" s="137">
        <v>9</v>
      </c>
      <c r="AE25" s="18">
        <v>9</v>
      </c>
      <c r="AF25" s="39">
        <v>10</v>
      </c>
      <c r="AG25" s="108">
        <f t="shared" si="6"/>
        <v>9.3333333333333339</v>
      </c>
      <c r="AH25" s="137">
        <v>10</v>
      </c>
      <c r="AI25" s="18">
        <v>8</v>
      </c>
      <c r="AJ25" s="39">
        <v>8</v>
      </c>
      <c r="AK25" s="108">
        <f t="shared" si="7"/>
        <v>8.6666666666666661</v>
      </c>
      <c r="AL25" s="137">
        <v>8</v>
      </c>
      <c r="AM25" s="18">
        <v>8</v>
      </c>
      <c r="AN25" s="39">
        <v>8</v>
      </c>
      <c r="AO25" s="108">
        <f t="shared" si="8"/>
        <v>8</v>
      </c>
      <c r="AP25" s="133">
        <v>7</v>
      </c>
      <c r="AQ25" s="207">
        <v>8</v>
      </c>
      <c r="AR25" s="39">
        <v>8</v>
      </c>
      <c r="AS25" s="108">
        <f t="shared" si="9"/>
        <v>7.666666666666667</v>
      </c>
      <c r="AT25" s="143">
        <v>10</v>
      </c>
      <c r="AU25" s="18">
        <v>8</v>
      </c>
      <c r="AV25" s="39">
        <v>10</v>
      </c>
      <c r="AW25" s="108">
        <f t="shared" si="10"/>
        <v>9.3333333333333339</v>
      </c>
      <c r="AX25" s="144">
        <v>9</v>
      </c>
      <c r="AY25" s="209">
        <v>9</v>
      </c>
      <c r="AZ25" s="39">
        <v>10</v>
      </c>
      <c r="BA25" s="108">
        <f t="shared" si="11"/>
        <v>9.3333333333333339</v>
      </c>
      <c r="BB25" s="137">
        <v>9</v>
      </c>
      <c r="BC25" s="18">
        <v>10</v>
      </c>
      <c r="BD25" s="39">
        <v>8</v>
      </c>
      <c r="BE25" s="108">
        <f t="shared" si="12"/>
        <v>9</v>
      </c>
      <c r="BF25" s="149">
        <v>10</v>
      </c>
      <c r="BG25" s="18">
        <v>9</v>
      </c>
      <c r="BH25" s="39">
        <v>10</v>
      </c>
      <c r="BI25" s="108">
        <f t="shared" si="13"/>
        <v>9.6666666666666661</v>
      </c>
      <c r="BJ25" s="64">
        <f t="shared" si="14"/>
        <v>8.7857142857142865</v>
      </c>
    </row>
    <row r="26" spans="1:62" x14ac:dyDescent="0.25">
      <c r="A26" s="1" t="s">
        <v>607</v>
      </c>
      <c r="B26" s="5" t="s">
        <v>608</v>
      </c>
      <c r="C26" s="24" t="s">
        <v>15</v>
      </c>
      <c r="D26" s="50">
        <v>2</v>
      </c>
      <c r="E26" s="50" t="s">
        <v>41</v>
      </c>
      <c r="F26" s="163">
        <v>8</v>
      </c>
      <c r="G26" s="18">
        <v>8</v>
      </c>
      <c r="H26" s="14">
        <v>10</v>
      </c>
      <c r="I26" s="84">
        <f t="shared" si="2"/>
        <v>8.6666666666666661</v>
      </c>
      <c r="J26" s="130">
        <v>10</v>
      </c>
      <c r="K26" s="18">
        <v>9</v>
      </c>
      <c r="L26" s="39">
        <v>8</v>
      </c>
      <c r="M26" s="84">
        <f t="shared" si="15"/>
        <v>9</v>
      </c>
      <c r="N26" s="137">
        <v>9.3000000000000007</v>
      </c>
      <c r="O26" s="18">
        <v>9</v>
      </c>
      <c r="P26" s="39">
        <v>8.5</v>
      </c>
      <c r="Q26" s="84">
        <f t="shared" si="16"/>
        <v>8.9333333333333336</v>
      </c>
      <c r="R26" s="137">
        <v>9.3000000000000007</v>
      </c>
      <c r="S26" s="18">
        <v>8</v>
      </c>
      <c r="T26" s="92">
        <v>8</v>
      </c>
      <c r="U26" s="84">
        <f t="shared" si="3"/>
        <v>8.4333333333333336</v>
      </c>
      <c r="V26" s="137">
        <v>9</v>
      </c>
      <c r="W26" s="18">
        <v>8.5</v>
      </c>
      <c r="X26" s="39">
        <v>9</v>
      </c>
      <c r="Y26" s="84">
        <f t="shared" si="4"/>
        <v>8.8333333333333339</v>
      </c>
      <c r="Z26" s="137">
        <v>9</v>
      </c>
      <c r="AA26" s="18">
        <v>9</v>
      </c>
      <c r="AB26" s="92">
        <v>8.9</v>
      </c>
      <c r="AC26" s="84">
        <f t="shared" si="5"/>
        <v>8.9666666666666668</v>
      </c>
      <c r="AD26" s="137">
        <v>9</v>
      </c>
      <c r="AE26" s="18">
        <v>9</v>
      </c>
      <c r="AF26" s="39">
        <v>10</v>
      </c>
      <c r="AG26" s="84">
        <f t="shared" si="6"/>
        <v>9.3333333333333339</v>
      </c>
      <c r="AH26" s="137">
        <v>10</v>
      </c>
      <c r="AI26" s="18">
        <v>8</v>
      </c>
      <c r="AJ26" s="39">
        <v>9</v>
      </c>
      <c r="AK26" s="84">
        <f t="shared" si="7"/>
        <v>9</v>
      </c>
      <c r="AL26" s="137">
        <v>8</v>
      </c>
      <c r="AM26" s="18">
        <v>8</v>
      </c>
      <c r="AN26" s="39">
        <v>9</v>
      </c>
      <c r="AO26" s="84">
        <f t="shared" si="8"/>
        <v>8.3333333333333339</v>
      </c>
      <c r="AP26" s="133">
        <v>7</v>
      </c>
      <c r="AQ26" s="207">
        <v>8</v>
      </c>
      <c r="AR26" s="39">
        <v>9</v>
      </c>
      <c r="AS26" s="84">
        <f t="shared" si="9"/>
        <v>8</v>
      </c>
      <c r="AT26" s="143">
        <v>10</v>
      </c>
      <c r="AU26" s="18">
        <v>9</v>
      </c>
      <c r="AV26" s="39">
        <v>10</v>
      </c>
      <c r="AW26" s="84">
        <f t="shared" si="10"/>
        <v>9.6666666666666661</v>
      </c>
      <c r="AX26" s="144">
        <v>9</v>
      </c>
      <c r="AY26" s="209">
        <v>9</v>
      </c>
      <c r="AZ26" s="39">
        <v>10</v>
      </c>
      <c r="BA26" s="84">
        <f t="shared" si="11"/>
        <v>9.3333333333333339</v>
      </c>
      <c r="BB26" s="137">
        <v>9</v>
      </c>
      <c r="BC26" s="18">
        <v>10</v>
      </c>
      <c r="BD26" s="39">
        <v>10</v>
      </c>
      <c r="BE26" s="84">
        <f t="shared" si="12"/>
        <v>9.6666666666666661</v>
      </c>
      <c r="BF26" s="149">
        <v>10</v>
      </c>
      <c r="BG26" s="18">
        <v>10</v>
      </c>
      <c r="BH26" s="39">
        <v>10</v>
      </c>
      <c r="BI26" s="84">
        <f t="shared" si="13"/>
        <v>10</v>
      </c>
      <c r="BJ26" s="64">
        <f t="shared" si="14"/>
        <v>9.0119047619047628</v>
      </c>
    </row>
    <row r="27" spans="1:62" x14ac:dyDescent="0.25">
      <c r="A27" s="1" t="s">
        <v>623</v>
      </c>
      <c r="B27" s="5" t="s">
        <v>624</v>
      </c>
      <c r="C27" s="24" t="s">
        <v>15</v>
      </c>
      <c r="D27" s="50">
        <v>2</v>
      </c>
      <c r="E27" s="50" t="s">
        <v>41</v>
      </c>
      <c r="F27" s="137">
        <v>9</v>
      </c>
      <c r="G27" s="18">
        <v>10</v>
      </c>
      <c r="H27" s="14">
        <v>10</v>
      </c>
      <c r="I27" s="84">
        <f t="shared" si="2"/>
        <v>9.6666666666666661</v>
      </c>
      <c r="J27" s="130">
        <v>10</v>
      </c>
      <c r="K27" s="18">
        <v>10</v>
      </c>
      <c r="L27" s="39">
        <v>10</v>
      </c>
      <c r="M27" s="84">
        <f t="shared" si="15"/>
        <v>10</v>
      </c>
      <c r="N27" s="137">
        <v>10</v>
      </c>
      <c r="O27" s="18">
        <v>10</v>
      </c>
      <c r="P27" s="39">
        <v>10</v>
      </c>
      <c r="Q27" s="84">
        <f t="shared" si="16"/>
        <v>10</v>
      </c>
      <c r="R27" s="137">
        <v>10</v>
      </c>
      <c r="S27" s="18">
        <v>10</v>
      </c>
      <c r="T27" s="92">
        <v>10</v>
      </c>
      <c r="U27" s="84">
        <f t="shared" si="3"/>
        <v>10</v>
      </c>
      <c r="V27" s="137">
        <v>10</v>
      </c>
      <c r="W27" s="18">
        <v>9.6999999999999993</v>
      </c>
      <c r="X27" s="39">
        <v>10</v>
      </c>
      <c r="Y27" s="84">
        <f t="shared" si="4"/>
        <v>9.9</v>
      </c>
      <c r="Z27" s="137">
        <v>10</v>
      </c>
      <c r="AA27" s="18">
        <v>9.8000000000000007</v>
      </c>
      <c r="AB27" s="92">
        <v>10</v>
      </c>
      <c r="AC27" s="84">
        <f t="shared" si="5"/>
        <v>9.9333333333333336</v>
      </c>
      <c r="AD27" s="137">
        <v>10</v>
      </c>
      <c r="AE27" s="18">
        <v>10</v>
      </c>
      <c r="AF27" s="39">
        <v>10</v>
      </c>
      <c r="AG27" s="84">
        <f t="shared" si="6"/>
        <v>10</v>
      </c>
      <c r="AH27" s="137">
        <v>10</v>
      </c>
      <c r="AI27" s="18">
        <v>10</v>
      </c>
      <c r="AJ27" s="39">
        <v>10</v>
      </c>
      <c r="AK27" s="84">
        <f t="shared" si="7"/>
        <v>10</v>
      </c>
      <c r="AL27" s="137">
        <v>9</v>
      </c>
      <c r="AM27" s="18">
        <v>10</v>
      </c>
      <c r="AN27" s="39">
        <v>10</v>
      </c>
      <c r="AO27" s="84">
        <f t="shared" si="8"/>
        <v>9.6666666666666661</v>
      </c>
      <c r="AP27" s="137">
        <v>9</v>
      </c>
      <c r="AQ27" s="18">
        <v>9</v>
      </c>
      <c r="AR27" s="39">
        <v>10</v>
      </c>
      <c r="AS27" s="84">
        <f t="shared" si="9"/>
        <v>9.3333333333333339</v>
      </c>
      <c r="AT27" s="143">
        <v>10</v>
      </c>
      <c r="AU27" s="18">
        <v>10</v>
      </c>
      <c r="AV27" s="39">
        <v>10</v>
      </c>
      <c r="AW27" s="84">
        <f t="shared" si="10"/>
        <v>10</v>
      </c>
      <c r="AX27" s="144">
        <v>9</v>
      </c>
      <c r="AY27" s="209">
        <v>9</v>
      </c>
      <c r="AZ27" s="39">
        <v>10</v>
      </c>
      <c r="BA27" s="84">
        <f t="shared" si="11"/>
        <v>9.3333333333333339</v>
      </c>
      <c r="BB27" s="137">
        <v>8</v>
      </c>
      <c r="BC27" s="18">
        <v>10</v>
      </c>
      <c r="BD27" s="39">
        <v>10</v>
      </c>
      <c r="BE27" s="84">
        <f t="shared" si="12"/>
        <v>9.3333333333333339</v>
      </c>
      <c r="BF27" s="149">
        <v>10</v>
      </c>
      <c r="BG27" s="18">
        <v>10</v>
      </c>
      <c r="BH27" s="39">
        <v>10</v>
      </c>
      <c r="BI27" s="84">
        <f t="shared" si="13"/>
        <v>10</v>
      </c>
      <c r="BJ27" s="64">
        <f t="shared" si="14"/>
        <v>9.7976190476190474</v>
      </c>
    </row>
    <row r="28" spans="1:62" x14ac:dyDescent="0.25">
      <c r="A28" s="1" t="s">
        <v>627</v>
      </c>
      <c r="B28" s="5" t="s">
        <v>628</v>
      </c>
      <c r="C28" s="24" t="s">
        <v>15</v>
      </c>
      <c r="D28" s="50">
        <v>2</v>
      </c>
      <c r="E28" s="50" t="s">
        <v>41</v>
      </c>
      <c r="F28" s="163">
        <v>9</v>
      </c>
      <c r="G28" s="18">
        <v>10</v>
      </c>
      <c r="H28" s="14">
        <v>10</v>
      </c>
      <c r="I28" s="84">
        <f t="shared" si="2"/>
        <v>9.6666666666666661</v>
      </c>
      <c r="J28" s="130">
        <v>10</v>
      </c>
      <c r="K28" s="18">
        <v>10</v>
      </c>
      <c r="L28" s="39">
        <v>10</v>
      </c>
      <c r="M28" s="84">
        <f t="shared" si="15"/>
        <v>10</v>
      </c>
      <c r="N28" s="137">
        <v>9.8000000000000007</v>
      </c>
      <c r="O28" s="18">
        <v>10</v>
      </c>
      <c r="P28" s="39">
        <v>10</v>
      </c>
      <c r="Q28" s="84">
        <f t="shared" si="16"/>
        <v>9.9333333333333336</v>
      </c>
      <c r="R28" s="137">
        <v>9.8000000000000007</v>
      </c>
      <c r="S28" s="18">
        <v>10</v>
      </c>
      <c r="T28" s="92">
        <v>10</v>
      </c>
      <c r="U28" s="84">
        <f t="shared" si="3"/>
        <v>9.9333333333333336</v>
      </c>
      <c r="V28" s="137">
        <v>8</v>
      </c>
      <c r="W28" s="18">
        <v>9.5</v>
      </c>
      <c r="X28" s="39">
        <v>10</v>
      </c>
      <c r="Y28" s="84">
        <f t="shared" si="4"/>
        <v>9.1666666666666661</v>
      </c>
      <c r="Z28" s="137">
        <v>8</v>
      </c>
      <c r="AA28" s="18">
        <v>10</v>
      </c>
      <c r="AB28" s="92">
        <v>10</v>
      </c>
      <c r="AC28" s="84">
        <f t="shared" si="5"/>
        <v>9.3333333333333339</v>
      </c>
      <c r="AD28" s="137">
        <v>10</v>
      </c>
      <c r="AE28" s="18">
        <v>10</v>
      </c>
      <c r="AF28" s="39">
        <v>10</v>
      </c>
      <c r="AG28" s="84">
        <f t="shared" si="6"/>
        <v>10</v>
      </c>
      <c r="AH28" s="137">
        <v>10</v>
      </c>
      <c r="AI28" s="18">
        <v>10</v>
      </c>
      <c r="AJ28" s="39">
        <v>10</v>
      </c>
      <c r="AK28" s="84">
        <f t="shared" si="7"/>
        <v>10</v>
      </c>
      <c r="AL28" s="137">
        <v>8</v>
      </c>
      <c r="AM28" s="18">
        <v>9</v>
      </c>
      <c r="AN28" s="39">
        <v>10</v>
      </c>
      <c r="AO28" s="84">
        <f t="shared" si="8"/>
        <v>9</v>
      </c>
      <c r="AP28" s="137">
        <v>9.5</v>
      </c>
      <c r="AQ28" s="18">
        <v>8</v>
      </c>
      <c r="AR28" s="39">
        <v>9</v>
      </c>
      <c r="AS28" s="84">
        <f t="shared" si="9"/>
        <v>8.8333333333333339</v>
      </c>
      <c r="AT28" s="143">
        <v>10</v>
      </c>
      <c r="AU28" s="18">
        <v>8</v>
      </c>
      <c r="AV28" s="39">
        <v>10</v>
      </c>
      <c r="AW28" s="84">
        <f t="shared" si="10"/>
        <v>9.3333333333333339</v>
      </c>
      <c r="AX28" s="144">
        <v>10</v>
      </c>
      <c r="AY28" s="209">
        <v>9</v>
      </c>
      <c r="AZ28" s="39">
        <v>10</v>
      </c>
      <c r="BA28" s="84">
        <f t="shared" si="11"/>
        <v>9.6666666666666661</v>
      </c>
      <c r="BB28" s="137">
        <v>10</v>
      </c>
      <c r="BC28" s="18">
        <v>10</v>
      </c>
      <c r="BD28" s="39">
        <v>10</v>
      </c>
      <c r="BE28" s="84">
        <f t="shared" si="12"/>
        <v>10</v>
      </c>
      <c r="BF28" s="149">
        <v>10</v>
      </c>
      <c r="BG28" s="18">
        <v>10</v>
      </c>
      <c r="BH28" s="39">
        <v>10</v>
      </c>
      <c r="BI28" s="84">
        <f t="shared" si="13"/>
        <v>10</v>
      </c>
      <c r="BJ28" s="64">
        <f t="shared" si="14"/>
        <v>9.6333333333333346</v>
      </c>
    </row>
    <row r="29" spans="1:62" x14ac:dyDescent="0.25">
      <c r="A29" s="1" t="s">
        <v>657</v>
      </c>
      <c r="B29" s="5" t="s">
        <v>658</v>
      </c>
      <c r="C29" s="24" t="s">
        <v>15</v>
      </c>
      <c r="D29" s="50">
        <v>2</v>
      </c>
      <c r="E29" s="50" t="s">
        <v>41</v>
      </c>
      <c r="F29" s="163">
        <v>9</v>
      </c>
      <c r="G29" s="18">
        <v>10</v>
      </c>
      <c r="H29" s="14">
        <v>10</v>
      </c>
      <c r="I29" s="84">
        <f t="shared" si="2"/>
        <v>9.6666666666666661</v>
      </c>
      <c r="J29" s="130">
        <v>10</v>
      </c>
      <c r="K29" s="18">
        <v>10</v>
      </c>
      <c r="L29" s="39">
        <v>10</v>
      </c>
      <c r="M29" s="84">
        <f t="shared" si="15"/>
        <v>10</v>
      </c>
      <c r="N29" s="137">
        <v>10</v>
      </c>
      <c r="O29" s="18">
        <v>10</v>
      </c>
      <c r="P29" s="39">
        <v>9.5</v>
      </c>
      <c r="Q29" s="84">
        <f t="shared" si="16"/>
        <v>9.8333333333333339</v>
      </c>
      <c r="R29" s="137">
        <v>10</v>
      </c>
      <c r="S29" s="18">
        <v>7</v>
      </c>
      <c r="T29" s="92">
        <v>8</v>
      </c>
      <c r="U29" s="84">
        <f t="shared" si="3"/>
        <v>8.3333333333333339</v>
      </c>
      <c r="V29" s="137">
        <v>10</v>
      </c>
      <c r="W29" s="18">
        <v>9.1999999999999993</v>
      </c>
      <c r="X29" s="39">
        <v>9</v>
      </c>
      <c r="Y29" s="84">
        <f t="shared" si="4"/>
        <v>9.4</v>
      </c>
      <c r="Z29" s="137">
        <v>10</v>
      </c>
      <c r="AA29" s="18">
        <v>9.1</v>
      </c>
      <c r="AB29" s="120">
        <v>8</v>
      </c>
      <c r="AC29" s="84">
        <f t="shared" si="5"/>
        <v>9.0333333333333332</v>
      </c>
      <c r="AD29" s="137">
        <v>9</v>
      </c>
      <c r="AE29" s="18">
        <v>9</v>
      </c>
      <c r="AF29" s="39">
        <v>10</v>
      </c>
      <c r="AG29" s="84">
        <f t="shared" si="6"/>
        <v>9.3333333333333339</v>
      </c>
      <c r="AH29" s="137">
        <v>10</v>
      </c>
      <c r="AI29" s="18">
        <v>8</v>
      </c>
      <c r="AJ29" s="39">
        <v>9</v>
      </c>
      <c r="AK29" s="84">
        <f t="shared" si="7"/>
        <v>9</v>
      </c>
      <c r="AL29" s="137">
        <v>9</v>
      </c>
      <c r="AM29" s="18">
        <v>9</v>
      </c>
      <c r="AN29" s="39">
        <v>10</v>
      </c>
      <c r="AO29" s="84">
        <f t="shared" si="8"/>
        <v>9.3333333333333339</v>
      </c>
      <c r="AP29" s="141">
        <v>8</v>
      </c>
      <c r="AQ29" s="207">
        <v>8</v>
      </c>
      <c r="AR29" s="39">
        <v>9</v>
      </c>
      <c r="AS29" s="84">
        <f t="shared" si="9"/>
        <v>8.3333333333333339</v>
      </c>
      <c r="AT29" s="143">
        <v>10</v>
      </c>
      <c r="AU29" s="18">
        <v>9</v>
      </c>
      <c r="AV29" s="39">
        <v>10</v>
      </c>
      <c r="AW29" s="84">
        <f t="shared" si="10"/>
        <v>9.6666666666666661</v>
      </c>
      <c r="AX29" s="144">
        <v>9</v>
      </c>
      <c r="AY29" s="209">
        <v>9</v>
      </c>
      <c r="AZ29" s="39">
        <v>10</v>
      </c>
      <c r="BA29" s="84">
        <f t="shared" si="11"/>
        <v>9.3333333333333339</v>
      </c>
      <c r="BB29" s="137">
        <v>10</v>
      </c>
      <c r="BC29" s="18">
        <v>9</v>
      </c>
      <c r="BD29" s="39">
        <v>9</v>
      </c>
      <c r="BE29" s="84">
        <f t="shared" si="12"/>
        <v>9.3333333333333339</v>
      </c>
      <c r="BF29" s="149">
        <v>10</v>
      </c>
      <c r="BG29" s="18">
        <v>10</v>
      </c>
      <c r="BH29" s="39">
        <v>10</v>
      </c>
      <c r="BI29" s="84">
        <f t="shared" si="13"/>
        <v>10</v>
      </c>
      <c r="BJ29" s="64">
        <f t="shared" si="14"/>
        <v>9.3285714285714256</v>
      </c>
    </row>
    <row r="30" spans="1:62" x14ac:dyDescent="0.25">
      <c r="A30" s="1" t="s">
        <v>629</v>
      </c>
      <c r="B30" s="5" t="s">
        <v>630</v>
      </c>
      <c r="C30" s="24" t="s">
        <v>15</v>
      </c>
      <c r="D30" s="50">
        <v>2</v>
      </c>
      <c r="E30" s="50" t="s">
        <v>41</v>
      </c>
      <c r="F30" s="163">
        <v>8</v>
      </c>
      <c r="G30" s="18">
        <v>10</v>
      </c>
      <c r="H30" s="14">
        <v>10</v>
      </c>
      <c r="I30" s="84">
        <f t="shared" si="2"/>
        <v>9.3333333333333339</v>
      </c>
      <c r="J30" s="130">
        <v>10</v>
      </c>
      <c r="K30" s="18">
        <v>10</v>
      </c>
      <c r="L30" s="39">
        <v>10</v>
      </c>
      <c r="M30" s="84">
        <f t="shared" si="15"/>
        <v>10</v>
      </c>
      <c r="N30" s="137">
        <v>10</v>
      </c>
      <c r="O30" s="18">
        <v>10</v>
      </c>
      <c r="P30" s="39">
        <v>10</v>
      </c>
      <c r="Q30" s="84">
        <f t="shared" si="16"/>
        <v>10</v>
      </c>
      <c r="R30" s="137">
        <v>10</v>
      </c>
      <c r="S30" s="18">
        <v>8</v>
      </c>
      <c r="T30" s="92">
        <v>9.1999999999999993</v>
      </c>
      <c r="U30" s="84">
        <f t="shared" si="3"/>
        <v>9.0666666666666664</v>
      </c>
      <c r="V30" s="137">
        <v>10</v>
      </c>
      <c r="W30" s="18">
        <v>9.1999999999999993</v>
      </c>
      <c r="X30" s="39">
        <v>9</v>
      </c>
      <c r="Y30" s="84">
        <f t="shared" si="4"/>
        <v>9.4</v>
      </c>
      <c r="Z30" s="137">
        <v>10</v>
      </c>
      <c r="AA30" s="18">
        <v>9.8000000000000007</v>
      </c>
      <c r="AB30" s="92">
        <v>9.3000000000000007</v>
      </c>
      <c r="AC30" s="84">
        <f t="shared" si="5"/>
        <v>9.7000000000000011</v>
      </c>
      <c r="AD30" s="137">
        <v>10</v>
      </c>
      <c r="AE30" s="18">
        <v>9</v>
      </c>
      <c r="AF30" s="39">
        <v>10</v>
      </c>
      <c r="AG30" s="84">
        <f t="shared" si="6"/>
        <v>9.6666666666666661</v>
      </c>
      <c r="AH30" s="137">
        <v>10</v>
      </c>
      <c r="AI30" s="18">
        <v>9</v>
      </c>
      <c r="AJ30" s="39">
        <v>10</v>
      </c>
      <c r="AK30" s="84">
        <f t="shared" si="7"/>
        <v>9.6666666666666661</v>
      </c>
      <c r="AL30" s="137">
        <v>8</v>
      </c>
      <c r="AM30" s="18">
        <v>9</v>
      </c>
      <c r="AN30" s="39">
        <v>9</v>
      </c>
      <c r="AO30" s="84">
        <f t="shared" si="8"/>
        <v>8.6666666666666661</v>
      </c>
      <c r="AP30" s="133">
        <v>9</v>
      </c>
      <c r="AQ30" s="207">
        <v>8</v>
      </c>
      <c r="AR30" s="39">
        <v>10</v>
      </c>
      <c r="AS30" s="84">
        <f t="shared" si="9"/>
        <v>9</v>
      </c>
      <c r="AT30" s="143">
        <v>10</v>
      </c>
      <c r="AU30" s="18">
        <v>9</v>
      </c>
      <c r="AV30" s="39">
        <v>10</v>
      </c>
      <c r="AW30" s="84">
        <f t="shared" si="10"/>
        <v>9.6666666666666661</v>
      </c>
      <c r="AX30" s="144">
        <v>10</v>
      </c>
      <c r="AY30" s="209">
        <v>9</v>
      </c>
      <c r="AZ30" s="39">
        <v>10</v>
      </c>
      <c r="BA30" s="84">
        <f t="shared" si="11"/>
        <v>9.6666666666666661</v>
      </c>
      <c r="BB30" s="137">
        <v>9</v>
      </c>
      <c r="BC30" s="18">
        <v>10</v>
      </c>
      <c r="BD30" s="39">
        <v>10</v>
      </c>
      <c r="BE30" s="84">
        <f t="shared" si="12"/>
        <v>9.6666666666666661</v>
      </c>
      <c r="BF30" s="149">
        <v>10</v>
      </c>
      <c r="BG30" s="18">
        <v>10</v>
      </c>
      <c r="BH30" s="39">
        <v>10</v>
      </c>
      <c r="BI30" s="84">
        <f t="shared" si="13"/>
        <v>10</v>
      </c>
      <c r="BJ30" s="64">
        <f t="shared" si="14"/>
        <v>9.5357142857142883</v>
      </c>
    </row>
    <row r="31" spans="1:62" x14ac:dyDescent="0.25">
      <c r="A31" s="1" t="s">
        <v>631</v>
      </c>
      <c r="B31" s="5" t="s">
        <v>632</v>
      </c>
      <c r="C31" s="24" t="s">
        <v>15</v>
      </c>
      <c r="D31" s="50">
        <v>2</v>
      </c>
      <c r="E31" s="50" t="s">
        <v>41</v>
      </c>
      <c r="F31" s="137">
        <v>8</v>
      </c>
      <c r="G31" s="18">
        <v>3</v>
      </c>
      <c r="H31" s="14">
        <v>10</v>
      </c>
      <c r="I31" s="84">
        <f t="shared" si="2"/>
        <v>7</v>
      </c>
      <c r="J31" s="130">
        <v>10</v>
      </c>
      <c r="K31" s="18">
        <v>9</v>
      </c>
      <c r="L31" s="39">
        <v>8</v>
      </c>
      <c r="M31" s="84">
        <f t="shared" si="15"/>
        <v>9</v>
      </c>
      <c r="N31" s="158">
        <v>9.5</v>
      </c>
      <c r="O31" s="18">
        <v>7</v>
      </c>
      <c r="P31" s="39">
        <v>10</v>
      </c>
      <c r="Q31" s="84">
        <f t="shared" si="16"/>
        <v>8.8333333333333339</v>
      </c>
      <c r="R31" s="158">
        <v>9.5</v>
      </c>
      <c r="S31" s="18">
        <v>6</v>
      </c>
      <c r="T31" s="117">
        <v>0</v>
      </c>
      <c r="U31" s="84">
        <f t="shared" si="3"/>
        <v>5.166666666666667</v>
      </c>
      <c r="V31" s="149">
        <v>8</v>
      </c>
      <c r="W31" s="18">
        <v>6</v>
      </c>
      <c r="X31" s="39">
        <v>7</v>
      </c>
      <c r="Y31" s="84">
        <f t="shared" si="4"/>
        <v>7</v>
      </c>
      <c r="Z31" s="149">
        <v>8</v>
      </c>
      <c r="AA31" s="18">
        <v>5.5</v>
      </c>
      <c r="AB31" s="39">
        <v>7</v>
      </c>
      <c r="AC31" s="84">
        <f t="shared" si="5"/>
        <v>6.833333333333333</v>
      </c>
      <c r="AD31" s="158">
        <v>10</v>
      </c>
      <c r="AE31" s="18">
        <v>10</v>
      </c>
      <c r="AF31" s="39">
        <v>10</v>
      </c>
      <c r="AG31" s="84">
        <f t="shared" si="6"/>
        <v>10</v>
      </c>
      <c r="AH31" s="158">
        <v>10</v>
      </c>
      <c r="AI31" s="18">
        <v>8</v>
      </c>
      <c r="AJ31" s="39">
        <v>8</v>
      </c>
      <c r="AK31" s="84">
        <f t="shared" si="7"/>
        <v>8.6666666666666661</v>
      </c>
      <c r="AL31" s="158">
        <v>8</v>
      </c>
      <c r="AM31" s="18">
        <v>5</v>
      </c>
      <c r="AN31" s="39">
        <v>8</v>
      </c>
      <c r="AO31" s="84">
        <f t="shared" si="8"/>
        <v>7</v>
      </c>
      <c r="AP31" s="161">
        <v>8</v>
      </c>
      <c r="AQ31" s="207">
        <v>5</v>
      </c>
      <c r="AR31" s="39">
        <v>7</v>
      </c>
      <c r="AS31" s="84">
        <f t="shared" si="9"/>
        <v>6.666666666666667</v>
      </c>
      <c r="AT31" s="143">
        <v>10</v>
      </c>
      <c r="AU31" s="18">
        <v>9</v>
      </c>
      <c r="AV31" s="39">
        <v>10</v>
      </c>
      <c r="AW31" s="84">
        <f t="shared" si="10"/>
        <v>9.6666666666666661</v>
      </c>
      <c r="AX31" s="144">
        <v>9</v>
      </c>
      <c r="AY31" s="209">
        <v>9</v>
      </c>
      <c r="AZ31" s="39">
        <v>10</v>
      </c>
      <c r="BA31" s="84">
        <f t="shared" si="11"/>
        <v>9.3333333333333339</v>
      </c>
      <c r="BB31" s="137">
        <v>8</v>
      </c>
      <c r="BC31" s="18">
        <v>9</v>
      </c>
      <c r="BD31" s="39">
        <v>8</v>
      </c>
      <c r="BE31" s="84">
        <f t="shared" si="12"/>
        <v>8.3333333333333339</v>
      </c>
      <c r="BF31" s="149">
        <v>10</v>
      </c>
      <c r="BG31" s="18">
        <v>9</v>
      </c>
      <c r="BH31" s="39">
        <v>10</v>
      </c>
      <c r="BI31" s="84">
        <f t="shared" si="13"/>
        <v>9.6666666666666661</v>
      </c>
      <c r="BJ31" s="64">
        <f t="shared" si="14"/>
        <v>8.0833333333333339</v>
      </c>
    </row>
    <row r="32" spans="1:62" x14ac:dyDescent="0.25">
      <c r="A32" s="1" t="s">
        <v>653</v>
      </c>
      <c r="B32" s="5" t="s">
        <v>654</v>
      </c>
      <c r="C32" s="24" t="s">
        <v>15</v>
      </c>
      <c r="D32" s="50">
        <v>2</v>
      </c>
      <c r="E32" s="50" t="s">
        <v>41</v>
      </c>
      <c r="F32" s="163">
        <v>9</v>
      </c>
      <c r="G32" s="18">
        <v>10</v>
      </c>
      <c r="H32" s="14">
        <v>10</v>
      </c>
      <c r="I32" s="84">
        <f t="shared" si="2"/>
        <v>9.6666666666666661</v>
      </c>
      <c r="J32" s="130">
        <v>10</v>
      </c>
      <c r="K32" s="18">
        <v>9</v>
      </c>
      <c r="L32" s="39">
        <v>9</v>
      </c>
      <c r="M32" s="84">
        <f t="shared" si="15"/>
        <v>9.3333333333333339</v>
      </c>
      <c r="N32" s="137">
        <v>10</v>
      </c>
      <c r="O32" s="18">
        <v>10</v>
      </c>
      <c r="P32" s="39">
        <v>10</v>
      </c>
      <c r="Q32" s="84">
        <f t="shared" si="16"/>
        <v>10</v>
      </c>
      <c r="R32" s="137">
        <v>10</v>
      </c>
      <c r="S32" s="18">
        <v>9</v>
      </c>
      <c r="T32" s="92">
        <v>8</v>
      </c>
      <c r="U32" s="84">
        <f t="shared" si="3"/>
        <v>9</v>
      </c>
      <c r="V32" s="137">
        <v>10</v>
      </c>
      <c r="W32" s="18">
        <v>9</v>
      </c>
      <c r="X32" s="39">
        <v>9</v>
      </c>
      <c r="Y32" s="84">
        <f t="shared" si="4"/>
        <v>9.3333333333333339</v>
      </c>
      <c r="Z32" s="137">
        <v>10</v>
      </c>
      <c r="AA32" s="18">
        <v>9.8000000000000007</v>
      </c>
      <c r="AB32" s="92">
        <v>10</v>
      </c>
      <c r="AC32" s="84">
        <f t="shared" si="5"/>
        <v>9.9333333333333336</v>
      </c>
      <c r="AD32" s="137">
        <v>10</v>
      </c>
      <c r="AE32" s="18">
        <v>9</v>
      </c>
      <c r="AF32" s="39">
        <v>10</v>
      </c>
      <c r="AG32" s="84">
        <f t="shared" si="6"/>
        <v>9.6666666666666661</v>
      </c>
      <c r="AH32" s="137">
        <v>10</v>
      </c>
      <c r="AI32" s="18">
        <v>10</v>
      </c>
      <c r="AJ32" s="39">
        <v>10</v>
      </c>
      <c r="AK32" s="84">
        <f t="shared" si="7"/>
        <v>10</v>
      </c>
      <c r="AL32" s="137">
        <v>9</v>
      </c>
      <c r="AM32" s="18">
        <v>9</v>
      </c>
      <c r="AN32" s="39">
        <v>10</v>
      </c>
      <c r="AO32" s="84">
        <f t="shared" si="8"/>
        <v>9.3333333333333339</v>
      </c>
      <c r="AP32" s="141">
        <v>9</v>
      </c>
      <c r="AQ32" s="207">
        <v>9</v>
      </c>
      <c r="AR32" s="39">
        <v>10</v>
      </c>
      <c r="AS32" s="84">
        <f t="shared" si="9"/>
        <v>9.3333333333333339</v>
      </c>
      <c r="AT32" s="143">
        <v>10</v>
      </c>
      <c r="AU32" s="18">
        <v>9</v>
      </c>
      <c r="AV32" s="39">
        <v>10</v>
      </c>
      <c r="AW32" s="84">
        <f t="shared" si="10"/>
        <v>9.6666666666666661</v>
      </c>
      <c r="AX32" s="144">
        <v>9</v>
      </c>
      <c r="AY32" s="209">
        <v>9</v>
      </c>
      <c r="AZ32" s="39">
        <v>10</v>
      </c>
      <c r="BA32" s="84">
        <f t="shared" si="11"/>
        <v>9.3333333333333339</v>
      </c>
      <c r="BB32" s="137">
        <v>9</v>
      </c>
      <c r="BC32" s="18">
        <v>10</v>
      </c>
      <c r="BD32" s="39">
        <v>10</v>
      </c>
      <c r="BE32" s="84">
        <f t="shared" si="12"/>
        <v>9.6666666666666661</v>
      </c>
      <c r="BF32" s="149">
        <v>10</v>
      </c>
      <c r="BG32" s="18">
        <v>10</v>
      </c>
      <c r="BH32" s="39">
        <v>10</v>
      </c>
      <c r="BI32" s="84">
        <f t="shared" si="13"/>
        <v>10</v>
      </c>
      <c r="BJ32" s="64">
        <f t="shared" si="14"/>
        <v>9.5904761904761902</v>
      </c>
    </row>
    <row r="33" spans="1:62" x14ac:dyDescent="0.25">
      <c r="A33" s="1" t="s">
        <v>637</v>
      </c>
      <c r="B33" s="5" t="s">
        <v>638</v>
      </c>
      <c r="C33" s="24" t="s">
        <v>15</v>
      </c>
      <c r="D33" s="50">
        <v>2</v>
      </c>
      <c r="E33" s="50" t="s">
        <v>41</v>
      </c>
      <c r="F33" s="163">
        <v>9</v>
      </c>
      <c r="G33" s="18">
        <v>10</v>
      </c>
      <c r="H33" s="14">
        <v>10</v>
      </c>
      <c r="I33" s="84">
        <f t="shared" si="2"/>
        <v>9.6666666666666661</v>
      </c>
      <c r="J33" s="130">
        <v>10</v>
      </c>
      <c r="K33" s="18">
        <v>10</v>
      </c>
      <c r="L33" s="39">
        <v>10</v>
      </c>
      <c r="M33" s="84">
        <f t="shared" si="15"/>
        <v>10</v>
      </c>
      <c r="N33" s="137">
        <v>10</v>
      </c>
      <c r="O33" s="18">
        <v>10</v>
      </c>
      <c r="P33" s="39">
        <v>10</v>
      </c>
      <c r="Q33" s="84">
        <f t="shared" si="16"/>
        <v>10</v>
      </c>
      <c r="R33" s="137">
        <v>10</v>
      </c>
      <c r="S33" s="18">
        <v>8</v>
      </c>
      <c r="T33" s="92">
        <v>10</v>
      </c>
      <c r="U33" s="84">
        <f t="shared" si="3"/>
        <v>9.3333333333333339</v>
      </c>
      <c r="V33" s="137">
        <v>10</v>
      </c>
      <c r="W33" s="18">
        <v>9</v>
      </c>
      <c r="X33" s="39">
        <v>9</v>
      </c>
      <c r="Y33" s="84">
        <f t="shared" si="4"/>
        <v>9.3333333333333339</v>
      </c>
      <c r="Z33" s="137">
        <v>10</v>
      </c>
      <c r="AA33" s="18">
        <v>9.8000000000000007</v>
      </c>
      <c r="AB33" s="94">
        <v>8</v>
      </c>
      <c r="AC33" s="84">
        <f t="shared" si="5"/>
        <v>9.2666666666666675</v>
      </c>
      <c r="AD33" s="137">
        <v>10</v>
      </c>
      <c r="AE33" s="18">
        <v>9</v>
      </c>
      <c r="AF33" s="39">
        <v>10</v>
      </c>
      <c r="AG33" s="84">
        <f t="shared" si="6"/>
        <v>9.6666666666666661</v>
      </c>
      <c r="AH33" s="137">
        <v>10</v>
      </c>
      <c r="AI33" s="18">
        <v>10</v>
      </c>
      <c r="AJ33" s="39">
        <v>10</v>
      </c>
      <c r="AK33" s="84">
        <f t="shared" si="7"/>
        <v>10</v>
      </c>
      <c r="AL33" s="137">
        <v>9</v>
      </c>
      <c r="AM33" s="18">
        <v>9</v>
      </c>
      <c r="AN33" s="39">
        <v>10</v>
      </c>
      <c r="AO33" s="84">
        <f t="shared" si="8"/>
        <v>9.3333333333333339</v>
      </c>
      <c r="AP33" s="141">
        <v>10</v>
      </c>
      <c r="AQ33" s="207">
        <v>9</v>
      </c>
      <c r="AR33" s="39">
        <v>10</v>
      </c>
      <c r="AS33" s="84">
        <f t="shared" si="9"/>
        <v>9.6666666666666661</v>
      </c>
      <c r="AT33" s="143">
        <v>10</v>
      </c>
      <c r="AU33" s="18">
        <v>9</v>
      </c>
      <c r="AV33" s="39">
        <v>10</v>
      </c>
      <c r="AW33" s="84">
        <f t="shared" si="10"/>
        <v>9.6666666666666661</v>
      </c>
      <c r="AX33" s="144">
        <v>10</v>
      </c>
      <c r="AY33" s="209">
        <v>9</v>
      </c>
      <c r="AZ33" s="39">
        <v>10</v>
      </c>
      <c r="BA33" s="84">
        <f t="shared" si="11"/>
        <v>9.6666666666666661</v>
      </c>
      <c r="BB33" s="137">
        <v>9</v>
      </c>
      <c r="BC33" s="18">
        <v>10</v>
      </c>
      <c r="BD33" s="39">
        <v>10</v>
      </c>
      <c r="BE33" s="84">
        <f t="shared" si="12"/>
        <v>9.6666666666666661</v>
      </c>
      <c r="BF33" s="149">
        <v>10</v>
      </c>
      <c r="BG33" s="18">
        <v>10</v>
      </c>
      <c r="BH33" s="39">
        <v>10</v>
      </c>
      <c r="BI33" s="84">
        <f t="shared" si="13"/>
        <v>10</v>
      </c>
      <c r="BJ33" s="64">
        <f t="shared" si="14"/>
        <v>9.6619047619047631</v>
      </c>
    </row>
    <row r="34" spans="1:62" x14ac:dyDescent="0.25">
      <c r="A34" s="1" t="s">
        <v>645</v>
      </c>
      <c r="B34" s="5" t="s">
        <v>646</v>
      </c>
      <c r="C34" s="24" t="s">
        <v>15</v>
      </c>
      <c r="D34" s="50">
        <v>2</v>
      </c>
      <c r="E34" s="50" t="s">
        <v>41</v>
      </c>
      <c r="F34" s="163">
        <v>10</v>
      </c>
      <c r="G34" s="18">
        <v>9</v>
      </c>
      <c r="H34" s="14">
        <v>10</v>
      </c>
      <c r="I34" s="84">
        <f t="shared" si="2"/>
        <v>9.6666666666666661</v>
      </c>
      <c r="J34" s="130">
        <v>10</v>
      </c>
      <c r="K34" s="18">
        <v>10</v>
      </c>
      <c r="L34" s="39">
        <v>10</v>
      </c>
      <c r="M34" s="84">
        <f t="shared" si="15"/>
        <v>10</v>
      </c>
      <c r="N34" s="137">
        <v>9</v>
      </c>
      <c r="O34" s="18">
        <v>10</v>
      </c>
      <c r="P34" s="39">
        <v>10</v>
      </c>
      <c r="Q34" s="84">
        <f t="shared" si="16"/>
        <v>9.6666666666666661</v>
      </c>
      <c r="R34" s="137">
        <v>9</v>
      </c>
      <c r="S34" s="18">
        <v>8</v>
      </c>
      <c r="T34" s="92">
        <v>8</v>
      </c>
      <c r="U34" s="84">
        <f t="shared" si="3"/>
        <v>8.3333333333333339</v>
      </c>
      <c r="V34" s="137">
        <v>10</v>
      </c>
      <c r="W34" s="18">
        <v>9.1999999999999993</v>
      </c>
      <c r="X34" s="39">
        <v>9</v>
      </c>
      <c r="Y34" s="84">
        <f t="shared" si="4"/>
        <v>9.4</v>
      </c>
      <c r="Z34" s="137">
        <v>10</v>
      </c>
      <c r="AA34" s="18">
        <v>10</v>
      </c>
      <c r="AB34" s="94">
        <v>8</v>
      </c>
      <c r="AC34" s="84">
        <f t="shared" si="5"/>
        <v>9.3333333333333339</v>
      </c>
      <c r="AD34" s="137">
        <v>10</v>
      </c>
      <c r="AE34" s="18">
        <v>10</v>
      </c>
      <c r="AF34" s="39">
        <v>10</v>
      </c>
      <c r="AG34" s="84">
        <f t="shared" si="6"/>
        <v>10</v>
      </c>
      <c r="AH34" s="137">
        <v>10</v>
      </c>
      <c r="AI34" s="18">
        <v>9</v>
      </c>
      <c r="AJ34" s="39">
        <v>9</v>
      </c>
      <c r="AK34" s="84">
        <f t="shared" si="7"/>
        <v>9.3333333333333339</v>
      </c>
      <c r="AL34" s="137">
        <v>8</v>
      </c>
      <c r="AM34" s="18">
        <v>9</v>
      </c>
      <c r="AN34" s="39">
        <v>10</v>
      </c>
      <c r="AO34" s="84">
        <f t="shared" si="8"/>
        <v>9</v>
      </c>
      <c r="AP34" s="141">
        <v>8</v>
      </c>
      <c r="AQ34" s="18">
        <v>9</v>
      </c>
      <c r="AR34" s="39">
        <v>9</v>
      </c>
      <c r="AS34" s="84">
        <f t="shared" si="9"/>
        <v>8.6666666666666661</v>
      </c>
      <c r="AT34" s="143">
        <v>10</v>
      </c>
      <c r="AU34" s="18">
        <v>9</v>
      </c>
      <c r="AV34" s="39">
        <v>10</v>
      </c>
      <c r="AW34" s="84">
        <f t="shared" si="10"/>
        <v>9.6666666666666661</v>
      </c>
      <c r="AX34" s="144">
        <v>10</v>
      </c>
      <c r="AY34" s="209">
        <v>9</v>
      </c>
      <c r="AZ34" s="39">
        <v>10</v>
      </c>
      <c r="BA34" s="84">
        <f t="shared" si="11"/>
        <v>9.6666666666666661</v>
      </c>
      <c r="BB34" s="137">
        <v>8</v>
      </c>
      <c r="BC34" s="18">
        <v>10</v>
      </c>
      <c r="BD34" s="39">
        <v>10</v>
      </c>
      <c r="BE34" s="84">
        <f t="shared" si="12"/>
        <v>9.3333333333333339</v>
      </c>
      <c r="BF34" s="149">
        <v>10</v>
      </c>
      <c r="BG34" s="18">
        <v>10</v>
      </c>
      <c r="BH34" s="39">
        <v>10</v>
      </c>
      <c r="BI34" s="84">
        <f t="shared" si="13"/>
        <v>10</v>
      </c>
      <c r="BJ34" s="64">
        <f t="shared" si="14"/>
        <v>9.4333333333333336</v>
      </c>
    </row>
    <row r="35" spans="1:62" x14ac:dyDescent="0.25">
      <c r="A35" s="1" t="s">
        <v>639</v>
      </c>
      <c r="B35" s="8" t="s">
        <v>640</v>
      </c>
      <c r="C35" s="24" t="s">
        <v>15</v>
      </c>
      <c r="D35" s="50">
        <v>2</v>
      </c>
      <c r="E35" s="50" t="s">
        <v>41</v>
      </c>
      <c r="F35" s="137">
        <v>8</v>
      </c>
      <c r="G35" s="18">
        <v>10</v>
      </c>
      <c r="H35" s="14">
        <v>10</v>
      </c>
      <c r="I35" s="84">
        <f t="shared" si="2"/>
        <v>9.3333333333333339</v>
      </c>
      <c r="J35" s="130">
        <v>10</v>
      </c>
      <c r="K35" s="18">
        <v>10</v>
      </c>
      <c r="L35" s="39">
        <v>10</v>
      </c>
      <c r="M35" s="84">
        <f t="shared" si="15"/>
        <v>10</v>
      </c>
      <c r="N35" s="137">
        <v>9.8000000000000007</v>
      </c>
      <c r="O35" s="18">
        <v>9</v>
      </c>
      <c r="P35" s="39">
        <v>10</v>
      </c>
      <c r="Q35" s="84">
        <f t="shared" si="16"/>
        <v>9.6</v>
      </c>
      <c r="R35" s="137">
        <v>9.8000000000000007</v>
      </c>
      <c r="S35" s="18">
        <v>9</v>
      </c>
      <c r="T35" s="92">
        <v>10</v>
      </c>
      <c r="U35" s="84">
        <f t="shared" si="3"/>
        <v>9.6</v>
      </c>
      <c r="V35" s="137">
        <v>10</v>
      </c>
      <c r="W35" s="18">
        <v>9</v>
      </c>
      <c r="X35" s="39">
        <v>9</v>
      </c>
      <c r="Y35" s="84">
        <f t="shared" si="4"/>
        <v>9.3333333333333339</v>
      </c>
      <c r="Z35" s="137">
        <v>10</v>
      </c>
      <c r="AA35" s="18">
        <v>10</v>
      </c>
      <c r="AB35" s="92">
        <v>10</v>
      </c>
      <c r="AC35" s="84">
        <f t="shared" si="5"/>
        <v>10</v>
      </c>
      <c r="AD35" s="137">
        <v>10</v>
      </c>
      <c r="AE35" s="18">
        <v>10</v>
      </c>
      <c r="AF35" s="39">
        <v>10</v>
      </c>
      <c r="AG35" s="84">
        <f t="shared" si="6"/>
        <v>10</v>
      </c>
      <c r="AH35" s="137">
        <v>10</v>
      </c>
      <c r="AI35" s="18">
        <v>10</v>
      </c>
      <c r="AJ35" s="39">
        <v>10</v>
      </c>
      <c r="AK35" s="84">
        <f t="shared" si="7"/>
        <v>10</v>
      </c>
      <c r="AL35" s="137">
        <v>9</v>
      </c>
      <c r="AM35" s="18">
        <v>9</v>
      </c>
      <c r="AN35" s="39">
        <v>10</v>
      </c>
      <c r="AO35" s="84">
        <f t="shared" si="8"/>
        <v>9.3333333333333339</v>
      </c>
      <c r="AP35" s="137">
        <v>8</v>
      </c>
      <c r="AQ35" s="18">
        <v>10</v>
      </c>
      <c r="AR35" s="39">
        <v>10</v>
      </c>
      <c r="AS35" s="84">
        <f t="shared" si="9"/>
        <v>9.3333333333333339</v>
      </c>
      <c r="AT35" s="143">
        <v>10</v>
      </c>
      <c r="AU35" s="18">
        <v>9</v>
      </c>
      <c r="AV35" s="39">
        <v>10</v>
      </c>
      <c r="AW35" s="84">
        <f t="shared" si="10"/>
        <v>9.6666666666666661</v>
      </c>
      <c r="AX35" s="144">
        <v>10</v>
      </c>
      <c r="AY35" s="209">
        <v>9</v>
      </c>
      <c r="AZ35" s="39">
        <v>10</v>
      </c>
      <c r="BA35" s="84">
        <f t="shared" si="11"/>
        <v>9.6666666666666661</v>
      </c>
      <c r="BB35" s="137">
        <v>10</v>
      </c>
      <c r="BC35" s="18">
        <v>10</v>
      </c>
      <c r="BD35" s="39">
        <v>10</v>
      </c>
      <c r="BE35" s="84">
        <f t="shared" si="12"/>
        <v>10</v>
      </c>
      <c r="BF35" s="149">
        <v>10</v>
      </c>
      <c r="BG35" s="18">
        <v>10</v>
      </c>
      <c r="BH35" s="39">
        <v>10</v>
      </c>
      <c r="BI35" s="84">
        <f t="shared" si="13"/>
        <v>10</v>
      </c>
      <c r="BJ35" s="64">
        <f t="shared" si="14"/>
        <v>9.7047619047619058</v>
      </c>
    </row>
    <row r="36" spans="1:62" x14ac:dyDescent="0.25">
      <c r="A36" s="1" t="s">
        <v>611</v>
      </c>
      <c r="B36" s="5" t="s">
        <v>612</v>
      </c>
      <c r="C36" s="24" t="s">
        <v>15</v>
      </c>
      <c r="D36" s="50">
        <v>2</v>
      </c>
      <c r="E36" s="50" t="s">
        <v>41</v>
      </c>
      <c r="F36" s="137">
        <v>8</v>
      </c>
      <c r="G36" s="18">
        <v>10</v>
      </c>
      <c r="H36" s="14">
        <v>10</v>
      </c>
      <c r="I36" s="84">
        <f t="shared" si="2"/>
        <v>9.3333333333333339</v>
      </c>
      <c r="J36" s="130">
        <v>10</v>
      </c>
      <c r="K36" s="18">
        <v>10</v>
      </c>
      <c r="L36" s="39">
        <v>10</v>
      </c>
      <c r="M36" s="84">
        <f t="shared" si="15"/>
        <v>10</v>
      </c>
      <c r="N36" s="137">
        <v>10</v>
      </c>
      <c r="O36" s="18">
        <v>9</v>
      </c>
      <c r="P36" s="39">
        <v>10</v>
      </c>
      <c r="Q36" s="84">
        <f t="shared" si="16"/>
        <v>9.6666666666666661</v>
      </c>
      <c r="R36" s="137">
        <v>10</v>
      </c>
      <c r="S36" s="18">
        <v>8</v>
      </c>
      <c r="T36" s="92">
        <v>10</v>
      </c>
      <c r="U36" s="84">
        <f t="shared" si="3"/>
        <v>9.3333333333333339</v>
      </c>
      <c r="V36" s="137">
        <v>9</v>
      </c>
      <c r="W36" s="18">
        <v>9</v>
      </c>
      <c r="X36" s="39">
        <v>9</v>
      </c>
      <c r="Y36" s="84">
        <f t="shared" si="4"/>
        <v>9</v>
      </c>
      <c r="Z36" s="137">
        <v>9</v>
      </c>
      <c r="AA36" s="18">
        <v>9.5</v>
      </c>
      <c r="AB36" s="92">
        <v>10</v>
      </c>
      <c r="AC36" s="84">
        <f t="shared" si="5"/>
        <v>9.5</v>
      </c>
      <c r="AD36" s="137">
        <v>10</v>
      </c>
      <c r="AE36" s="18">
        <v>10</v>
      </c>
      <c r="AF36" s="39">
        <v>10</v>
      </c>
      <c r="AG36" s="84">
        <f t="shared" si="6"/>
        <v>10</v>
      </c>
      <c r="AH36" s="137">
        <v>10</v>
      </c>
      <c r="AI36" s="18">
        <v>10</v>
      </c>
      <c r="AJ36" s="39">
        <v>10</v>
      </c>
      <c r="AK36" s="84">
        <f t="shared" si="7"/>
        <v>10</v>
      </c>
      <c r="AL36" s="137">
        <v>9</v>
      </c>
      <c r="AM36" s="18">
        <v>9</v>
      </c>
      <c r="AN36" s="39">
        <v>10</v>
      </c>
      <c r="AO36" s="84">
        <f t="shared" si="8"/>
        <v>9.3333333333333339</v>
      </c>
      <c r="AP36" s="137">
        <v>10</v>
      </c>
      <c r="AQ36" s="18">
        <v>10</v>
      </c>
      <c r="AR36" s="39">
        <v>10</v>
      </c>
      <c r="AS36" s="84">
        <f t="shared" si="9"/>
        <v>10</v>
      </c>
      <c r="AT36" s="143">
        <v>10</v>
      </c>
      <c r="AU36" s="18">
        <v>9</v>
      </c>
      <c r="AV36" s="39">
        <v>10</v>
      </c>
      <c r="AW36" s="84">
        <f t="shared" si="10"/>
        <v>9.6666666666666661</v>
      </c>
      <c r="AX36" s="144">
        <v>10</v>
      </c>
      <c r="AY36" s="209">
        <v>9</v>
      </c>
      <c r="AZ36" s="39">
        <v>10</v>
      </c>
      <c r="BA36" s="84">
        <f t="shared" si="11"/>
        <v>9.6666666666666661</v>
      </c>
      <c r="BB36" s="137">
        <v>9</v>
      </c>
      <c r="BC36" s="18">
        <v>10</v>
      </c>
      <c r="BD36" s="39">
        <v>10</v>
      </c>
      <c r="BE36" s="84">
        <f t="shared" si="12"/>
        <v>9.6666666666666661</v>
      </c>
      <c r="BF36" s="149">
        <v>10</v>
      </c>
      <c r="BG36" s="18">
        <v>10</v>
      </c>
      <c r="BH36" s="39">
        <v>10</v>
      </c>
      <c r="BI36" s="84">
        <f t="shared" si="13"/>
        <v>10</v>
      </c>
      <c r="BJ36" s="64">
        <f t="shared" si="14"/>
        <v>9.6547619047619069</v>
      </c>
    </row>
    <row r="37" spans="1:62" x14ac:dyDescent="0.25">
      <c r="A37" s="1" t="s">
        <v>673</v>
      </c>
      <c r="B37" s="5" t="s">
        <v>674</v>
      </c>
      <c r="C37" s="24" t="s">
        <v>15</v>
      </c>
      <c r="D37" s="50">
        <v>2</v>
      </c>
      <c r="E37" s="50" t="s">
        <v>41</v>
      </c>
      <c r="F37" s="163">
        <v>8</v>
      </c>
      <c r="G37" s="18">
        <v>8</v>
      </c>
      <c r="H37" s="14">
        <v>10</v>
      </c>
      <c r="I37" s="84">
        <f t="shared" si="2"/>
        <v>8.6666666666666661</v>
      </c>
      <c r="J37" s="130">
        <v>10</v>
      </c>
      <c r="K37" s="18">
        <v>10</v>
      </c>
      <c r="L37" s="39">
        <v>10</v>
      </c>
      <c r="M37" s="84">
        <f t="shared" si="15"/>
        <v>10</v>
      </c>
      <c r="N37" s="137">
        <v>10</v>
      </c>
      <c r="O37" s="18">
        <v>10</v>
      </c>
      <c r="P37" s="39">
        <v>10</v>
      </c>
      <c r="Q37" s="84">
        <f t="shared" si="16"/>
        <v>10</v>
      </c>
      <c r="R37" s="137">
        <v>10</v>
      </c>
      <c r="S37" s="18">
        <v>9</v>
      </c>
      <c r="T37" s="92">
        <v>10</v>
      </c>
      <c r="U37" s="84">
        <f t="shared" si="3"/>
        <v>9.6666666666666661</v>
      </c>
      <c r="V37" s="137">
        <v>10</v>
      </c>
      <c r="W37" s="18">
        <v>9</v>
      </c>
      <c r="X37" s="39">
        <v>10</v>
      </c>
      <c r="Y37" s="84">
        <f t="shared" si="4"/>
        <v>9.6666666666666661</v>
      </c>
      <c r="Z37" s="137">
        <v>10</v>
      </c>
      <c r="AA37" s="18">
        <v>10</v>
      </c>
      <c r="AB37" s="92">
        <v>10</v>
      </c>
      <c r="AC37" s="84">
        <f t="shared" si="5"/>
        <v>10</v>
      </c>
      <c r="AD37" s="137">
        <v>10</v>
      </c>
      <c r="AE37" s="18">
        <v>10</v>
      </c>
      <c r="AF37" s="39">
        <v>10</v>
      </c>
      <c r="AG37" s="84">
        <f t="shared" si="6"/>
        <v>10</v>
      </c>
      <c r="AH37" s="137">
        <v>10</v>
      </c>
      <c r="AI37" s="18">
        <v>10</v>
      </c>
      <c r="AJ37" s="39">
        <v>10</v>
      </c>
      <c r="AK37" s="84">
        <f t="shared" si="7"/>
        <v>10</v>
      </c>
      <c r="AL37" s="137">
        <v>8</v>
      </c>
      <c r="AM37" s="18">
        <v>9</v>
      </c>
      <c r="AN37" s="39">
        <v>10</v>
      </c>
      <c r="AO37" s="84">
        <f t="shared" si="8"/>
        <v>9</v>
      </c>
      <c r="AP37" s="137">
        <v>10</v>
      </c>
      <c r="AQ37" s="207">
        <v>9</v>
      </c>
      <c r="AR37" s="39">
        <v>10</v>
      </c>
      <c r="AS37" s="84">
        <f t="shared" si="9"/>
        <v>9.6666666666666661</v>
      </c>
      <c r="AT37" s="143">
        <v>10</v>
      </c>
      <c r="AU37" s="18">
        <v>9</v>
      </c>
      <c r="AV37" s="39">
        <v>10</v>
      </c>
      <c r="AW37" s="84">
        <f t="shared" si="10"/>
        <v>9.6666666666666661</v>
      </c>
      <c r="AX37" s="144">
        <v>9</v>
      </c>
      <c r="AY37" s="209">
        <v>9</v>
      </c>
      <c r="AZ37" s="39">
        <v>10</v>
      </c>
      <c r="BA37" s="84">
        <f t="shared" si="11"/>
        <v>9.3333333333333339</v>
      </c>
      <c r="BB37" s="137">
        <v>9</v>
      </c>
      <c r="BC37" s="18">
        <v>10</v>
      </c>
      <c r="BD37" s="39">
        <v>10</v>
      </c>
      <c r="BE37" s="84">
        <f t="shared" si="12"/>
        <v>9.6666666666666661</v>
      </c>
      <c r="BF37" s="149">
        <v>10</v>
      </c>
      <c r="BG37" s="18">
        <v>9</v>
      </c>
      <c r="BH37" s="39">
        <v>10</v>
      </c>
      <c r="BI37" s="84">
        <f t="shared" si="13"/>
        <v>9.6666666666666661</v>
      </c>
      <c r="BJ37" s="64">
        <f t="shared" si="14"/>
        <v>9.6428571428571423</v>
      </c>
    </row>
    <row r="38" spans="1:62" x14ac:dyDescent="0.25">
      <c r="A38" s="1" t="s">
        <v>677</v>
      </c>
      <c r="B38" s="5" t="s">
        <v>678</v>
      </c>
      <c r="C38" s="24" t="s">
        <v>15</v>
      </c>
      <c r="D38" s="50">
        <v>2</v>
      </c>
      <c r="E38" s="50" t="s">
        <v>41</v>
      </c>
      <c r="F38" s="163">
        <v>0</v>
      </c>
      <c r="G38" s="18">
        <v>8</v>
      </c>
      <c r="H38" s="14">
        <v>10</v>
      </c>
      <c r="I38" s="84">
        <f t="shared" si="2"/>
        <v>6</v>
      </c>
      <c r="J38" s="163">
        <v>0</v>
      </c>
      <c r="K38" s="18">
        <v>9</v>
      </c>
      <c r="L38" s="39">
        <v>9</v>
      </c>
      <c r="M38" s="84">
        <f t="shared" si="15"/>
        <v>6</v>
      </c>
      <c r="N38" s="163">
        <v>0</v>
      </c>
      <c r="O38" s="18">
        <v>10</v>
      </c>
      <c r="P38" s="39">
        <v>9</v>
      </c>
      <c r="Q38" s="84">
        <f t="shared" si="16"/>
        <v>6.333333333333333</v>
      </c>
      <c r="R38" s="163">
        <v>0</v>
      </c>
      <c r="S38" s="18">
        <v>7</v>
      </c>
      <c r="T38" s="92">
        <v>8</v>
      </c>
      <c r="U38" s="84">
        <f t="shared" si="3"/>
        <v>5</v>
      </c>
      <c r="V38" s="163">
        <v>0</v>
      </c>
      <c r="W38" s="18">
        <v>8.5</v>
      </c>
      <c r="X38" s="39">
        <v>9</v>
      </c>
      <c r="Y38" s="84">
        <f t="shared" si="4"/>
        <v>5.833333333333333</v>
      </c>
      <c r="Z38" s="163">
        <v>0</v>
      </c>
      <c r="AA38" s="18">
        <v>9</v>
      </c>
      <c r="AB38" s="92">
        <v>10</v>
      </c>
      <c r="AC38" s="84">
        <f t="shared" si="5"/>
        <v>6.333333333333333</v>
      </c>
      <c r="AD38" s="18">
        <v>0</v>
      </c>
      <c r="AE38" s="18">
        <v>10</v>
      </c>
      <c r="AF38" s="39">
        <v>10</v>
      </c>
      <c r="AG38" s="84">
        <f t="shared" si="6"/>
        <v>6.666666666666667</v>
      </c>
      <c r="AH38" s="18">
        <v>0</v>
      </c>
      <c r="AI38" s="18">
        <v>8</v>
      </c>
      <c r="AJ38" s="39">
        <v>8</v>
      </c>
      <c r="AK38" s="84">
        <f t="shared" si="7"/>
        <v>5.333333333333333</v>
      </c>
      <c r="AL38" s="18">
        <v>0</v>
      </c>
      <c r="AM38" s="18">
        <v>8</v>
      </c>
      <c r="AN38" s="39">
        <v>10</v>
      </c>
      <c r="AO38" s="84">
        <f t="shared" si="8"/>
        <v>6</v>
      </c>
      <c r="AP38" s="18">
        <v>0</v>
      </c>
      <c r="AQ38" s="18">
        <v>8</v>
      </c>
      <c r="AR38" s="39">
        <v>10</v>
      </c>
      <c r="AS38" s="84">
        <f t="shared" si="9"/>
        <v>6</v>
      </c>
      <c r="AT38" s="18">
        <v>0</v>
      </c>
      <c r="AU38" s="18">
        <v>10</v>
      </c>
      <c r="AV38" s="39">
        <v>10</v>
      </c>
      <c r="AW38" s="84">
        <f t="shared" si="10"/>
        <v>6.666666666666667</v>
      </c>
      <c r="AX38" s="18">
        <v>0</v>
      </c>
      <c r="AY38" s="209">
        <v>9</v>
      </c>
      <c r="AZ38" s="39">
        <v>10</v>
      </c>
      <c r="BA38" s="84">
        <f t="shared" si="11"/>
        <v>6.333333333333333</v>
      </c>
      <c r="BB38" s="18">
        <v>0</v>
      </c>
      <c r="BC38" s="214">
        <v>8</v>
      </c>
      <c r="BD38" s="39">
        <v>10</v>
      </c>
      <c r="BE38" s="84">
        <f t="shared" si="12"/>
        <v>6</v>
      </c>
      <c r="BF38" s="18">
        <v>0</v>
      </c>
      <c r="BG38" s="18">
        <v>10</v>
      </c>
      <c r="BH38" s="39">
        <v>10</v>
      </c>
      <c r="BI38" s="84">
        <f t="shared" si="13"/>
        <v>6.666666666666667</v>
      </c>
      <c r="BJ38" s="64">
        <f t="shared" si="14"/>
        <v>6.0833333333333339</v>
      </c>
    </row>
    <row r="39" spans="1:62" x14ac:dyDescent="0.25">
      <c r="A39" s="1" t="s">
        <v>633</v>
      </c>
      <c r="B39" s="5" t="s">
        <v>634</v>
      </c>
      <c r="C39" s="24" t="s">
        <v>15</v>
      </c>
      <c r="D39" s="50">
        <v>2</v>
      </c>
      <c r="E39" s="50" t="s">
        <v>41</v>
      </c>
      <c r="F39" s="163">
        <v>9</v>
      </c>
      <c r="G39" s="18">
        <v>10</v>
      </c>
      <c r="H39" s="14">
        <v>10</v>
      </c>
      <c r="I39" s="84">
        <f t="shared" si="2"/>
        <v>9.6666666666666661</v>
      </c>
      <c r="J39" s="130">
        <v>10</v>
      </c>
      <c r="K39" s="18">
        <v>10</v>
      </c>
      <c r="L39" s="39">
        <v>10</v>
      </c>
      <c r="M39" s="84">
        <f t="shared" si="15"/>
        <v>10</v>
      </c>
      <c r="N39" s="137">
        <v>10</v>
      </c>
      <c r="O39" s="18">
        <v>10</v>
      </c>
      <c r="P39" s="39">
        <v>10</v>
      </c>
      <c r="Q39" s="84">
        <f t="shared" si="16"/>
        <v>10</v>
      </c>
      <c r="R39" s="137">
        <v>10</v>
      </c>
      <c r="S39" s="18">
        <v>10</v>
      </c>
      <c r="T39" s="92">
        <v>10</v>
      </c>
      <c r="U39" s="84">
        <f t="shared" si="3"/>
        <v>10</v>
      </c>
      <c r="V39" s="137">
        <v>10</v>
      </c>
      <c r="W39" s="18">
        <v>9.5</v>
      </c>
      <c r="X39" s="39">
        <v>10</v>
      </c>
      <c r="Y39" s="84">
        <f t="shared" si="4"/>
        <v>9.8333333333333339</v>
      </c>
      <c r="Z39" s="137">
        <v>10</v>
      </c>
      <c r="AA39" s="18">
        <v>9.5</v>
      </c>
      <c r="AB39" s="92">
        <v>10</v>
      </c>
      <c r="AC39" s="84">
        <f t="shared" si="5"/>
        <v>9.8333333333333339</v>
      </c>
      <c r="AD39" s="137">
        <v>10</v>
      </c>
      <c r="AE39" s="18">
        <v>10</v>
      </c>
      <c r="AF39" s="39">
        <v>10</v>
      </c>
      <c r="AG39" s="84">
        <f t="shared" si="6"/>
        <v>10</v>
      </c>
      <c r="AH39" s="137">
        <v>10</v>
      </c>
      <c r="AI39" s="18">
        <v>10</v>
      </c>
      <c r="AJ39" s="39">
        <v>10</v>
      </c>
      <c r="AK39" s="84">
        <f t="shared" si="7"/>
        <v>10</v>
      </c>
      <c r="AL39" s="137">
        <v>9</v>
      </c>
      <c r="AM39" s="18">
        <v>9</v>
      </c>
      <c r="AN39" s="39">
        <v>10</v>
      </c>
      <c r="AO39" s="84">
        <f t="shared" si="8"/>
        <v>9.3333333333333339</v>
      </c>
      <c r="AP39" s="133">
        <v>9</v>
      </c>
      <c r="AQ39" s="207">
        <v>9</v>
      </c>
      <c r="AR39" s="39">
        <v>10</v>
      </c>
      <c r="AS39" s="84">
        <f t="shared" si="9"/>
        <v>9.3333333333333339</v>
      </c>
      <c r="AT39" s="143">
        <v>10</v>
      </c>
      <c r="AU39" s="18">
        <v>9</v>
      </c>
      <c r="AV39" s="39">
        <v>10</v>
      </c>
      <c r="AW39" s="84">
        <f t="shared" si="10"/>
        <v>9.6666666666666661</v>
      </c>
      <c r="AX39" s="144">
        <v>10</v>
      </c>
      <c r="AY39" s="209">
        <v>9</v>
      </c>
      <c r="AZ39" s="39">
        <v>10</v>
      </c>
      <c r="BA39" s="84">
        <f t="shared" si="11"/>
        <v>9.6666666666666661</v>
      </c>
      <c r="BB39" s="137">
        <v>10</v>
      </c>
      <c r="BC39" s="214">
        <v>10</v>
      </c>
      <c r="BD39" s="39">
        <v>10</v>
      </c>
      <c r="BE39" s="84">
        <f t="shared" si="12"/>
        <v>10</v>
      </c>
      <c r="BF39" s="149">
        <v>10</v>
      </c>
      <c r="BG39" s="18">
        <v>10</v>
      </c>
      <c r="BH39" s="39">
        <v>10</v>
      </c>
      <c r="BI39" s="84">
        <f t="shared" si="13"/>
        <v>10</v>
      </c>
      <c r="BJ39" s="64">
        <f t="shared" si="14"/>
        <v>9.8095238095238102</v>
      </c>
    </row>
    <row r="40" spans="1:62" x14ac:dyDescent="0.25">
      <c r="A40" s="1" t="s">
        <v>655</v>
      </c>
      <c r="B40" s="5" t="s">
        <v>656</v>
      </c>
      <c r="C40" s="24" t="s">
        <v>15</v>
      </c>
      <c r="D40" s="50">
        <v>2</v>
      </c>
      <c r="E40" s="50" t="s">
        <v>41</v>
      </c>
      <c r="F40" s="163">
        <v>10</v>
      </c>
      <c r="G40" s="18">
        <v>10</v>
      </c>
      <c r="H40" s="14">
        <v>10</v>
      </c>
      <c r="I40" s="84">
        <f t="shared" si="2"/>
        <v>10</v>
      </c>
      <c r="J40" s="130">
        <v>10</v>
      </c>
      <c r="K40" s="18">
        <v>10</v>
      </c>
      <c r="L40" s="39">
        <v>9</v>
      </c>
      <c r="M40" s="84">
        <f t="shared" si="15"/>
        <v>9.6666666666666661</v>
      </c>
      <c r="N40" s="137">
        <v>10</v>
      </c>
      <c r="O40" s="18">
        <v>10</v>
      </c>
      <c r="P40" s="39">
        <v>9</v>
      </c>
      <c r="Q40" s="84">
        <f t="shared" si="16"/>
        <v>9.6666666666666661</v>
      </c>
      <c r="R40" s="137">
        <v>10</v>
      </c>
      <c r="S40" s="18">
        <v>9</v>
      </c>
      <c r="T40" s="92">
        <v>10</v>
      </c>
      <c r="U40" s="84">
        <f t="shared" si="3"/>
        <v>9.6666666666666661</v>
      </c>
      <c r="V40" s="137">
        <v>10</v>
      </c>
      <c r="W40" s="18">
        <v>9.6999999999999993</v>
      </c>
      <c r="X40" s="39">
        <v>10</v>
      </c>
      <c r="Y40" s="84">
        <f t="shared" si="4"/>
        <v>9.9</v>
      </c>
      <c r="Z40" s="137">
        <v>10</v>
      </c>
      <c r="AA40" s="18">
        <v>10</v>
      </c>
      <c r="AB40" s="92">
        <v>9.1</v>
      </c>
      <c r="AC40" s="84">
        <f t="shared" si="5"/>
        <v>9.7000000000000011</v>
      </c>
      <c r="AD40" s="137">
        <v>10</v>
      </c>
      <c r="AE40" s="18">
        <v>10</v>
      </c>
      <c r="AF40" s="39">
        <v>10</v>
      </c>
      <c r="AG40" s="84">
        <f t="shared" si="6"/>
        <v>10</v>
      </c>
      <c r="AH40" s="137">
        <v>10</v>
      </c>
      <c r="AI40" s="18">
        <v>9</v>
      </c>
      <c r="AJ40" s="39">
        <v>10</v>
      </c>
      <c r="AK40" s="84">
        <f t="shared" si="7"/>
        <v>9.6666666666666661</v>
      </c>
      <c r="AL40" s="137">
        <v>9</v>
      </c>
      <c r="AM40" s="18">
        <v>9</v>
      </c>
      <c r="AN40" s="39">
        <v>10</v>
      </c>
      <c r="AO40" s="84">
        <f t="shared" si="8"/>
        <v>9.3333333333333339</v>
      </c>
      <c r="AP40" s="137">
        <v>10</v>
      </c>
      <c r="AQ40" s="207">
        <v>9</v>
      </c>
      <c r="AR40" s="39">
        <v>10</v>
      </c>
      <c r="AS40" s="84">
        <f t="shared" si="9"/>
        <v>9.6666666666666661</v>
      </c>
      <c r="AT40" s="143">
        <v>10</v>
      </c>
      <c r="AU40" s="18">
        <v>10</v>
      </c>
      <c r="AV40" s="39">
        <v>10</v>
      </c>
      <c r="AW40" s="84">
        <f t="shared" si="10"/>
        <v>10</v>
      </c>
      <c r="AX40" s="144">
        <v>10</v>
      </c>
      <c r="AY40" s="209">
        <v>9</v>
      </c>
      <c r="AZ40" s="39">
        <v>10</v>
      </c>
      <c r="BA40" s="84">
        <f t="shared" si="11"/>
        <v>9.6666666666666661</v>
      </c>
      <c r="BB40" s="162">
        <v>10</v>
      </c>
      <c r="BC40" s="18">
        <v>10</v>
      </c>
      <c r="BD40" s="39">
        <v>10</v>
      </c>
      <c r="BE40" s="84">
        <f t="shared" si="12"/>
        <v>10</v>
      </c>
      <c r="BF40" s="149">
        <v>10</v>
      </c>
      <c r="BG40" s="18">
        <v>9</v>
      </c>
      <c r="BH40" s="39">
        <v>10</v>
      </c>
      <c r="BI40" s="84">
        <f t="shared" si="13"/>
        <v>9.6666666666666661</v>
      </c>
      <c r="BJ40" s="64">
        <f t="shared" si="14"/>
        <v>9.7571428571428562</v>
      </c>
    </row>
    <row r="41" spans="1:62" x14ac:dyDescent="0.25">
      <c r="A41" t="s">
        <v>647</v>
      </c>
      <c r="B41" s="5" t="s">
        <v>648</v>
      </c>
      <c r="C41" s="24" t="s">
        <v>15</v>
      </c>
      <c r="D41" s="50">
        <v>2</v>
      </c>
      <c r="E41" s="50" t="s">
        <v>41</v>
      </c>
      <c r="F41" s="164">
        <v>8</v>
      </c>
      <c r="G41" s="18">
        <v>8</v>
      </c>
      <c r="H41" s="14">
        <v>10</v>
      </c>
      <c r="I41" s="84">
        <f t="shared" si="2"/>
        <v>8.6666666666666661</v>
      </c>
      <c r="J41" s="130">
        <v>10</v>
      </c>
      <c r="K41" s="18">
        <v>10</v>
      </c>
      <c r="L41" s="39">
        <v>10</v>
      </c>
      <c r="M41" s="84">
        <f t="shared" si="15"/>
        <v>10</v>
      </c>
      <c r="N41" s="137">
        <v>10</v>
      </c>
      <c r="O41" s="18">
        <v>9</v>
      </c>
      <c r="P41" s="39">
        <v>9.5</v>
      </c>
      <c r="Q41" s="84">
        <f t="shared" si="16"/>
        <v>9.5</v>
      </c>
      <c r="R41" s="137">
        <v>10</v>
      </c>
      <c r="S41" s="18">
        <v>7</v>
      </c>
      <c r="T41" s="119">
        <v>5.7</v>
      </c>
      <c r="U41" s="84">
        <f t="shared" si="3"/>
        <v>7.5666666666666664</v>
      </c>
      <c r="V41" s="137">
        <v>8</v>
      </c>
      <c r="W41" s="18">
        <v>9.1999999999999993</v>
      </c>
      <c r="X41" s="39">
        <v>9</v>
      </c>
      <c r="Y41" s="84">
        <f t="shared" si="4"/>
        <v>8.7333333333333325</v>
      </c>
      <c r="Z41" s="137">
        <v>8</v>
      </c>
      <c r="AA41" s="18">
        <v>8</v>
      </c>
      <c r="AB41" s="92">
        <v>9.8000000000000007</v>
      </c>
      <c r="AC41" s="84">
        <f t="shared" si="5"/>
        <v>8.6</v>
      </c>
      <c r="AD41" s="137">
        <v>9</v>
      </c>
      <c r="AE41" s="18">
        <v>10</v>
      </c>
      <c r="AF41" s="39">
        <v>10</v>
      </c>
      <c r="AG41" s="84">
        <f t="shared" si="6"/>
        <v>9.6666666666666661</v>
      </c>
      <c r="AH41" s="137">
        <v>10</v>
      </c>
      <c r="AI41" s="18">
        <v>8</v>
      </c>
      <c r="AJ41" s="39">
        <v>10</v>
      </c>
      <c r="AK41" s="84">
        <f t="shared" si="7"/>
        <v>9.3333333333333339</v>
      </c>
      <c r="AL41" s="137">
        <v>9</v>
      </c>
      <c r="AM41" s="18">
        <v>9</v>
      </c>
      <c r="AN41" s="39">
        <v>10</v>
      </c>
      <c r="AO41" s="84">
        <f t="shared" si="8"/>
        <v>9.3333333333333339</v>
      </c>
      <c r="AP41" s="141">
        <v>8</v>
      </c>
      <c r="AQ41" s="207">
        <v>8</v>
      </c>
      <c r="AR41" s="39">
        <v>9</v>
      </c>
      <c r="AS41" s="84">
        <f t="shared" si="9"/>
        <v>8.3333333333333339</v>
      </c>
      <c r="AT41" s="143">
        <v>10</v>
      </c>
      <c r="AU41" s="18">
        <v>9</v>
      </c>
      <c r="AV41" s="39">
        <v>10</v>
      </c>
      <c r="AW41" s="84">
        <f t="shared" si="10"/>
        <v>9.6666666666666661</v>
      </c>
      <c r="AX41" s="144">
        <v>9</v>
      </c>
      <c r="AY41" s="209">
        <v>9</v>
      </c>
      <c r="AZ41" s="39">
        <v>10</v>
      </c>
      <c r="BA41" s="84">
        <f t="shared" si="11"/>
        <v>9.3333333333333339</v>
      </c>
      <c r="BB41" s="162">
        <v>10</v>
      </c>
      <c r="BC41" s="18">
        <v>10</v>
      </c>
      <c r="BD41" s="39">
        <v>10</v>
      </c>
      <c r="BE41" s="84">
        <f t="shared" si="12"/>
        <v>10</v>
      </c>
      <c r="BF41" s="149">
        <v>10</v>
      </c>
      <c r="BG41" s="18">
        <v>9</v>
      </c>
      <c r="BH41" s="39">
        <v>10</v>
      </c>
      <c r="BI41" s="84">
        <f t="shared" si="13"/>
        <v>9.6666666666666661</v>
      </c>
      <c r="BJ41" s="64">
        <f t="shared" si="14"/>
        <v>9.171428571428569</v>
      </c>
    </row>
    <row r="42" spans="1:62" x14ac:dyDescent="0.25">
      <c r="A42" s="1" t="s">
        <v>659</v>
      </c>
      <c r="B42" s="5" t="s">
        <v>660</v>
      </c>
      <c r="C42" s="24" t="s">
        <v>15</v>
      </c>
      <c r="D42" s="50">
        <v>2</v>
      </c>
      <c r="E42" s="50" t="s">
        <v>41</v>
      </c>
      <c r="F42" s="164">
        <v>9</v>
      </c>
      <c r="G42" s="18">
        <v>10</v>
      </c>
      <c r="H42" s="14">
        <v>10</v>
      </c>
      <c r="I42" s="84">
        <f t="shared" si="2"/>
        <v>9.6666666666666661</v>
      </c>
      <c r="J42" s="130">
        <v>10</v>
      </c>
      <c r="K42" s="18">
        <v>10</v>
      </c>
      <c r="L42" s="39">
        <v>10</v>
      </c>
      <c r="M42" s="84">
        <f t="shared" si="15"/>
        <v>10</v>
      </c>
      <c r="N42" s="158">
        <v>10</v>
      </c>
      <c r="O42" s="18">
        <v>9</v>
      </c>
      <c r="P42" s="39" t="s">
        <v>892</v>
      </c>
      <c r="Q42" s="84">
        <f t="shared" si="16"/>
        <v>9.5</v>
      </c>
      <c r="R42" s="158">
        <v>10</v>
      </c>
      <c r="S42" s="18">
        <v>8</v>
      </c>
      <c r="T42" s="92">
        <v>9</v>
      </c>
      <c r="U42" s="84">
        <f t="shared" si="3"/>
        <v>9</v>
      </c>
      <c r="V42" s="149">
        <v>8</v>
      </c>
      <c r="W42" s="18">
        <v>9</v>
      </c>
      <c r="X42" s="39">
        <v>9</v>
      </c>
      <c r="Y42" s="84">
        <f t="shared" si="4"/>
        <v>8.6666666666666661</v>
      </c>
      <c r="Z42" s="149">
        <v>8</v>
      </c>
      <c r="AA42" s="18">
        <v>9.8000000000000007</v>
      </c>
      <c r="AB42" s="92">
        <v>8</v>
      </c>
      <c r="AC42" s="84">
        <f t="shared" si="5"/>
        <v>8.6</v>
      </c>
      <c r="AD42" s="158">
        <v>10</v>
      </c>
      <c r="AE42" s="18">
        <v>8</v>
      </c>
      <c r="AF42" s="39">
        <v>10</v>
      </c>
      <c r="AG42" s="84">
        <f t="shared" si="6"/>
        <v>9.3333333333333339</v>
      </c>
      <c r="AH42" s="137">
        <v>10</v>
      </c>
      <c r="AI42" s="18">
        <v>9</v>
      </c>
      <c r="AJ42" s="39">
        <v>10</v>
      </c>
      <c r="AK42" s="84">
        <f t="shared" si="7"/>
        <v>9.6666666666666661</v>
      </c>
      <c r="AL42" s="137">
        <v>8</v>
      </c>
      <c r="AM42" s="18">
        <v>8</v>
      </c>
      <c r="AN42" s="39">
        <v>10</v>
      </c>
      <c r="AO42" s="84">
        <f t="shared" si="8"/>
        <v>8.6666666666666661</v>
      </c>
      <c r="AP42" s="168">
        <v>8</v>
      </c>
      <c r="AQ42" s="18">
        <v>9</v>
      </c>
      <c r="AR42" s="39">
        <v>9</v>
      </c>
      <c r="AS42" s="84">
        <f t="shared" si="9"/>
        <v>8.6666666666666661</v>
      </c>
      <c r="AT42" s="143">
        <v>10</v>
      </c>
      <c r="AU42" s="18">
        <v>9</v>
      </c>
      <c r="AV42" s="39">
        <v>10</v>
      </c>
      <c r="AW42" s="84">
        <f t="shared" si="10"/>
        <v>9.6666666666666661</v>
      </c>
      <c r="AX42" s="144">
        <v>10</v>
      </c>
      <c r="AY42" s="18">
        <v>9</v>
      </c>
      <c r="AZ42" s="39">
        <v>10</v>
      </c>
      <c r="BA42" s="84">
        <f t="shared" si="11"/>
        <v>9.6666666666666661</v>
      </c>
      <c r="BB42" s="137">
        <v>8</v>
      </c>
      <c r="BC42" s="18">
        <v>10</v>
      </c>
      <c r="BD42" s="39">
        <v>10</v>
      </c>
      <c r="BE42" s="84">
        <f t="shared" si="12"/>
        <v>9.3333333333333339</v>
      </c>
      <c r="BF42" s="149">
        <v>10</v>
      </c>
      <c r="BG42" s="18">
        <v>9</v>
      </c>
      <c r="BH42" s="39">
        <v>10</v>
      </c>
      <c r="BI42" s="84">
        <f t="shared" si="13"/>
        <v>9.6666666666666661</v>
      </c>
      <c r="BJ42" s="64">
        <f t="shared" si="14"/>
        <v>9.2928571428571445</v>
      </c>
    </row>
    <row r="43" spans="1:62" x14ac:dyDescent="0.25">
      <c r="A43" s="1" t="s">
        <v>675</v>
      </c>
      <c r="B43" s="5" t="s">
        <v>676</v>
      </c>
      <c r="C43" s="24" t="s">
        <v>15</v>
      </c>
      <c r="D43" s="50">
        <v>2</v>
      </c>
      <c r="E43" s="50" t="s">
        <v>41</v>
      </c>
      <c r="F43" s="32">
        <v>0</v>
      </c>
      <c r="G43" s="221">
        <v>0</v>
      </c>
      <c r="H43" s="14">
        <v>10</v>
      </c>
      <c r="I43" s="84">
        <f t="shared" si="2"/>
        <v>3.3333333333333335</v>
      </c>
      <c r="J43" s="32">
        <v>0</v>
      </c>
      <c r="K43" s="222">
        <v>0</v>
      </c>
      <c r="L43" s="123">
        <v>8</v>
      </c>
      <c r="M43" s="84">
        <f t="shared" si="15"/>
        <v>2.6666666666666665</v>
      </c>
      <c r="N43" s="32">
        <v>0</v>
      </c>
      <c r="O43" s="221">
        <v>0</v>
      </c>
      <c r="P43" s="39">
        <v>9.5</v>
      </c>
      <c r="Q43" s="84">
        <f t="shared" si="16"/>
        <v>3.1666666666666665</v>
      </c>
      <c r="R43" s="32">
        <v>0</v>
      </c>
      <c r="S43" s="221">
        <v>0</v>
      </c>
      <c r="T43" s="92">
        <v>8</v>
      </c>
      <c r="U43" s="84">
        <f t="shared" si="3"/>
        <v>2.6666666666666665</v>
      </c>
      <c r="V43" s="32">
        <v>0</v>
      </c>
      <c r="W43" s="221">
        <v>0</v>
      </c>
      <c r="X43" s="39">
        <v>10</v>
      </c>
      <c r="Y43" s="84">
        <f t="shared" si="4"/>
        <v>3.3333333333333335</v>
      </c>
      <c r="Z43" s="32">
        <v>0</v>
      </c>
      <c r="AA43" s="221">
        <v>0</v>
      </c>
      <c r="AB43" s="92">
        <v>8</v>
      </c>
      <c r="AC43" s="84">
        <f t="shared" si="5"/>
        <v>2.6666666666666665</v>
      </c>
      <c r="AD43" s="32">
        <v>0</v>
      </c>
      <c r="AE43" s="221">
        <v>0</v>
      </c>
      <c r="AF43" s="39">
        <v>10</v>
      </c>
      <c r="AG43" s="84">
        <f t="shared" si="6"/>
        <v>3.3333333333333335</v>
      </c>
      <c r="AH43" s="32">
        <v>0</v>
      </c>
      <c r="AI43" s="221">
        <v>0</v>
      </c>
      <c r="AJ43" s="39">
        <v>10</v>
      </c>
      <c r="AK43" s="84">
        <f t="shared" si="7"/>
        <v>3.3333333333333335</v>
      </c>
      <c r="AL43" s="32">
        <v>0</v>
      </c>
      <c r="AM43" s="221">
        <v>0</v>
      </c>
      <c r="AN43" s="39">
        <v>10</v>
      </c>
      <c r="AO43" s="84">
        <f t="shared" si="8"/>
        <v>3.3333333333333335</v>
      </c>
      <c r="AP43" s="32">
        <v>0</v>
      </c>
      <c r="AQ43" s="32">
        <v>0</v>
      </c>
      <c r="AR43" s="39">
        <v>10</v>
      </c>
      <c r="AS43" s="84">
        <f t="shared" si="9"/>
        <v>3.3333333333333335</v>
      </c>
      <c r="AT43" s="32">
        <v>0</v>
      </c>
      <c r="AU43" s="32">
        <v>0</v>
      </c>
      <c r="AV43" s="39">
        <v>10</v>
      </c>
      <c r="AW43" s="84">
        <f t="shared" si="10"/>
        <v>3.3333333333333335</v>
      </c>
      <c r="AX43" s="32">
        <v>0</v>
      </c>
      <c r="AY43" s="223">
        <v>0</v>
      </c>
      <c r="AZ43" s="39">
        <v>10</v>
      </c>
      <c r="BA43" s="84">
        <f t="shared" si="11"/>
        <v>3.3333333333333335</v>
      </c>
      <c r="BB43" s="32">
        <v>0</v>
      </c>
      <c r="BC43" s="32">
        <v>0</v>
      </c>
      <c r="BD43" s="39">
        <v>10</v>
      </c>
      <c r="BE43" s="84">
        <f t="shared" si="12"/>
        <v>3.3333333333333335</v>
      </c>
      <c r="BF43" s="32">
        <v>0</v>
      </c>
      <c r="BG43" s="221">
        <v>0</v>
      </c>
      <c r="BH43" s="39">
        <v>10</v>
      </c>
      <c r="BI43" s="84">
        <f t="shared" si="13"/>
        <v>3.3333333333333335</v>
      </c>
      <c r="BJ43" s="64">
        <f t="shared" si="14"/>
        <v>3.1785714285714284</v>
      </c>
    </row>
    <row r="44" spans="1:62" x14ac:dyDescent="0.25">
      <c r="A44" s="224" t="s">
        <v>679</v>
      </c>
      <c r="B44" s="225" t="s">
        <v>680</v>
      </c>
      <c r="C44" s="24" t="s">
        <v>15</v>
      </c>
      <c r="D44" s="50">
        <v>2</v>
      </c>
      <c r="E44" s="50" t="s">
        <v>41</v>
      </c>
      <c r="F44" s="32">
        <v>0</v>
      </c>
      <c r="G44" s="208" t="s">
        <v>895</v>
      </c>
      <c r="H44" s="14">
        <v>10</v>
      </c>
      <c r="I44" s="84">
        <f t="shared" si="2"/>
        <v>5</v>
      </c>
      <c r="J44" s="32">
        <v>0</v>
      </c>
      <c r="K44" s="18">
        <v>8</v>
      </c>
      <c r="L44" s="123">
        <v>10</v>
      </c>
      <c r="M44" s="84">
        <f t="shared" si="15"/>
        <v>6</v>
      </c>
      <c r="N44" s="32">
        <v>0</v>
      </c>
      <c r="O44" s="18">
        <v>9</v>
      </c>
      <c r="P44" s="39">
        <v>9.5</v>
      </c>
      <c r="Q44" s="84">
        <f t="shared" si="16"/>
        <v>6.166666666666667</v>
      </c>
      <c r="R44" s="32">
        <v>0</v>
      </c>
      <c r="S44" s="18">
        <v>8</v>
      </c>
      <c r="T44" s="92">
        <v>10</v>
      </c>
      <c r="U44" s="84">
        <f t="shared" si="3"/>
        <v>6</v>
      </c>
      <c r="V44" s="32">
        <v>0</v>
      </c>
      <c r="W44" s="18">
        <v>9</v>
      </c>
      <c r="X44" s="39">
        <v>10</v>
      </c>
      <c r="Y44" s="84">
        <f t="shared" si="4"/>
        <v>6.333333333333333</v>
      </c>
      <c r="Z44" s="32">
        <v>0</v>
      </c>
      <c r="AA44" s="18">
        <v>10</v>
      </c>
      <c r="AB44" s="92">
        <v>10</v>
      </c>
      <c r="AC44" s="84">
        <f t="shared" si="5"/>
        <v>6.666666666666667</v>
      </c>
      <c r="AD44" s="32">
        <v>0</v>
      </c>
      <c r="AE44" s="18">
        <v>9</v>
      </c>
      <c r="AF44" s="39">
        <v>10</v>
      </c>
      <c r="AG44" s="84">
        <f t="shared" si="6"/>
        <v>6.333333333333333</v>
      </c>
      <c r="AH44" s="32">
        <v>0</v>
      </c>
      <c r="AI44" s="18">
        <v>9</v>
      </c>
      <c r="AJ44" s="39">
        <v>10</v>
      </c>
      <c r="AK44" s="84">
        <f t="shared" si="7"/>
        <v>6.333333333333333</v>
      </c>
      <c r="AL44" s="32">
        <v>0</v>
      </c>
      <c r="AM44" s="18">
        <v>8</v>
      </c>
      <c r="AN44" s="39">
        <v>10</v>
      </c>
      <c r="AO44" s="84">
        <f t="shared" si="8"/>
        <v>6</v>
      </c>
      <c r="AP44" s="32">
        <v>0</v>
      </c>
      <c r="AQ44" s="18">
        <v>8</v>
      </c>
      <c r="AR44" s="39">
        <v>10</v>
      </c>
      <c r="AS44" s="84">
        <f t="shared" si="9"/>
        <v>6</v>
      </c>
      <c r="AT44" s="32">
        <v>0</v>
      </c>
      <c r="AU44" s="18">
        <v>10</v>
      </c>
      <c r="AV44" s="39">
        <v>10</v>
      </c>
      <c r="AW44" s="84">
        <f t="shared" si="10"/>
        <v>6.666666666666667</v>
      </c>
      <c r="AX44" s="32">
        <v>0</v>
      </c>
      <c r="AY44" s="18">
        <v>9</v>
      </c>
      <c r="AZ44" s="39">
        <v>10</v>
      </c>
      <c r="BA44" s="84">
        <f t="shared" si="11"/>
        <v>6.333333333333333</v>
      </c>
      <c r="BB44" s="32">
        <v>0</v>
      </c>
      <c r="BC44" s="18">
        <v>8</v>
      </c>
      <c r="BD44" s="39">
        <v>10</v>
      </c>
      <c r="BE44" s="84">
        <f t="shared" si="12"/>
        <v>6</v>
      </c>
      <c r="BF44" s="32">
        <v>0</v>
      </c>
      <c r="BG44" s="18">
        <v>9</v>
      </c>
      <c r="BH44" s="39">
        <v>10</v>
      </c>
      <c r="BI44" s="84">
        <f t="shared" si="13"/>
        <v>6.333333333333333</v>
      </c>
      <c r="BJ44" s="64">
        <f t="shared" si="14"/>
        <v>6.1547619047619042</v>
      </c>
    </row>
  </sheetData>
  <mergeCells count="14">
    <mergeCell ref="AX1:BA1"/>
    <mergeCell ref="BB1:BE1"/>
    <mergeCell ref="BF1:BI1"/>
    <mergeCell ref="N1:Q1"/>
    <mergeCell ref="R1:U1"/>
    <mergeCell ref="V1:Y1"/>
    <mergeCell ref="Z1:AC1"/>
    <mergeCell ref="AD1:AG1"/>
    <mergeCell ref="AH1:AK1"/>
    <mergeCell ref="F1:I1"/>
    <mergeCell ref="J1:M1"/>
    <mergeCell ref="AL1:AO1"/>
    <mergeCell ref="AP1:AS1"/>
    <mergeCell ref="AT1:AW1"/>
  </mergeCells>
  <conditionalFormatting sqref="F3:F19">
    <cfRule type="cellIs" dxfId="1781" priority="361" operator="lessThan">
      <formula>7.4</formula>
    </cfRule>
  </conditionalFormatting>
  <conditionalFormatting sqref="F23:F38">
    <cfRule type="cellIs" dxfId="1780" priority="314" operator="lessThan">
      <formula>7.9</formula>
    </cfRule>
    <cfRule type="cellIs" dxfId="1779" priority="315" operator="lessThan">
      <formula>7.4</formula>
    </cfRule>
  </conditionalFormatting>
  <conditionalFormatting sqref="F39:F42">
    <cfRule type="cellIs" dxfId="1778" priority="316" operator="lessThan">
      <formula>7.9</formula>
    </cfRule>
    <cfRule type="cellIs" dxfId="1777" priority="317" operator="lessThan">
      <formula>7.4</formula>
    </cfRule>
  </conditionalFormatting>
  <conditionalFormatting sqref="F22:G22 F43:F44 F3:F21">
    <cfRule type="cellIs" dxfId="1776" priority="360" operator="lessThan">
      <formula>7.9</formula>
    </cfRule>
  </conditionalFormatting>
  <conditionalFormatting sqref="F22:G22 F43:F44 F20:F21">
    <cfRule type="cellIs" dxfId="1775" priority="404" operator="lessThan">
      <formula>6.9</formula>
    </cfRule>
    <cfRule type="cellIs" dxfId="1774" priority="405" operator="lessThan">
      <formula>7.4</formula>
    </cfRule>
    <cfRule type="cellIs" dxfId="1773" priority="406" operator="lessThan">
      <formula>7.9</formula>
    </cfRule>
  </conditionalFormatting>
  <conditionalFormatting sqref="H3:H44">
    <cfRule type="cellIs" dxfId="1772" priority="362" operator="lessThan">
      <formula>7.9</formula>
    </cfRule>
    <cfRule type="cellIs" dxfId="1771" priority="363" operator="lessThan">
      <formula>7.4</formula>
    </cfRule>
  </conditionalFormatting>
  <conditionalFormatting sqref="I3:I19 I22:K22 I23:I42 I43:J44 I20:J21">
    <cfRule type="cellIs" dxfId="1770" priority="420" operator="lessThan">
      <formula>6.9</formula>
    </cfRule>
  </conditionalFormatting>
  <conditionalFormatting sqref="I3:I19 I22:K22 I23:I42 I43:J44 I20:J21">
    <cfRule type="cellIs" dxfId="1769" priority="411" operator="lessThan">
      <formula>7.9</formula>
    </cfRule>
    <cfRule type="cellIs" dxfId="1768" priority="422" operator="lessThan">
      <formula>7.4</formula>
    </cfRule>
    <cfRule type="cellIs" dxfId="1767" priority="423" operator="lessThan">
      <formula>7.9</formula>
    </cfRule>
  </conditionalFormatting>
  <conditionalFormatting sqref="I3:I44">
    <cfRule type="cellIs" dxfId="1766" priority="412" operator="lessThan">
      <formula>6.9</formula>
    </cfRule>
    <cfRule type="cellIs" dxfId="1765" priority="413" operator="lessThan">
      <formula>7.4</formula>
    </cfRule>
    <cfRule type="cellIs" dxfId="1764" priority="414" operator="lessThan">
      <formula>7.9</formula>
    </cfRule>
    <cfRule type="cellIs" dxfId="1763" priority="415" operator="lessThan">
      <formula>6.9</formula>
    </cfRule>
    <cfRule type="cellIs" dxfId="1762" priority="416" operator="lessThan">
      <formula>7.9</formula>
    </cfRule>
    <cfRule type="cellIs" dxfId="1761" priority="417" operator="lessThan">
      <formula>7.4</formula>
    </cfRule>
    <cfRule type="cellIs" dxfId="1760" priority="418" operator="lessThan">
      <formula>6.9</formula>
    </cfRule>
    <cfRule type="cellIs" dxfId="1759" priority="419" operator="lessThan">
      <formula>7.9</formula>
    </cfRule>
  </conditionalFormatting>
  <conditionalFormatting sqref="J3:J19">
    <cfRule type="cellIs" dxfId="1758" priority="358" stopIfTrue="1" operator="lessThan">
      <formula>7.9</formula>
    </cfRule>
    <cfRule type="cellIs" dxfId="1757" priority="359" stopIfTrue="1" operator="lessThan">
      <formula>7.4</formula>
    </cfRule>
  </conditionalFormatting>
  <conditionalFormatting sqref="J23:J37 J39:J42">
    <cfRule type="cellIs" dxfId="1756" priority="312" stopIfTrue="1" operator="lessThan">
      <formula>7.9</formula>
    </cfRule>
    <cfRule type="cellIs" dxfId="1755" priority="313" stopIfTrue="1" operator="lessThan">
      <formula>7.4</formula>
    </cfRule>
  </conditionalFormatting>
  <conditionalFormatting sqref="L3:L41">
    <cfRule type="cellIs" dxfId="1754" priority="378" operator="lessThan">
      <formula>7.9</formula>
    </cfRule>
    <cfRule type="cellIs" dxfId="1753" priority="379" operator="lessThan">
      <formula>7.4</formula>
    </cfRule>
  </conditionalFormatting>
  <conditionalFormatting sqref="L23:L41">
    <cfRule type="cellIs" dxfId="1752" priority="376" stopIfTrue="1" operator="lessThan">
      <formula>7.9</formula>
    </cfRule>
    <cfRule type="cellIs" dxfId="1751" priority="377" stopIfTrue="1" operator="lessThan">
      <formula>7.4</formula>
    </cfRule>
  </conditionalFormatting>
  <conditionalFormatting sqref="L23:L44">
    <cfRule type="cellIs" dxfId="1750" priority="371" operator="lessThan">
      <formula>7.9</formula>
    </cfRule>
    <cfRule type="cellIs" dxfId="1749" priority="372" operator="lessThan">
      <formula>7.9</formula>
    </cfRule>
    <cfRule type="cellIs" dxfId="1748" priority="373" operator="lessThan">
      <formula>7.4</formula>
    </cfRule>
  </conditionalFormatting>
  <conditionalFormatting sqref="M3:M19 M22:O22 M23:M42 M43:N44 M20:N21">
    <cfRule type="cellIs" dxfId="1747" priority="453" operator="lessThan">
      <formula>6.9</formula>
    </cfRule>
  </conditionalFormatting>
  <conditionalFormatting sqref="M3:M19 M22:O22 M23:M42 M43:N44 M20:N21">
    <cfRule type="cellIs" dxfId="1746" priority="454" operator="lessThan">
      <formula>7.4</formula>
    </cfRule>
    <cfRule type="cellIs" dxfId="1745" priority="455" operator="lessThan">
      <formula>7.9</formula>
    </cfRule>
  </conditionalFormatting>
  <conditionalFormatting sqref="M3:M44">
    <cfRule type="cellIs" dxfId="1744" priority="443" operator="lessThan">
      <formula>6.9</formula>
    </cfRule>
    <cfRule type="cellIs" dxfId="1743" priority="444" operator="lessThan">
      <formula>7.4</formula>
    </cfRule>
    <cfRule type="cellIs" dxfId="1742" priority="445" operator="lessThan">
      <formula>7.9</formula>
    </cfRule>
    <cfRule type="cellIs" dxfId="1741" priority="446" operator="lessThan">
      <formula>6.9</formula>
    </cfRule>
    <cfRule type="cellIs" dxfId="1740" priority="447" operator="lessThan">
      <formula>7.9</formula>
    </cfRule>
    <cfRule type="cellIs" dxfId="1739" priority="448" operator="lessThan">
      <formula>7.4</formula>
    </cfRule>
    <cfRule type="cellIs" dxfId="1738" priority="449" operator="lessThan">
      <formula>6.9</formula>
    </cfRule>
    <cfRule type="cellIs" dxfId="1737" priority="450" operator="lessThan">
      <formula>7.9</formula>
    </cfRule>
    <cfRule type="cellIs" dxfId="1736" priority="451" operator="lessThan">
      <formula>6.9</formula>
    </cfRule>
    <cfRule type="cellIs" dxfId="1735" priority="452" operator="lessThan">
      <formula>7.4</formula>
    </cfRule>
  </conditionalFormatting>
  <conditionalFormatting sqref="M22:O22 M23:M42 M43:N44 M3:N21">
    <cfRule type="cellIs" dxfId="1734" priority="356" operator="lessThan">
      <formula>7.9</formula>
    </cfRule>
  </conditionalFormatting>
  <conditionalFormatting sqref="N3:N17">
    <cfRule type="cellIs" dxfId="1733" priority="352" operator="lessThan">
      <formula>7.4</formula>
    </cfRule>
    <cfRule type="cellIs" dxfId="1732" priority="354" operator="lessThan">
      <formula>7.9</formula>
    </cfRule>
  </conditionalFormatting>
  <conditionalFormatting sqref="N3:N19">
    <cfRule type="cellIs" dxfId="1731" priority="353" operator="equal">
      <formula>"f"</formula>
    </cfRule>
    <cfRule type="cellIs" dxfId="1730" priority="357" operator="lessThan">
      <formula>7.4</formula>
    </cfRule>
  </conditionalFormatting>
  <conditionalFormatting sqref="N23:N37">
    <cfRule type="cellIs" dxfId="1729" priority="303" operator="lessThan">
      <formula>7.4</formula>
    </cfRule>
    <cfRule type="cellIs" dxfId="1728" priority="305" operator="lessThan">
      <formula>7.9</formula>
    </cfRule>
    <cfRule type="cellIs" dxfId="1727" priority="306" operator="lessThan">
      <formula>7.9</formula>
    </cfRule>
    <cfRule type="cellIs" dxfId="1726" priority="307" operator="lessThan">
      <formula>7.4</formula>
    </cfRule>
  </conditionalFormatting>
  <conditionalFormatting sqref="N31">
    <cfRule type="cellIs" dxfId="1725" priority="304" operator="equal">
      <formula>"f"</formula>
    </cfRule>
  </conditionalFormatting>
  <conditionalFormatting sqref="N39:N40">
    <cfRule type="cellIs" dxfId="1724" priority="310" operator="lessThan">
      <formula>7.4</formula>
    </cfRule>
    <cfRule type="cellIs" dxfId="1723" priority="311" operator="lessThan">
      <formula>7.9</formula>
    </cfRule>
  </conditionalFormatting>
  <conditionalFormatting sqref="N39:N42">
    <cfRule type="cellIs" dxfId="1722" priority="308" operator="lessThan">
      <formula>7.4</formula>
    </cfRule>
    <cfRule type="cellIs" dxfId="1721" priority="309" operator="lessThan">
      <formula>7.9</formula>
    </cfRule>
  </conditionalFormatting>
  <conditionalFormatting sqref="P3:P21">
    <cfRule type="cellIs" dxfId="1720" priority="596" operator="equal">
      <formula>"f"</formula>
    </cfRule>
    <cfRule type="cellIs" dxfId="1719" priority="1020" operator="lessThan">
      <formula>7.9</formula>
    </cfRule>
  </conditionalFormatting>
  <conditionalFormatting sqref="P3:P22">
    <cfRule type="cellIs" dxfId="1718" priority="599" operator="lessThan">
      <formula>7.4</formula>
    </cfRule>
  </conditionalFormatting>
  <conditionalFormatting sqref="P17">
    <cfRule type="cellIs" dxfId="1717" priority="594" operator="lessThan">
      <formula>7.4</formula>
    </cfRule>
    <cfRule type="cellIs" dxfId="1716" priority="594" operator="equal">
      <formula>"f"</formula>
    </cfRule>
    <cfRule type="cellIs" dxfId="1715" priority="595" operator="lessThan">
      <formula>7.9</formula>
    </cfRule>
  </conditionalFormatting>
  <conditionalFormatting sqref="P22">
    <cfRule type="cellIs" dxfId="1714" priority="586" operator="equal">
      <formula>"f"</formula>
    </cfRule>
    <cfRule type="cellIs" dxfId="1713" priority="587" operator="lessThan">
      <formula>7.9</formula>
    </cfRule>
    <cfRule type="cellIs" dxfId="1712" priority="588" operator="equal">
      <formula>"f"</formula>
    </cfRule>
    <cfRule type="cellIs" dxfId="1711" priority="589" operator="lessThan">
      <formula>7.9</formula>
    </cfRule>
    <cfRule type="cellIs" dxfId="1710" priority="590" operator="lessThan">
      <formula>7.4</formula>
    </cfRule>
    <cfRule type="cellIs" dxfId="1709" priority="591" operator="equal">
      <formula>"f"</formula>
    </cfRule>
    <cfRule type="cellIs" dxfId="1708" priority="592" operator="lessThan">
      <formula>7.9</formula>
    </cfRule>
  </conditionalFormatting>
  <conditionalFormatting sqref="P22:P44">
    <cfRule type="cellIs" dxfId="1707" priority="499" operator="lessThan">
      <formula>7.4</formula>
    </cfRule>
  </conditionalFormatting>
  <conditionalFormatting sqref="P23:P44">
    <cfRule type="cellIs" dxfId="1706" priority="496" operator="lessThan">
      <formula>7.9</formula>
    </cfRule>
    <cfRule type="cellIs" dxfId="1705" priority="498" operator="lessThan">
      <formula>7.9</formula>
    </cfRule>
  </conditionalFormatting>
  <conditionalFormatting sqref="P24">
    <cfRule type="cellIs" dxfId="1704" priority="497" operator="lessThan">
      <formula>6.9</formula>
    </cfRule>
  </conditionalFormatting>
  <conditionalFormatting sqref="Q3:Q19 Q22:S22 Q23:Q42 Q43:R44 Q20:R21">
    <cfRule type="cellIs" dxfId="1703" priority="753" operator="lessThan">
      <formula>6.9</formula>
    </cfRule>
    <cfRule type="cellIs" dxfId="1702" priority="754" operator="lessThan">
      <formula>7.4</formula>
    </cfRule>
    <cfRule type="cellIs" dxfId="1701" priority="755" operator="lessThan">
      <formula>7.9</formula>
    </cfRule>
  </conditionalFormatting>
  <conditionalFormatting sqref="Q3:Q44">
    <cfRule type="cellIs" dxfId="1700" priority="1010" operator="lessThan">
      <formula>6.9</formula>
    </cfRule>
    <cfRule type="cellIs" dxfId="1699" priority="1011" operator="lessThan">
      <formula>7.9</formula>
    </cfRule>
    <cfRule type="cellIs" dxfId="1698" priority="1012" operator="lessThan">
      <formula>7.4</formula>
    </cfRule>
    <cfRule type="cellIs" dxfId="1697" priority="1013" operator="lessThan">
      <formula>6.9</formula>
    </cfRule>
    <cfRule type="cellIs" dxfId="1696" priority="1014" operator="lessThan">
      <formula>7.9</formula>
    </cfRule>
    <cfRule type="cellIs" dxfId="1695" priority="1015" operator="lessThan">
      <formula>6.9</formula>
    </cfRule>
    <cfRule type="cellIs" dxfId="1694" priority="1016" operator="lessThan">
      <formula>7.4</formula>
    </cfRule>
    <cfRule type="cellIs" dxfId="1693" priority="1017" operator="lessThan">
      <formula>6.9</formula>
    </cfRule>
    <cfRule type="cellIs" dxfId="1692" priority="1018" operator="lessThan">
      <formula>7.4</formula>
    </cfRule>
    <cfRule type="cellIs" dxfId="1691" priority="1019" operator="lessThan">
      <formula>7.9</formula>
    </cfRule>
  </conditionalFormatting>
  <conditionalFormatting sqref="Q22:S22 Q23:Q42 Q43:R44 Q3:R21">
    <cfRule type="cellIs" dxfId="1690" priority="350" operator="lessThan">
      <formula>7.9</formula>
    </cfRule>
  </conditionalFormatting>
  <conditionalFormatting sqref="R3:R17">
    <cfRule type="cellIs" dxfId="1689" priority="346" operator="lessThan">
      <formula>7.4</formula>
    </cfRule>
    <cfRule type="cellIs" dxfId="1688" priority="348" operator="lessThan">
      <formula>7.9</formula>
    </cfRule>
  </conditionalFormatting>
  <conditionalFormatting sqref="R3:R19">
    <cfRule type="cellIs" dxfId="1687" priority="347" operator="equal">
      <formula>"f"</formula>
    </cfRule>
    <cfRule type="cellIs" dxfId="1686" priority="351" operator="lessThan">
      <formula>7.4</formula>
    </cfRule>
  </conditionalFormatting>
  <conditionalFormatting sqref="R23:R37">
    <cfRule type="cellIs" dxfId="1685" priority="294" operator="lessThan">
      <formula>7.4</formula>
    </cfRule>
    <cfRule type="cellIs" dxfId="1684" priority="296" operator="lessThan">
      <formula>7.9</formula>
    </cfRule>
    <cfRule type="cellIs" dxfId="1683" priority="297" operator="lessThan">
      <formula>7.9</formula>
    </cfRule>
    <cfRule type="cellIs" dxfId="1682" priority="298" operator="lessThan">
      <formula>7.4</formula>
    </cfRule>
  </conditionalFormatting>
  <conditionalFormatting sqref="R31">
    <cfRule type="cellIs" dxfId="1681" priority="295" operator="equal">
      <formula>"f"</formula>
    </cfRule>
  </conditionalFormatting>
  <conditionalFormatting sqref="R39:R40">
    <cfRule type="cellIs" dxfId="1680" priority="301" operator="lessThan">
      <formula>7.4</formula>
    </cfRule>
    <cfRule type="cellIs" dxfId="1679" priority="302" operator="lessThan">
      <formula>7.9</formula>
    </cfRule>
  </conditionalFormatting>
  <conditionalFormatting sqref="R39:R42">
    <cfRule type="cellIs" dxfId="1678" priority="299" operator="lessThan">
      <formula>7.4</formula>
    </cfRule>
    <cfRule type="cellIs" dxfId="1677" priority="300" operator="lessThan">
      <formula>7.9</formula>
    </cfRule>
  </conditionalFormatting>
  <conditionalFormatting sqref="T3:T22">
    <cfRule type="cellIs" dxfId="1676" priority="529" operator="lessThan">
      <formula>7.9</formula>
    </cfRule>
    <cfRule type="cellIs" dxfId="1675" priority="530" operator="lessThan">
      <formula>7.4</formula>
    </cfRule>
  </conditionalFormatting>
  <conditionalFormatting sqref="T5:T6 T8:T10">
    <cfRule type="cellIs" dxfId="1674" priority="536" operator="equal">
      <formula>"f"</formula>
    </cfRule>
    <cfRule type="cellIs" dxfId="1673" priority="537" operator="lessThan">
      <formula>7.9</formula>
    </cfRule>
    <cfRule type="cellIs" dxfId="1672" priority="538" operator="lessThan">
      <formula>7.4</formula>
    </cfRule>
  </conditionalFormatting>
  <conditionalFormatting sqref="T13:T14">
    <cfRule type="cellIs" dxfId="1671" priority="533" operator="equal">
      <formula>"f"</formula>
    </cfRule>
    <cfRule type="cellIs" dxfId="1670" priority="534" operator="lessThan">
      <formula>7.9</formula>
    </cfRule>
    <cfRule type="cellIs" dxfId="1669" priority="535" operator="lessThan">
      <formula>7.4</formula>
    </cfRule>
  </conditionalFormatting>
  <conditionalFormatting sqref="T23:T44">
    <cfRule type="cellIs" dxfId="1668" priority="495" operator="lessThan">
      <formula>7.9</formula>
    </cfRule>
  </conditionalFormatting>
  <conditionalFormatting sqref="U3:U19 U22:W22 U23:U42 U43:V44 U20:V21">
    <cfRule type="cellIs" dxfId="1667" priority="745" operator="lessThan">
      <formula>6.9</formula>
    </cfRule>
    <cfRule type="cellIs" dxfId="1666" priority="746" operator="lessThan">
      <formula>7.4</formula>
    </cfRule>
    <cfRule type="cellIs" dxfId="1665" priority="747" operator="lessThan">
      <formula>7.9</formula>
    </cfRule>
  </conditionalFormatting>
  <conditionalFormatting sqref="U3:U44">
    <cfRule type="cellIs" dxfId="1664" priority="894" operator="lessThan">
      <formula>6.9</formula>
    </cfRule>
    <cfRule type="cellIs" dxfId="1663" priority="895" operator="lessThan">
      <formula>7.9</formula>
    </cfRule>
    <cfRule type="cellIs" dxfId="1662" priority="896" operator="lessThan">
      <formula>7.4</formula>
    </cfRule>
    <cfRule type="cellIs" dxfId="1661" priority="897" operator="lessThan">
      <formula>6.9</formula>
    </cfRule>
    <cfRule type="cellIs" dxfId="1660" priority="898" operator="lessThan">
      <formula>7.9</formula>
    </cfRule>
    <cfRule type="cellIs" dxfId="1659" priority="899" operator="lessThan">
      <formula>6.9</formula>
    </cfRule>
    <cfRule type="cellIs" dxfId="1658" priority="901" operator="lessThan">
      <formula>7.4</formula>
    </cfRule>
    <cfRule type="cellIs" dxfId="1657" priority="902" operator="lessThan">
      <formula>7.9</formula>
    </cfRule>
  </conditionalFormatting>
  <conditionalFormatting sqref="U22:W22 U23:U42 U43:V44 U3:V21">
    <cfRule type="cellIs" dxfId="1656" priority="344" operator="lessThan">
      <formula>7.9</formula>
    </cfRule>
  </conditionalFormatting>
  <conditionalFormatting sqref="V3:V19">
    <cfRule type="cellIs" dxfId="1655" priority="345" operator="lessThan">
      <formula>7.4</formula>
    </cfRule>
  </conditionalFormatting>
  <conditionalFormatting sqref="V18:V19">
    <cfRule type="cellIs" dxfId="1654" priority="343" operator="equal">
      <formula>"f"</formula>
    </cfRule>
  </conditionalFormatting>
  <conditionalFormatting sqref="V23:V37">
    <cfRule type="cellIs" dxfId="1653" priority="290" operator="lessThan">
      <formula>7.9</formula>
    </cfRule>
    <cfRule type="cellIs" dxfId="1652" priority="291" operator="lessThan">
      <formula>7.4</formula>
    </cfRule>
  </conditionalFormatting>
  <conditionalFormatting sqref="V39:V42">
    <cfRule type="cellIs" dxfId="1651" priority="292" operator="lessThan">
      <formula>7.4</formula>
    </cfRule>
    <cfRule type="cellIs" dxfId="1650" priority="293" operator="lessThan">
      <formula>7.9</formula>
    </cfRule>
  </conditionalFormatting>
  <conditionalFormatting sqref="X3:X44">
    <cfRule type="cellIs" dxfId="1649" priority="493" operator="lessThan">
      <formula>7.9</formula>
    </cfRule>
    <cfRule type="cellIs" dxfId="1648" priority="494" operator="lessThan">
      <formula>7.4</formula>
    </cfRule>
  </conditionalFormatting>
  <conditionalFormatting sqref="X18:X21">
    <cfRule type="cellIs" dxfId="1647" priority="528" operator="equal">
      <formula>"f"</formula>
    </cfRule>
  </conditionalFormatting>
  <conditionalFormatting sqref="X23:X44">
    <cfRule type="cellIs" dxfId="1646" priority="492" operator="lessThan">
      <formula>7.9</formula>
    </cfRule>
  </conditionalFormatting>
  <conditionalFormatting sqref="Y3:Y19 Y20:Z22 Y23:Y42 Y43:Z44">
    <cfRule type="cellIs" dxfId="1645" priority="742" operator="lessThan">
      <formula>7.4</formula>
    </cfRule>
  </conditionalFormatting>
  <conditionalFormatting sqref="Y3:Y19 Y22:AA22 Y23:Y42 Y43:Z44 Y20:Z21">
    <cfRule type="cellIs" dxfId="1644" priority="573" operator="lessThan">
      <formula>6.9</formula>
    </cfRule>
    <cfRule type="cellIs" dxfId="1643" priority="574" operator="lessThan">
      <formula>7.9</formula>
    </cfRule>
  </conditionalFormatting>
  <conditionalFormatting sqref="Y3:Y44">
    <cfRule type="cellIs" dxfId="1642" priority="881" operator="lessThan">
      <formula>6.9</formula>
    </cfRule>
    <cfRule type="cellIs" dxfId="1641" priority="882" operator="lessThan">
      <formula>7.9</formula>
    </cfRule>
    <cfRule type="cellIs" dxfId="1640" priority="883" operator="lessThan">
      <formula>7.4</formula>
    </cfRule>
    <cfRule type="cellIs" dxfId="1639" priority="884" operator="lessThan">
      <formula>6.9</formula>
    </cfRule>
    <cfRule type="cellIs" dxfId="1638" priority="885" operator="lessThan">
      <formula>7.9</formula>
    </cfRule>
    <cfRule type="cellIs" dxfId="1637" priority="886" operator="lessThan">
      <formula>6.9</formula>
    </cfRule>
    <cfRule type="cellIs" dxfId="1636" priority="888" operator="lessThan">
      <formula>7.4</formula>
    </cfRule>
    <cfRule type="cellIs" dxfId="1635" priority="889" operator="lessThan">
      <formula>7.9</formula>
    </cfRule>
  </conditionalFormatting>
  <conditionalFormatting sqref="Y22:AA22 Y23:Y42 Y43:Z44 Y3:Z21">
    <cfRule type="cellIs" dxfId="1634" priority="341" operator="lessThan">
      <formula>7.9</formula>
    </cfRule>
  </conditionalFormatting>
  <conditionalFormatting sqref="Z3:Z19">
    <cfRule type="cellIs" dxfId="1633" priority="342" operator="lessThan">
      <formula>7.4</formula>
    </cfRule>
  </conditionalFormatting>
  <conditionalFormatting sqref="Z18:Z19">
    <cfRule type="cellIs" dxfId="1632" priority="340" operator="equal">
      <formula>"f"</formula>
    </cfRule>
  </conditionalFormatting>
  <conditionalFormatting sqref="Z23:Z37">
    <cfRule type="cellIs" dxfId="1631" priority="286" operator="lessThan">
      <formula>7.9</formula>
    </cfRule>
    <cfRule type="cellIs" dxfId="1630" priority="287" operator="lessThan">
      <formula>7.4</formula>
    </cfRule>
  </conditionalFormatting>
  <conditionalFormatting sqref="Z39:Z42">
    <cfRule type="cellIs" dxfId="1629" priority="288" operator="lessThan">
      <formula>7.4</formula>
    </cfRule>
    <cfRule type="cellIs" dxfId="1628" priority="289" operator="lessThan">
      <formula>7.9</formula>
    </cfRule>
  </conditionalFormatting>
  <conditionalFormatting sqref="AA22">
    <cfRule type="cellIs" dxfId="1627" priority="1021" operator="lessThan">
      <formula>7.4</formula>
    </cfRule>
  </conditionalFormatting>
  <conditionalFormatting sqref="AB4">
    <cfRule type="cellIs" dxfId="1626" priority="524" operator="lessThan">
      <formula>7.9</formula>
    </cfRule>
    <cfRule type="cellIs" dxfId="1625" priority="525" operator="lessThan">
      <formula>7.4</formula>
    </cfRule>
  </conditionalFormatting>
  <conditionalFormatting sqref="AB23:AB44">
    <cfRule type="cellIs" dxfId="1624" priority="487" operator="lessThan">
      <formula>7.9</formula>
    </cfRule>
  </conditionalFormatting>
  <conditionalFormatting sqref="AB31">
    <cfRule type="cellIs" dxfId="1623" priority="490" operator="lessThan">
      <formula>7.9</formula>
    </cfRule>
    <cfRule type="cellIs" dxfId="1622" priority="491" operator="lessThan">
      <formula>7.4</formula>
    </cfRule>
  </conditionalFormatting>
  <conditionalFormatting sqref="AB33:AB34">
    <cfRule type="cellIs" dxfId="1621" priority="488" operator="lessThan">
      <formula>7.9</formula>
    </cfRule>
    <cfRule type="cellIs" dxfId="1620" priority="489" operator="lessThan">
      <formula>7.4</formula>
    </cfRule>
  </conditionalFormatting>
  <conditionalFormatting sqref="AC3:AC19 AC20:AD22 AC23:AC42 AC43:AD44">
    <cfRule type="cellIs" dxfId="1619" priority="734" operator="lessThan">
      <formula>7.4</formula>
    </cfRule>
  </conditionalFormatting>
  <conditionalFormatting sqref="AC3:AC19 AC22:AE22 AC23:AC42 AC43:AD44 AC20:AD21">
    <cfRule type="cellIs" dxfId="1618" priority="569" operator="lessThan">
      <formula>6.9</formula>
    </cfRule>
    <cfRule type="cellIs" dxfId="1617" priority="570" operator="lessThan">
      <formula>7.9</formula>
    </cfRule>
  </conditionalFormatting>
  <conditionalFormatting sqref="AC3:AC44">
    <cfRule type="cellIs" dxfId="1616" priority="868" operator="lessThan">
      <formula>6.9</formula>
    </cfRule>
    <cfRule type="cellIs" dxfId="1615" priority="869" operator="lessThan">
      <formula>7.9</formula>
    </cfRule>
    <cfRule type="cellIs" dxfId="1614" priority="870" operator="lessThan">
      <formula>7.4</formula>
    </cfRule>
    <cfRule type="cellIs" dxfId="1613" priority="871" operator="lessThan">
      <formula>6.9</formula>
    </cfRule>
    <cfRule type="cellIs" dxfId="1612" priority="872" operator="lessThan">
      <formula>7.9</formula>
    </cfRule>
    <cfRule type="cellIs" dxfId="1611" priority="873" operator="lessThan">
      <formula>6.9</formula>
    </cfRule>
    <cfRule type="cellIs" dxfId="1610" priority="875" operator="lessThan">
      <formula>7.4</formula>
    </cfRule>
    <cfRule type="cellIs" dxfId="1609" priority="876" operator="lessThan">
      <formula>7.9</formula>
    </cfRule>
  </conditionalFormatting>
  <conditionalFormatting sqref="AC22:AE22 AC23:AC42 AC43:AD44 AC3:AD21">
    <cfRule type="cellIs" dxfId="1608" priority="339" operator="lessThan">
      <formula>7.9</formula>
    </cfRule>
  </conditionalFormatting>
  <conditionalFormatting sqref="AD3:AD19">
    <cfRule type="cellIs" dxfId="1607" priority="337" operator="equal">
      <formula>"f"</formula>
    </cfRule>
    <cfRule type="cellIs" dxfId="1606" priority="338" operator="lessThan">
      <formula>7.4</formula>
    </cfRule>
  </conditionalFormatting>
  <conditionalFormatting sqref="AD23:AD37">
    <cfRule type="cellIs" dxfId="1605" priority="281" operator="lessThan">
      <formula>7.9</formula>
    </cfRule>
    <cfRule type="cellIs" dxfId="1604" priority="283" operator="lessThan">
      <formula>7.4</formula>
    </cfRule>
  </conditionalFormatting>
  <conditionalFormatting sqref="AD31">
    <cfRule type="cellIs" dxfId="1603" priority="282" operator="equal">
      <formula>"f"</formula>
    </cfRule>
  </conditionalFormatting>
  <conditionalFormatting sqref="AD39:AD42">
    <cfRule type="cellIs" dxfId="1602" priority="284" operator="lessThan">
      <formula>7.4</formula>
    </cfRule>
    <cfRule type="cellIs" dxfId="1601" priority="285" operator="lessThan">
      <formula>7.9</formula>
    </cfRule>
  </conditionalFormatting>
  <conditionalFormatting sqref="AE22">
    <cfRule type="cellIs" dxfId="1600" priority="1022" operator="lessThan">
      <formula>7.4</formula>
    </cfRule>
  </conditionalFormatting>
  <conditionalFormatting sqref="AF3:AF22">
    <cfRule type="cellIs" dxfId="1599" priority="523" operator="lessThan">
      <formula>7.4</formula>
    </cfRule>
  </conditionalFormatting>
  <conditionalFormatting sqref="AF3:AF44">
    <cfRule type="cellIs" dxfId="1598" priority="485" operator="lessThan">
      <formula>7.9</formula>
    </cfRule>
    <cfRule type="cellIs" dxfId="1597" priority="486" operator="lessThan">
      <formula>6.9</formula>
    </cfRule>
  </conditionalFormatting>
  <conditionalFormatting sqref="AF23:AF44">
    <cfRule type="cellIs" dxfId="1596" priority="483" operator="lessThan">
      <formula>7.9</formula>
    </cfRule>
    <cfRule type="cellIs" dxfId="1595" priority="484" operator="lessThan">
      <formula>7.4</formula>
    </cfRule>
  </conditionalFormatting>
  <conditionalFormatting sqref="AG3:AG19 AG22:AI22 AG23:AG42 AG43:AH44 AG20:AH21">
    <cfRule type="cellIs" dxfId="1594" priority="566" operator="lessThan">
      <formula>7.9</formula>
    </cfRule>
    <cfRule type="cellIs" dxfId="1593" priority="726" operator="lessThan">
      <formula>7.4</formula>
    </cfRule>
  </conditionalFormatting>
  <conditionalFormatting sqref="AG3:AG44">
    <cfRule type="cellIs" dxfId="1592" priority="855" operator="lessThan">
      <formula>6.9</formula>
    </cfRule>
    <cfRule type="cellIs" dxfId="1591" priority="856" operator="lessThan">
      <formula>7.9</formula>
    </cfRule>
    <cfRule type="cellIs" dxfId="1590" priority="857" operator="lessThan">
      <formula>7.4</formula>
    </cfRule>
    <cfRule type="cellIs" dxfId="1589" priority="858" operator="lessThan">
      <formula>6.9</formula>
    </cfRule>
    <cfRule type="cellIs" dxfId="1588" priority="859" operator="lessThan">
      <formula>7.9</formula>
    </cfRule>
    <cfRule type="cellIs" dxfId="1587" priority="860" operator="lessThan">
      <formula>6.9</formula>
    </cfRule>
    <cfRule type="cellIs" dxfId="1586" priority="862" operator="lessThan">
      <formula>7.4</formula>
    </cfRule>
    <cfRule type="cellIs" dxfId="1585" priority="863" operator="lessThan">
      <formula>7.9</formula>
    </cfRule>
  </conditionalFormatting>
  <conditionalFormatting sqref="AG23:AG42 AG43:AH44 AG3:AG19 AG22:AI22 AG20:AH21">
    <cfRule type="cellIs" dxfId="1584" priority="565" operator="lessThan">
      <formula>6.9</formula>
    </cfRule>
  </conditionalFormatting>
  <conditionalFormatting sqref="AG23:AG42 AG43:AH44">
    <cfRule type="cellIs" dxfId="1583" priority="563" operator="lessThan">
      <formula>7.9</formula>
    </cfRule>
  </conditionalFormatting>
  <conditionalFormatting sqref="AG22:AI22 AG3:AH21">
    <cfRule type="cellIs" dxfId="1582" priority="334" operator="lessThan">
      <formula>7.9</formula>
    </cfRule>
  </conditionalFormatting>
  <conditionalFormatting sqref="AH3:AH19">
    <cfRule type="cellIs" dxfId="1581" priority="333" operator="equal">
      <formula>"f"</formula>
    </cfRule>
    <cfRule type="cellIs" dxfId="1580" priority="335" operator="lessThan">
      <formula>7.4</formula>
    </cfRule>
  </conditionalFormatting>
  <conditionalFormatting sqref="AH23:AH37">
    <cfRule type="cellIs" dxfId="1579" priority="276" operator="lessThan">
      <formula>7.9</formula>
    </cfRule>
    <cfRule type="cellIs" dxfId="1578" priority="277" operator="lessThan">
      <formula>7.4</formula>
    </cfRule>
  </conditionalFormatting>
  <conditionalFormatting sqref="AH31">
    <cfRule type="cellIs" dxfId="1577" priority="278" operator="equal">
      <formula>"f"</formula>
    </cfRule>
  </conditionalFormatting>
  <conditionalFormatting sqref="AH39:AH42">
    <cfRule type="cellIs" dxfId="1576" priority="279" operator="lessThan">
      <formula>7.4</formula>
    </cfRule>
    <cfRule type="cellIs" dxfId="1575" priority="280" operator="lessThan">
      <formula>7.9</formula>
    </cfRule>
  </conditionalFormatting>
  <conditionalFormatting sqref="AJ3:AJ19">
    <cfRule type="cellIs" dxfId="1574" priority="517" operator="equal">
      <formula>"f"</formula>
    </cfRule>
  </conditionalFormatting>
  <conditionalFormatting sqref="AJ3:AJ22">
    <cfRule type="cellIs" dxfId="1573" priority="518" operator="lessThan">
      <formula>7.4</formula>
    </cfRule>
    <cfRule type="cellIs" dxfId="1572" priority="519" operator="lessThan">
      <formula>7.9</formula>
    </cfRule>
  </conditionalFormatting>
  <conditionalFormatting sqref="AJ20:AJ21">
    <cfRule type="cellIs" dxfId="1571" priority="520" operator="equal">
      <formula>"f"</formula>
    </cfRule>
  </conditionalFormatting>
  <conditionalFormatting sqref="AJ23:AJ44">
    <cfRule type="cellIs" dxfId="1570" priority="479" operator="lessThan">
      <formula>7.9</formula>
    </cfRule>
    <cfRule type="cellIs" dxfId="1569" priority="480" operator="lessThan">
      <formula>7.4</formula>
    </cfRule>
    <cfRule type="cellIs" dxfId="1568" priority="481" operator="lessThan">
      <formula>7.9</formula>
    </cfRule>
  </conditionalFormatting>
  <conditionalFormatting sqref="AJ41">
    <cfRule type="cellIs" dxfId="1567" priority="482" operator="equal">
      <formula>"f"</formula>
    </cfRule>
  </conditionalFormatting>
  <conditionalFormatting sqref="AK3:AK19 AK20:AL22 AK23:AK42 AK43:AL44">
    <cfRule type="cellIs" dxfId="1566" priority="718" operator="lessThan">
      <formula>7.4</formula>
    </cfRule>
  </conditionalFormatting>
  <conditionalFormatting sqref="AK3:AK19 AK22:AM22 AK23:AK42 AK43:AL44 AK20:AL21">
    <cfRule type="cellIs" dxfId="1565" priority="562" operator="lessThan">
      <formula>7.9</formula>
    </cfRule>
  </conditionalFormatting>
  <conditionalFormatting sqref="AK3:AK44">
    <cfRule type="cellIs" dxfId="1564" priority="842" operator="lessThan">
      <formula>6.9</formula>
    </cfRule>
    <cfRule type="cellIs" dxfId="1563" priority="843" operator="lessThan">
      <formula>7.9</formula>
    </cfRule>
    <cfRule type="cellIs" dxfId="1562" priority="844" operator="lessThan">
      <formula>7.4</formula>
    </cfRule>
    <cfRule type="cellIs" dxfId="1561" priority="845" operator="lessThan">
      <formula>6.9</formula>
    </cfRule>
    <cfRule type="cellIs" dxfId="1560" priority="846" operator="lessThan">
      <formula>7.9</formula>
    </cfRule>
    <cfRule type="cellIs" dxfId="1559" priority="847" operator="lessThan">
      <formula>6.9</formula>
    </cfRule>
    <cfRule type="cellIs" dxfId="1558" priority="849" operator="lessThan">
      <formula>7.4</formula>
    </cfRule>
    <cfRule type="cellIs" dxfId="1557" priority="850" operator="lessThan">
      <formula>7.9</formula>
    </cfRule>
  </conditionalFormatting>
  <conditionalFormatting sqref="AK23:AK42 AK43:AL44 AK22:AM22 AK3:AK19 AK20:AL21">
    <cfRule type="cellIs" dxfId="1556" priority="561" operator="lessThan">
      <formula>6.9</formula>
    </cfRule>
  </conditionalFormatting>
  <conditionalFormatting sqref="AK23:AK42 AK43:AL44">
    <cfRule type="cellIs" dxfId="1555" priority="559" operator="lessThan">
      <formula>7.9</formula>
    </cfRule>
  </conditionalFormatting>
  <conditionalFormatting sqref="AK22:AM22 AK3:AL21">
    <cfRule type="cellIs" dxfId="1554" priority="331" operator="lessThan">
      <formula>7.9</formula>
    </cfRule>
  </conditionalFormatting>
  <conditionalFormatting sqref="AL3:AL19">
    <cfRule type="cellIs" dxfId="1553" priority="332" operator="lessThan">
      <formula>7.4</formula>
    </cfRule>
  </conditionalFormatting>
  <conditionalFormatting sqref="AL18:AL19">
    <cfRule type="cellIs" dxfId="1552" priority="330" operator="equal">
      <formula>"f"</formula>
    </cfRule>
  </conditionalFormatting>
  <conditionalFormatting sqref="AL23:AL37">
    <cfRule type="cellIs" dxfId="1551" priority="272" operator="lessThan">
      <formula>7.9</formula>
    </cfRule>
    <cfRule type="cellIs" dxfId="1550" priority="273" operator="lessThan">
      <formula>7.4</formula>
    </cfRule>
  </conditionalFormatting>
  <conditionalFormatting sqref="AL39:AL42">
    <cfRule type="cellIs" dxfId="1549" priority="274" operator="lessThan">
      <formula>7.4</formula>
    </cfRule>
    <cfRule type="cellIs" dxfId="1548" priority="275" operator="lessThan">
      <formula>7.9</formula>
    </cfRule>
  </conditionalFormatting>
  <conditionalFormatting sqref="AM22:AN22 AN3:AN21 AN23:AN44">
    <cfRule type="cellIs" dxfId="1547" priority="477" operator="lessThan">
      <formula>7.4</formula>
    </cfRule>
  </conditionalFormatting>
  <conditionalFormatting sqref="AN3:AN44">
    <cfRule type="cellIs" dxfId="1546" priority="478" operator="lessThan">
      <formula>7.9</formula>
    </cfRule>
  </conditionalFormatting>
  <conditionalFormatting sqref="AN18:AN21">
    <cfRule type="cellIs" dxfId="1545" priority="515" operator="equal">
      <formula>"f"</formula>
    </cfRule>
  </conditionalFormatting>
  <conditionalFormatting sqref="AN23:AN44">
    <cfRule type="cellIs" dxfId="1544" priority="476" operator="lessThan">
      <formula>7.9</formula>
    </cfRule>
  </conditionalFormatting>
  <conditionalFormatting sqref="AO3:AO19 AO20:AP22 AO23:AO42 AO43:AP44">
    <cfRule type="cellIs" dxfId="1543" priority="710" operator="lessThan">
      <formula>7.4</formula>
    </cfRule>
  </conditionalFormatting>
  <conditionalFormatting sqref="AO3:AO19 AO22:AQ22 AO23:AO42 AO43:AP44 AO20:AP21">
    <cfRule type="cellIs" dxfId="1542" priority="558" operator="lessThan">
      <formula>7.9</formula>
    </cfRule>
  </conditionalFormatting>
  <conditionalFormatting sqref="AO3:AO44">
    <cfRule type="cellIs" dxfId="1541" priority="829" operator="lessThan">
      <formula>6.9</formula>
    </cfRule>
    <cfRule type="cellIs" dxfId="1540" priority="830" operator="lessThan">
      <formula>7.9</formula>
    </cfRule>
    <cfRule type="cellIs" dxfId="1539" priority="831" operator="lessThan">
      <formula>7.4</formula>
    </cfRule>
    <cfRule type="cellIs" dxfId="1538" priority="832" operator="lessThan">
      <formula>6.9</formula>
    </cfRule>
    <cfRule type="cellIs" dxfId="1537" priority="833" operator="lessThan">
      <formula>7.9</formula>
    </cfRule>
    <cfRule type="cellIs" dxfId="1536" priority="834" operator="lessThan">
      <formula>6.9</formula>
    </cfRule>
    <cfRule type="cellIs" dxfId="1535" priority="836" operator="lessThan">
      <formula>7.4</formula>
    </cfRule>
    <cfRule type="cellIs" dxfId="1534" priority="837" operator="lessThan">
      <formula>7.9</formula>
    </cfRule>
  </conditionalFormatting>
  <conditionalFormatting sqref="AO23:AO42 AO43:AP44 AO22:AQ22 AO3:AO19 AO20:AP21">
    <cfRule type="cellIs" dxfId="1533" priority="557" operator="lessThan">
      <formula>6.9</formula>
    </cfRule>
  </conditionalFormatting>
  <conditionalFormatting sqref="AO23:AO42 AO43:AP44">
    <cfRule type="cellIs" dxfId="1532" priority="555" operator="lessThan">
      <formula>7.9</formula>
    </cfRule>
  </conditionalFormatting>
  <conditionalFormatting sqref="AO22:AQ22 AO3:AP21">
    <cfRule type="cellIs" dxfId="1531" priority="328" operator="lessThan">
      <formula>7.9</formula>
    </cfRule>
  </conditionalFormatting>
  <conditionalFormatting sqref="AP3:AP19">
    <cfRule type="cellIs" dxfId="1530" priority="329" operator="lessThan">
      <formula>7.4</formula>
    </cfRule>
  </conditionalFormatting>
  <conditionalFormatting sqref="AP23:AP37">
    <cfRule type="cellIs" dxfId="1529" priority="268" operator="lessThan">
      <formula>7.4</formula>
    </cfRule>
    <cfRule type="cellIs" dxfId="1528" priority="269" operator="lessThan">
      <formula>7.9</formula>
    </cfRule>
  </conditionalFormatting>
  <conditionalFormatting sqref="AP39:AP42">
    <cfRule type="cellIs" dxfId="1527" priority="270" operator="lessThan">
      <formula>7.4</formula>
    </cfRule>
    <cfRule type="cellIs" dxfId="1526" priority="271" operator="lessThan">
      <formula>7.9</formula>
    </cfRule>
  </conditionalFormatting>
  <conditionalFormatting sqref="AQ22:AR22 AR3:AR21 AR23:AR44">
    <cfRule type="cellIs" dxfId="1525" priority="474" operator="lessThan">
      <formula>7.4</formula>
    </cfRule>
  </conditionalFormatting>
  <conditionalFormatting sqref="AR3:AR44">
    <cfRule type="cellIs" dxfId="1524" priority="475" operator="lessThan">
      <formula>7.9</formula>
    </cfRule>
  </conditionalFormatting>
  <conditionalFormatting sqref="AR23:AR44">
    <cfRule type="cellIs" dxfId="1523" priority="473" operator="lessThan">
      <formula>7.9</formula>
    </cfRule>
  </conditionalFormatting>
  <conditionalFormatting sqref="AS3:AS19 AS22:AU22 AS23:AS42 AS43:AT44 AS20:AT21">
    <cfRule type="cellIs" dxfId="1522" priority="554" operator="lessThan">
      <formula>7.9</formula>
    </cfRule>
    <cfRule type="cellIs" dxfId="1521" priority="702" operator="lessThan">
      <formula>7.4</formula>
    </cfRule>
  </conditionalFormatting>
  <conditionalFormatting sqref="AS3:AS44">
    <cfRule type="cellIs" dxfId="1520" priority="816" operator="lessThan">
      <formula>6.9</formula>
    </cfRule>
    <cfRule type="cellIs" dxfId="1519" priority="817" operator="lessThan">
      <formula>7.9</formula>
    </cfRule>
    <cfRule type="cellIs" dxfId="1518" priority="818" operator="lessThan">
      <formula>7.4</formula>
    </cfRule>
    <cfRule type="cellIs" dxfId="1517" priority="819" operator="lessThan">
      <formula>6.9</formula>
    </cfRule>
    <cfRule type="cellIs" dxfId="1516" priority="820" operator="lessThan">
      <formula>7.9</formula>
    </cfRule>
    <cfRule type="cellIs" dxfId="1515" priority="821" operator="lessThan">
      <formula>6.9</formula>
    </cfRule>
    <cfRule type="cellIs" dxfId="1514" priority="823" operator="lessThan">
      <formula>7.4</formula>
    </cfRule>
    <cfRule type="cellIs" dxfId="1513" priority="824" operator="lessThan">
      <formula>7.9</formula>
    </cfRule>
  </conditionalFormatting>
  <conditionalFormatting sqref="AS23:AS42 AS43:AT44 AS3:AS19 AS22:AU22 AS20:AT21">
    <cfRule type="cellIs" dxfId="1512" priority="553" operator="lessThan">
      <formula>6.9</formula>
    </cfRule>
  </conditionalFormatting>
  <conditionalFormatting sqref="AS23:AS42 AS43:AT44">
    <cfRule type="cellIs" dxfId="1511" priority="551" operator="lessThan">
      <formula>7.9</formula>
    </cfRule>
  </conditionalFormatting>
  <conditionalFormatting sqref="AS22:AU22 AS3:AT21">
    <cfRule type="cellIs" dxfId="1510" priority="326" operator="lessThan">
      <formula>7.9</formula>
    </cfRule>
  </conditionalFormatting>
  <conditionalFormatting sqref="AT3:AT19">
    <cfRule type="cellIs" dxfId="1509" priority="325" operator="lessThan">
      <formula>6.9</formula>
    </cfRule>
    <cfRule type="cellIs" dxfId="1508" priority="327" operator="lessThan">
      <formula>7.4</formula>
    </cfRule>
  </conditionalFormatting>
  <conditionalFormatting sqref="AT23:AT37">
    <cfRule type="cellIs" dxfId="1507" priority="262" operator="lessThan">
      <formula>7.4</formula>
    </cfRule>
    <cfRule type="cellIs" dxfId="1506" priority="263" operator="lessThan">
      <formula>7.9</formula>
    </cfRule>
    <cfRule type="cellIs" dxfId="1505" priority="264" operator="lessThan">
      <formula>6.9</formula>
    </cfRule>
  </conditionalFormatting>
  <conditionalFormatting sqref="AT39:AT42">
    <cfRule type="cellIs" dxfId="1504" priority="265" operator="lessThan">
      <formula>7.4</formula>
    </cfRule>
    <cfRule type="cellIs" dxfId="1503" priority="266" operator="lessThan">
      <formula>7.9</formula>
    </cfRule>
    <cfRule type="cellIs" dxfId="1502" priority="267" operator="lessThan">
      <formula>6.9</formula>
    </cfRule>
  </conditionalFormatting>
  <conditionalFormatting sqref="AV3:AV22">
    <cfRule type="cellIs" dxfId="1501" priority="509" operator="lessThan">
      <formula>7.4</formula>
    </cfRule>
    <cfRule type="cellIs" dxfId="1500" priority="510" operator="lessThan">
      <formula>7.9</formula>
    </cfRule>
  </conditionalFormatting>
  <conditionalFormatting sqref="AV3:AV44">
    <cfRule type="cellIs" dxfId="1499" priority="472" operator="lessThan">
      <formula>6.9</formula>
    </cfRule>
  </conditionalFormatting>
  <conditionalFormatting sqref="AV23:AV44">
    <cfRule type="cellIs" dxfId="1498" priority="469" operator="lessThan">
      <formula>7.9</formula>
    </cfRule>
    <cfRule type="cellIs" dxfId="1497" priority="470" operator="lessThan">
      <formula>7.4</formula>
    </cfRule>
    <cfRule type="cellIs" dxfId="1496" priority="471" operator="lessThan">
      <formula>7.9</formula>
    </cfRule>
  </conditionalFormatting>
  <conditionalFormatting sqref="AW3:AW19 AW22:AY22 AW23:AW42 AW43:AX44 AW20:AX21">
    <cfRule type="cellIs" dxfId="1495" priority="550" operator="lessThan">
      <formula>7.9</formula>
    </cfRule>
    <cfRule type="cellIs" dxfId="1494" priority="694" operator="lessThan">
      <formula>7.4</formula>
    </cfRule>
  </conditionalFormatting>
  <conditionalFormatting sqref="AW3:AW44">
    <cfRule type="cellIs" dxfId="1493" priority="803" operator="lessThan">
      <formula>6.9</formula>
    </cfRule>
    <cfRule type="cellIs" dxfId="1492" priority="804" operator="lessThan">
      <formula>7.9</formula>
    </cfRule>
    <cfRule type="cellIs" dxfId="1491" priority="805" operator="lessThan">
      <formula>7.4</formula>
    </cfRule>
    <cfRule type="cellIs" dxfId="1490" priority="806" operator="lessThan">
      <formula>6.9</formula>
    </cfRule>
    <cfRule type="cellIs" dxfId="1489" priority="807" operator="lessThan">
      <formula>7.9</formula>
    </cfRule>
    <cfRule type="cellIs" dxfId="1488" priority="808" operator="lessThan">
      <formula>6.9</formula>
    </cfRule>
    <cfRule type="cellIs" dxfId="1487" priority="810" operator="lessThan">
      <formula>7.4</formula>
    </cfRule>
    <cfRule type="cellIs" dxfId="1486" priority="811" operator="lessThan">
      <formula>7.9</formula>
    </cfRule>
  </conditionalFormatting>
  <conditionalFormatting sqref="AW23:AW42 AW43:AX44 AW3:AW19 AW22:AY22 AW20:AX21">
    <cfRule type="cellIs" dxfId="1485" priority="549" operator="lessThan">
      <formula>6.9</formula>
    </cfRule>
  </conditionalFormatting>
  <conditionalFormatting sqref="AW23:AW42 AW43:AX44">
    <cfRule type="cellIs" dxfId="1484" priority="547" operator="lessThan">
      <formula>7.9</formula>
    </cfRule>
  </conditionalFormatting>
  <conditionalFormatting sqref="AW22:AY22 AW3:AX21">
    <cfRule type="cellIs" dxfId="1483" priority="323" operator="lessThan">
      <formula>7.9</formula>
    </cfRule>
  </conditionalFormatting>
  <conditionalFormatting sqref="AX3:AX19">
    <cfRule type="cellIs" dxfId="1482" priority="324" operator="lessThan">
      <formula>7.4</formula>
    </cfRule>
  </conditionalFormatting>
  <conditionalFormatting sqref="AX19">
    <cfRule type="cellIs" dxfId="1481" priority="322" operator="lessThan">
      <formula>6.9</formula>
    </cfRule>
  </conditionalFormatting>
  <conditionalFormatting sqref="AX23:AX37">
    <cfRule type="cellIs" dxfId="1480" priority="258" operator="lessThan">
      <formula>7.4</formula>
    </cfRule>
    <cfRule type="cellIs" dxfId="1479" priority="259" operator="lessThan">
      <formula>7.9</formula>
    </cfRule>
  </conditionalFormatting>
  <conditionalFormatting sqref="AX39:AX42">
    <cfRule type="cellIs" dxfId="1478" priority="260" operator="lessThan">
      <formula>7.4</formula>
    </cfRule>
    <cfRule type="cellIs" dxfId="1477" priority="261" operator="lessThan">
      <formula>7.9</formula>
    </cfRule>
  </conditionalFormatting>
  <conditionalFormatting sqref="AZ3:AZ22">
    <cfRule type="cellIs" dxfId="1476" priority="506" operator="lessThan">
      <formula>7.4</formula>
    </cfRule>
    <cfRule type="cellIs" dxfId="1475" priority="507" operator="lessThan">
      <formula>7.9</formula>
    </cfRule>
  </conditionalFormatting>
  <conditionalFormatting sqref="AZ3:AZ44">
    <cfRule type="cellIs" dxfId="1474" priority="468" operator="lessThan">
      <formula>6.9</formula>
    </cfRule>
  </conditionalFormatting>
  <conditionalFormatting sqref="AZ23:AZ44">
    <cfRule type="cellIs" dxfId="1473" priority="465" operator="lessThan">
      <formula>7.9</formula>
    </cfRule>
    <cfRule type="cellIs" dxfId="1472" priority="466" operator="lessThan">
      <formula>7.4</formula>
    </cfRule>
    <cfRule type="cellIs" dxfId="1471" priority="467" operator="lessThan">
      <formula>7.9</formula>
    </cfRule>
  </conditionalFormatting>
  <conditionalFormatting sqref="BA3:BA19 BA20:BB22 BA23:BA42 BA43:BB44">
    <cfRule type="cellIs" dxfId="1470" priority="686" operator="lessThan">
      <formula>7.4</formula>
    </cfRule>
  </conditionalFormatting>
  <conditionalFormatting sqref="BA3:BA19 BA22:BC22 BA23:BA42 BA43:BB44 BA20:BB21">
    <cfRule type="cellIs" dxfId="1469" priority="545" operator="lessThan">
      <formula>7.9</formula>
    </cfRule>
  </conditionalFormatting>
  <conditionalFormatting sqref="BA3:BA44">
    <cfRule type="cellIs" dxfId="1468" priority="790" operator="lessThan">
      <formula>6.9</formula>
    </cfRule>
    <cfRule type="cellIs" dxfId="1467" priority="791" operator="lessThan">
      <formula>7.9</formula>
    </cfRule>
    <cfRule type="cellIs" dxfId="1466" priority="792" operator="lessThan">
      <formula>7.4</formula>
    </cfRule>
    <cfRule type="cellIs" dxfId="1465" priority="793" operator="lessThan">
      <formula>6.9</formula>
    </cfRule>
    <cfRule type="cellIs" dxfId="1464" priority="794" operator="lessThan">
      <formula>7.9</formula>
    </cfRule>
    <cfRule type="cellIs" dxfId="1463" priority="795" operator="lessThan">
      <formula>6.9</formula>
    </cfRule>
    <cfRule type="cellIs" dxfId="1462" priority="797" operator="lessThan">
      <formula>7.4</formula>
    </cfRule>
    <cfRule type="cellIs" dxfId="1461" priority="798" operator="lessThan">
      <formula>7.9</formula>
    </cfRule>
  </conditionalFormatting>
  <conditionalFormatting sqref="BA23:BA42 BA43:BB44 BA3:BA19 BA22:BC22 BA20:BB21">
    <cfRule type="cellIs" dxfId="1460" priority="544" operator="lessThan">
      <formula>6.9</formula>
    </cfRule>
  </conditionalFormatting>
  <conditionalFormatting sqref="BA23:BA42 BA43:BB44">
    <cfRule type="cellIs" dxfId="1459" priority="543" operator="lessThan">
      <formula>7.9</formula>
    </cfRule>
  </conditionalFormatting>
  <conditionalFormatting sqref="BA22:BC22 BA3:BB21">
    <cfRule type="cellIs" dxfId="1458" priority="320" operator="lessThan">
      <formula>7.9</formula>
    </cfRule>
  </conditionalFormatting>
  <conditionalFormatting sqref="BB3:BB19">
    <cfRule type="cellIs" dxfId="1457" priority="321" operator="lessThan">
      <formula>7.4</formula>
    </cfRule>
  </conditionalFormatting>
  <conditionalFormatting sqref="BB23:BB37">
    <cfRule type="cellIs" dxfId="1456" priority="254" operator="lessThan">
      <formula>7.4</formula>
    </cfRule>
    <cfRule type="cellIs" dxfId="1455" priority="255" operator="lessThan">
      <formula>7.9</formula>
    </cfRule>
  </conditionalFormatting>
  <conditionalFormatting sqref="BB39:BB42">
    <cfRule type="cellIs" dxfId="1454" priority="256" operator="lessThan">
      <formula>7.4</formula>
    </cfRule>
    <cfRule type="cellIs" dxfId="1453" priority="257" operator="lessThan">
      <formula>7.9</formula>
    </cfRule>
  </conditionalFormatting>
  <conditionalFormatting sqref="BD3:BD44">
    <cfRule type="cellIs" dxfId="1452" priority="463" operator="lessThan">
      <formula>7.4</formula>
    </cfRule>
    <cfRule type="cellIs" dxfId="1451" priority="464" operator="lessThan">
      <formula>7.9</formula>
    </cfRule>
  </conditionalFormatting>
  <conditionalFormatting sqref="BD23:BD44">
    <cfRule type="cellIs" dxfId="1450" priority="462" operator="lessThan">
      <formula>7.9</formula>
    </cfRule>
  </conditionalFormatting>
  <conditionalFormatting sqref="BE3:BE19 BE20:BF22 BE23:BE42 BE43:BF44">
    <cfRule type="cellIs" dxfId="1449" priority="678" operator="lessThan">
      <formula>7.4</formula>
    </cfRule>
  </conditionalFormatting>
  <conditionalFormatting sqref="BE3:BE19 BE22:BG22 BE23:BE42 BE43:BF44 BE20:BF21">
    <cfRule type="cellIs" dxfId="1448" priority="541" operator="lessThan">
      <formula>7.9</formula>
    </cfRule>
  </conditionalFormatting>
  <conditionalFormatting sqref="BE3:BE44">
    <cfRule type="cellIs" dxfId="1447" priority="777" operator="lessThan">
      <formula>6.9</formula>
    </cfRule>
    <cfRule type="cellIs" dxfId="1446" priority="778" operator="lessThan">
      <formula>7.9</formula>
    </cfRule>
    <cfRule type="cellIs" dxfId="1445" priority="779" operator="lessThan">
      <formula>7.4</formula>
    </cfRule>
    <cfRule type="cellIs" dxfId="1444" priority="780" operator="lessThan">
      <formula>6.9</formula>
    </cfRule>
    <cfRule type="cellIs" dxfId="1443" priority="781" operator="lessThan">
      <formula>7.9</formula>
    </cfRule>
    <cfRule type="cellIs" dxfId="1442" priority="782" operator="lessThan">
      <formula>6.9</formula>
    </cfRule>
    <cfRule type="cellIs" dxfId="1441" priority="784" operator="lessThan">
      <formula>7.4</formula>
    </cfRule>
    <cfRule type="cellIs" dxfId="1440" priority="785" operator="lessThan">
      <formula>7.9</formula>
    </cfRule>
  </conditionalFormatting>
  <conditionalFormatting sqref="BE23:BE42 BE43:BF44 BE3:BE19 BE22:BG22 BE20:BF21">
    <cfRule type="cellIs" dxfId="1439" priority="540" operator="lessThan">
      <formula>6.9</formula>
    </cfRule>
  </conditionalFormatting>
  <conditionalFormatting sqref="BE23:BE42 BE43:BF44">
    <cfRule type="cellIs" dxfId="1438" priority="539" operator="lessThan">
      <formula>7.9</formula>
    </cfRule>
  </conditionalFormatting>
  <conditionalFormatting sqref="BE22:BG22 BE3:BF21">
    <cfRule type="cellIs" dxfId="1437" priority="318" operator="lessThan">
      <formula>7.9</formula>
    </cfRule>
  </conditionalFormatting>
  <conditionalFormatting sqref="BF3:BF19">
    <cfRule type="cellIs" dxfId="1436" priority="319" operator="lessThan">
      <formula>7.4</formula>
    </cfRule>
  </conditionalFormatting>
  <conditionalFormatting sqref="BF23:BF37">
    <cfRule type="cellIs" dxfId="1435" priority="250" operator="lessThan">
      <formula>7.4</formula>
    </cfRule>
    <cfRule type="cellIs" dxfId="1434" priority="251" operator="lessThan">
      <formula>7.9</formula>
    </cfRule>
  </conditionalFormatting>
  <conditionalFormatting sqref="BF39:BF42">
    <cfRule type="cellIs" dxfId="1433" priority="252" operator="lessThan">
      <formula>7.4</formula>
    </cfRule>
    <cfRule type="cellIs" dxfId="1432" priority="253" operator="lessThan">
      <formula>7.9</formula>
    </cfRule>
  </conditionalFormatting>
  <conditionalFormatting sqref="BH3:BH22">
    <cfRule type="cellIs" dxfId="1431" priority="501" operator="lessThan">
      <formula>7.4</formula>
    </cfRule>
    <cfRule type="cellIs" dxfId="1430" priority="502" operator="lessThan">
      <formula>7.9</formula>
    </cfRule>
  </conditionalFormatting>
  <conditionalFormatting sqref="BH3:BH44">
    <cfRule type="cellIs" dxfId="1429" priority="461" operator="lessThan">
      <formula>6.9</formula>
    </cfRule>
  </conditionalFormatting>
  <conditionalFormatting sqref="BH23:BH44">
    <cfRule type="cellIs" dxfId="1428" priority="458" operator="lessThan">
      <formula>7.9</formula>
    </cfRule>
    <cfRule type="cellIs" dxfId="1427" priority="459" operator="lessThan">
      <formula>7.4</formula>
    </cfRule>
    <cfRule type="cellIs" dxfId="1426" priority="460" operator="lessThan">
      <formula>7.9</formula>
    </cfRule>
  </conditionalFormatting>
  <conditionalFormatting sqref="BI3:BI44">
    <cfRule type="cellIs" dxfId="1425" priority="760" operator="lessThan">
      <formula>7.9</formula>
    </cfRule>
    <cfRule type="cellIs" dxfId="1424" priority="761" operator="lessThan">
      <formula>6.9</formula>
    </cfRule>
    <cfRule type="cellIs" dxfId="1423" priority="762" operator="lessThan">
      <formula>7.4</formula>
    </cfRule>
    <cfRule type="cellIs" dxfId="1422" priority="763" operator="lessThan">
      <formula>7.9</formula>
    </cfRule>
    <cfRule type="cellIs" dxfId="1421" priority="764" operator="lessThan">
      <formula>6.9</formula>
    </cfRule>
    <cfRule type="cellIs" dxfId="1420" priority="765" operator="lessThan">
      <formula>7.9</formula>
    </cfRule>
    <cfRule type="cellIs" dxfId="1419" priority="766" operator="lessThan">
      <formula>7.4</formula>
    </cfRule>
    <cfRule type="cellIs" dxfId="1418" priority="767" operator="lessThan">
      <formula>6.9</formula>
    </cfRule>
    <cfRule type="cellIs" dxfId="1417" priority="768" operator="lessThan">
      <formula>7.9</formula>
    </cfRule>
    <cfRule type="cellIs" dxfId="1416" priority="769" operator="lessThan">
      <formula>6.9</formula>
    </cfRule>
    <cfRule type="cellIs" dxfId="1415" priority="771" operator="lessThan">
      <formula>7.4</formula>
    </cfRule>
    <cfRule type="cellIs" dxfId="1414" priority="772" operator="lessThan">
      <formula>7.9</formula>
    </cfRule>
  </conditionalFormatting>
  <conditionalFormatting sqref="G21">
    <cfRule type="cellIs" dxfId="1413" priority="249" operator="lessThan">
      <formula>7.9</formula>
    </cfRule>
  </conditionalFormatting>
  <conditionalFormatting sqref="G21">
    <cfRule type="cellIs" dxfId="1412" priority="248" operator="lessThan">
      <formula>7.4</formula>
    </cfRule>
  </conditionalFormatting>
  <conditionalFormatting sqref="K21">
    <cfRule type="cellIs" dxfId="1411" priority="245" operator="lessThan">
      <formula>7.9</formula>
    </cfRule>
  </conditionalFormatting>
  <conditionalFormatting sqref="K21">
    <cfRule type="cellIs" dxfId="1410" priority="244" operator="lessThan">
      <formula>7.4</formula>
    </cfRule>
  </conditionalFormatting>
  <conditionalFormatting sqref="O21">
    <cfRule type="cellIs" dxfId="1409" priority="237" operator="lessThan">
      <formula>7.9</formula>
    </cfRule>
  </conditionalFormatting>
  <conditionalFormatting sqref="O21">
    <cfRule type="cellIs" dxfId="1408" priority="236" operator="lessThan">
      <formula>7.4</formula>
    </cfRule>
  </conditionalFormatting>
  <conditionalFormatting sqref="O21">
    <cfRule type="cellIs" dxfId="1407" priority="238" operator="equal">
      <formula>"f"</formula>
    </cfRule>
  </conditionalFormatting>
  <conditionalFormatting sqref="S21">
    <cfRule type="cellIs" dxfId="1406" priority="229" operator="lessThan">
      <formula>7.9</formula>
    </cfRule>
  </conditionalFormatting>
  <conditionalFormatting sqref="S21">
    <cfRule type="cellIs" dxfId="1405" priority="228" operator="lessThan">
      <formula>7.4</formula>
    </cfRule>
  </conditionalFormatting>
  <conditionalFormatting sqref="S21">
    <cfRule type="cellIs" dxfId="1404" priority="230" operator="equal">
      <formula>"f"</formula>
    </cfRule>
  </conditionalFormatting>
  <conditionalFormatting sqref="W21">
    <cfRule type="cellIs" dxfId="1403" priority="223" operator="lessThan">
      <formula>7.9</formula>
    </cfRule>
  </conditionalFormatting>
  <conditionalFormatting sqref="W21">
    <cfRule type="cellIs" dxfId="1402" priority="222" operator="lessThan">
      <formula>7.4</formula>
    </cfRule>
  </conditionalFormatting>
  <conditionalFormatting sqref="W21">
    <cfRule type="cellIs" dxfId="1401" priority="224" operator="equal">
      <formula>"f"</formula>
    </cfRule>
  </conditionalFormatting>
  <conditionalFormatting sqref="AA21">
    <cfRule type="cellIs" dxfId="1400" priority="217" operator="lessThan">
      <formula>7.9</formula>
    </cfRule>
  </conditionalFormatting>
  <conditionalFormatting sqref="AA21">
    <cfRule type="cellIs" dxfId="1399" priority="216" operator="lessThan">
      <formula>7.4</formula>
    </cfRule>
  </conditionalFormatting>
  <conditionalFormatting sqref="AA21">
    <cfRule type="cellIs" dxfId="1398" priority="218" operator="equal">
      <formula>"f"</formula>
    </cfRule>
  </conditionalFormatting>
  <conditionalFormatting sqref="AE21">
    <cfRule type="cellIs" dxfId="1397" priority="211" operator="lessThan">
      <formula>7.9</formula>
    </cfRule>
  </conditionalFormatting>
  <conditionalFormatting sqref="AE21">
    <cfRule type="cellIs" dxfId="1396" priority="210" operator="lessThan">
      <formula>7.4</formula>
    </cfRule>
  </conditionalFormatting>
  <conditionalFormatting sqref="AE21">
    <cfRule type="cellIs" dxfId="1395" priority="212" operator="equal">
      <formula>"f"</formula>
    </cfRule>
  </conditionalFormatting>
  <conditionalFormatting sqref="AI21">
    <cfRule type="cellIs" dxfId="1394" priority="205" operator="lessThan">
      <formula>7.9</formula>
    </cfRule>
  </conditionalFormatting>
  <conditionalFormatting sqref="AI21">
    <cfRule type="cellIs" dxfId="1393" priority="204" operator="lessThan">
      <formula>7.4</formula>
    </cfRule>
  </conditionalFormatting>
  <conditionalFormatting sqref="AI21">
    <cfRule type="cellIs" dxfId="1392" priority="206" operator="equal">
      <formula>"f"</formula>
    </cfRule>
  </conditionalFormatting>
  <conditionalFormatting sqref="AM21">
    <cfRule type="cellIs" dxfId="1391" priority="199" operator="lessThan">
      <formula>7.9</formula>
    </cfRule>
  </conditionalFormatting>
  <conditionalFormatting sqref="AM21">
    <cfRule type="cellIs" dxfId="1390" priority="198" operator="lessThan">
      <formula>7.4</formula>
    </cfRule>
  </conditionalFormatting>
  <conditionalFormatting sqref="AM21">
    <cfRule type="cellIs" dxfId="1389" priority="200" operator="equal">
      <formula>"f"</formula>
    </cfRule>
  </conditionalFormatting>
  <conditionalFormatting sqref="AQ21">
    <cfRule type="cellIs" dxfId="1388" priority="195" operator="lessThan">
      <formula>7.9</formula>
    </cfRule>
  </conditionalFormatting>
  <conditionalFormatting sqref="AQ21">
    <cfRule type="cellIs" dxfId="1387" priority="194" operator="lessThan">
      <formula>7.4</formula>
    </cfRule>
  </conditionalFormatting>
  <conditionalFormatting sqref="AU21">
    <cfRule type="cellIs" dxfId="1386" priority="188" operator="lessThan">
      <formula>7.9</formula>
    </cfRule>
  </conditionalFormatting>
  <conditionalFormatting sqref="AU21">
    <cfRule type="cellIs" dxfId="1385" priority="187" operator="lessThan">
      <formula>7.4</formula>
    </cfRule>
  </conditionalFormatting>
  <conditionalFormatting sqref="AY21">
    <cfRule type="cellIs" dxfId="1384" priority="181" operator="lessThan">
      <formula>7.9</formula>
    </cfRule>
  </conditionalFormatting>
  <conditionalFormatting sqref="AY21">
    <cfRule type="cellIs" dxfId="1383" priority="180" operator="lessThan">
      <formula>7.4</formula>
    </cfRule>
  </conditionalFormatting>
  <conditionalFormatting sqref="BC21">
    <cfRule type="cellIs" dxfId="1382" priority="179" operator="lessThan">
      <formula>7.9</formula>
    </cfRule>
  </conditionalFormatting>
  <conditionalFormatting sqref="BC21">
    <cfRule type="cellIs" dxfId="1381" priority="178" operator="lessThan">
      <formula>7.4</formula>
    </cfRule>
  </conditionalFormatting>
  <conditionalFormatting sqref="BG21">
    <cfRule type="cellIs" dxfId="1380" priority="175" operator="lessThan">
      <formula>7.9</formula>
    </cfRule>
  </conditionalFormatting>
  <conditionalFormatting sqref="BG21">
    <cfRule type="cellIs" dxfId="1379" priority="174" operator="lessThan">
      <formula>7.4</formula>
    </cfRule>
  </conditionalFormatting>
  <conditionalFormatting sqref="G3:G20">
    <cfRule type="cellIs" dxfId="1378" priority="170" operator="lessThan">
      <formula>7.4</formula>
    </cfRule>
  </conditionalFormatting>
  <conditionalFormatting sqref="G3:G20">
    <cfRule type="cellIs" dxfId="1377" priority="171" operator="lessThan">
      <formula>7.9</formula>
    </cfRule>
  </conditionalFormatting>
  <conditionalFormatting sqref="K3:K20">
    <cfRule type="cellIs" dxfId="1376" priority="168" operator="lessThan">
      <formula>7.4</formula>
    </cfRule>
  </conditionalFormatting>
  <conditionalFormatting sqref="K3:K20">
    <cfRule type="cellIs" dxfId="1375" priority="169" operator="lessThan">
      <formula>7.9</formula>
    </cfRule>
  </conditionalFormatting>
  <conditionalFormatting sqref="O3:O20">
    <cfRule type="cellIs" dxfId="1374" priority="163" operator="lessThan">
      <formula>7.4</formula>
    </cfRule>
  </conditionalFormatting>
  <conditionalFormatting sqref="O3:O20">
    <cfRule type="cellIs" dxfId="1373" priority="164" operator="lessThan">
      <formula>7.9</formula>
    </cfRule>
  </conditionalFormatting>
  <conditionalFormatting sqref="O3:O17">
    <cfRule type="cellIs" dxfId="1372" priority="165" operator="lessThan">
      <formula>7.4</formula>
    </cfRule>
    <cfRule type="cellIs" dxfId="1371" priority="167" operator="lessThan">
      <formula>7.9</formula>
    </cfRule>
  </conditionalFormatting>
  <conditionalFormatting sqref="O3:O20">
    <cfRule type="cellIs" dxfId="1370" priority="166" operator="equal">
      <formula>"f"</formula>
    </cfRule>
  </conditionalFormatting>
  <conditionalFormatting sqref="S3:S20">
    <cfRule type="cellIs" dxfId="1369" priority="158" operator="lessThan">
      <formula>7.4</formula>
    </cfRule>
  </conditionalFormatting>
  <conditionalFormatting sqref="S3:S20">
    <cfRule type="cellIs" dxfId="1368" priority="159" operator="lessThan">
      <formula>7.9</formula>
    </cfRule>
  </conditionalFormatting>
  <conditionalFormatting sqref="S3:S17">
    <cfRule type="cellIs" dxfId="1367" priority="160" operator="lessThan">
      <formula>7.4</formula>
    </cfRule>
    <cfRule type="cellIs" dxfId="1366" priority="162" operator="lessThan">
      <formula>7.9</formula>
    </cfRule>
  </conditionalFormatting>
  <conditionalFormatting sqref="S3:S20">
    <cfRule type="cellIs" dxfId="1365" priority="161" operator="equal">
      <formula>"f"</formula>
    </cfRule>
  </conditionalFormatting>
  <conditionalFormatting sqref="W3:W20">
    <cfRule type="cellIs" dxfId="1364" priority="154" operator="lessThan">
      <formula>7.4</formula>
    </cfRule>
  </conditionalFormatting>
  <conditionalFormatting sqref="W3:W20">
    <cfRule type="cellIs" dxfId="1363" priority="155" operator="lessThan">
      <formula>7.9</formula>
    </cfRule>
  </conditionalFormatting>
  <conditionalFormatting sqref="W20">
    <cfRule type="cellIs" dxfId="1362" priority="156" operator="equal">
      <formula>"f"</formula>
    </cfRule>
  </conditionalFormatting>
  <conditionalFormatting sqref="W18:W19">
    <cfRule type="cellIs" dxfId="1361" priority="157" operator="equal">
      <formula>"f"</formula>
    </cfRule>
  </conditionalFormatting>
  <conditionalFormatting sqref="AA3:AA20">
    <cfRule type="cellIs" dxfId="1360" priority="150" operator="lessThan">
      <formula>7.4</formula>
    </cfRule>
  </conditionalFormatting>
  <conditionalFormatting sqref="AA3:AA20">
    <cfRule type="cellIs" dxfId="1359" priority="151" operator="lessThan">
      <formula>7.9</formula>
    </cfRule>
  </conditionalFormatting>
  <conditionalFormatting sqref="AA20">
    <cfRule type="cellIs" dxfId="1358" priority="152" operator="equal">
      <formula>"f"</formula>
    </cfRule>
  </conditionalFormatting>
  <conditionalFormatting sqref="AA18:AA19">
    <cfRule type="cellIs" dxfId="1357" priority="153" operator="equal">
      <formula>"f"</formula>
    </cfRule>
  </conditionalFormatting>
  <conditionalFormatting sqref="AE3:AE20">
    <cfRule type="cellIs" dxfId="1356" priority="147" operator="lessThan">
      <formula>7.4</formula>
    </cfRule>
  </conditionalFormatting>
  <conditionalFormatting sqref="AE3:AE20">
    <cfRule type="cellIs" dxfId="1355" priority="148" operator="lessThan">
      <formula>7.9</formula>
    </cfRule>
  </conditionalFormatting>
  <conditionalFormatting sqref="AE3:AE20">
    <cfRule type="cellIs" dxfId="1354" priority="149" operator="equal">
      <formula>"f"</formula>
    </cfRule>
  </conditionalFormatting>
  <conditionalFormatting sqref="AI3:AI20">
    <cfRule type="cellIs" dxfId="1353" priority="144" operator="lessThan">
      <formula>7.4</formula>
    </cfRule>
  </conditionalFormatting>
  <conditionalFormatting sqref="AI3:AI20">
    <cfRule type="cellIs" dxfId="1352" priority="145" operator="lessThan">
      <formula>7.9</formula>
    </cfRule>
  </conditionalFormatting>
  <conditionalFormatting sqref="AI3:AI20">
    <cfRule type="cellIs" dxfId="1351" priority="146" operator="equal">
      <formula>"f"</formula>
    </cfRule>
  </conditionalFormatting>
  <conditionalFormatting sqref="AM3:AM20">
    <cfRule type="cellIs" dxfId="1350" priority="140" operator="lessThan">
      <formula>7.4</formula>
    </cfRule>
  </conditionalFormatting>
  <conditionalFormatting sqref="AM3:AM20">
    <cfRule type="cellIs" dxfId="1349" priority="141" operator="lessThan">
      <formula>7.9</formula>
    </cfRule>
  </conditionalFormatting>
  <conditionalFormatting sqref="AM20">
    <cfRule type="cellIs" dxfId="1348" priority="142" operator="equal">
      <formula>"f"</formula>
    </cfRule>
  </conditionalFormatting>
  <conditionalFormatting sqref="AM18:AM19">
    <cfRule type="cellIs" dxfId="1347" priority="143" operator="equal">
      <formula>"f"</formula>
    </cfRule>
  </conditionalFormatting>
  <conditionalFormatting sqref="AQ3:AQ20">
    <cfRule type="cellIs" dxfId="1346" priority="138" operator="lessThan">
      <formula>7.4</formula>
    </cfRule>
  </conditionalFormatting>
  <conditionalFormatting sqref="AQ3:AQ20">
    <cfRule type="cellIs" dxfId="1345" priority="139" operator="lessThan">
      <formula>7.9</formula>
    </cfRule>
  </conditionalFormatting>
  <conditionalFormatting sqref="AU20">
    <cfRule type="cellIs" dxfId="1344" priority="133" operator="lessThan">
      <formula>7.4</formula>
    </cfRule>
  </conditionalFormatting>
  <conditionalFormatting sqref="AU20">
    <cfRule type="cellIs" dxfId="1343" priority="134" operator="lessThan">
      <formula>7.9</formula>
    </cfRule>
  </conditionalFormatting>
  <conditionalFormatting sqref="AU3:AU19">
    <cfRule type="cellIs" dxfId="1342" priority="135" operator="lessThan">
      <formula>6.9</formula>
    </cfRule>
    <cfRule type="cellIs" dxfId="1341" priority="136" operator="lessThan">
      <formula>7.4</formula>
    </cfRule>
    <cfRule type="cellIs" dxfId="1340" priority="137" operator="lessThan">
      <formula>7.9</formula>
    </cfRule>
  </conditionalFormatting>
  <conditionalFormatting sqref="AY20">
    <cfRule type="cellIs" dxfId="1339" priority="126" operator="lessThan">
      <formula>7.4</formula>
    </cfRule>
  </conditionalFormatting>
  <conditionalFormatting sqref="AY20">
    <cfRule type="cellIs" dxfId="1338" priority="127" operator="lessThan">
      <formula>7.9</formula>
    </cfRule>
  </conditionalFormatting>
  <conditionalFormatting sqref="AY3:AY18">
    <cfRule type="cellIs" dxfId="1337" priority="128" operator="lessThan">
      <formula>7.4</formula>
    </cfRule>
    <cfRule type="cellIs" dxfId="1336" priority="129" operator="lessThan">
      <formula>7.9</formula>
    </cfRule>
  </conditionalFormatting>
  <conditionalFormatting sqref="AY19">
    <cfRule type="cellIs" dxfId="1335" priority="130" operator="lessThan">
      <formula>6.9</formula>
    </cfRule>
    <cfRule type="cellIs" dxfId="1334" priority="131" operator="lessThan">
      <formula>7.4</formula>
    </cfRule>
    <cfRule type="cellIs" dxfId="1333" priority="132" operator="lessThan">
      <formula>7.9</formula>
    </cfRule>
  </conditionalFormatting>
  <conditionalFormatting sqref="BC3:BC20">
    <cfRule type="cellIs" dxfId="1332" priority="124" operator="lessThan">
      <formula>7.4</formula>
    </cfRule>
  </conditionalFormatting>
  <conditionalFormatting sqref="BC3:BC20">
    <cfRule type="cellIs" dxfId="1331" priority="125" operator="lessThan">
      <formula>7.9</formula>
    </cfRule>
  </conditionalFormatting>
  <conditionalFormatting sqref="BG3:BG20">
    <cfRule type="cellIs" dxfId="1330" priority="122" operator="lessThan">
      <formula>7.4</formula>
    </cfRule>
  </conditionalFormatting>
  <conditionalFormatting sqref="BG3:BG20">
    <cfRule type="cellIs" dxfId="1329" priority="123" operator="lessThan">
      <formula>7.9</formula>
    </cfRule>
  </conditionalFormatting>
  <conditionalFormatting sqref="G23:G44">
    <cfRule type="cellIs" dxfId="1328" priority="118" operator="lessThan">
      <formula>7.9</formula>
    </cfRule>
    <cfRule type="cellIs" dxfId="1327" priority="119" operator="lessThan">
      <formula>7.4</formula>
    </cfRule>
  </conditionalFormatting>
  <conditionalFormatting sqref="G23:G41">
    <cfRule type="cellIs" dxfId="1326" priority="120" operator="lessThan">
      <formula>7.9</formula>
    </cfRule>
    <cfRule type="cellIs" dxfId="1325" priority="121" operator="lessThan">
      <formula>7.4</formula>
    </cfRule>
  </conditionalFormatting>
  <conditionalFormatting sqref="K23:K44">
    <cfRule type="cellIs" dxfId="1324" priority="112" operator="lessThan">
      <formula>7.9</formula>
    </cfRule>
    <cfRule type="cellIs" dxfId="1323" priority="113" operator="lessThan">
      <formula>7.4</formula>
    </cfRule>
  </conditionalFormatting>
  <conditionalFormatting sqref="K23:K41 K43">
    <cfRule type="cellIs" dxfId="1322" priority="114" stopIfTrue="1" operator="lessThan">
      <formula>7.9</formula>
    </cfRule>
    <cfRule type="cellIs" dxfId="1321" priority="115" stopIfTrue="1" operator="lessThan">
      <formula>7.4</formula>
    </cfRule>
    <cfRule type="cellIs" dxfId="1320" priority="116" operator="lessThan">
      <formula>7.9</formula>
    </cfRule>
    <cfRule type="cellIs" dxfId="1319" priority="117" operator="lessThan">
      <formula>7.4</formula>
    </cfRule>
  </conditionalFormatting>
  <conditionalFormatting sqref="O42 O44">
    <cfRule type="cellIs" dxfId="1318" priority="105" operator="lessThan">
      <formula>7.9</formula>
    </cfRule>
    <cfRule type="cellIs" dxfId="1317" priority="106" operator="lessThan">
      <formula>7.4</formula>
    </cfRule>
  </conditionalFormatting>
  <conditionalFormatting sqref="O41">
    <cfRule type="cellIs" dxfId="1316" priority="107" operator="lessThan">
      <formula>7.9</formula>
    </cfRule>
    <cfRule type="cellIs" dxfId="1315" priority="108" operator="lessThan">
      <formula>7.4</formula>
    </cfRule>
  </conditionalFormatting>
  <conditionalFormatting sqref="O23:O40 O43">
    <cfRule type="cellIs" dxfId="1314" priority="103" operator="lessThan">
      <formula>7.9</formula>
    </cfRule>
    <cfRule type="cellIs" dxfId="1313" priority="104" operator="lessThan">
      <formula>7.4</formula>
    </cfRule>
  </conditionalFormatting>
  <conditionalFormatting sqref="O41">
    <cfRule type="cellIs" dxfId="1312" priority="109" operator="equal">
      <formula>"f"</formula>
    </cfRule>
  </conditionalFormatting>
  <conditionalFormatting sqref="O41">
    <cfRule type="cellIs" dxfId="1311" priority="110" operator="lessThan">
      <formula>7.9</formula>
    </cfRule>
    <cfRule type="cellIs" dxfId="1310" priority="111" operator="lessThan">
      <formula>7.4</formula>
    </cfRule>
  </conditionalFormatting>
  <conditionalFormatting sqref="S42 S44">
    <cfRule type="cellIs" dxfId="1309" priority="96" operator="lessThan">
      <formula>7.9</formula>
    </cfRule>
    <cfRule type="cellIs" dxfId="1308" priority="97" operator="lessThan">
      <formula>7.4</formula>
    </cfRule>
  </conditionalFormatting>
  <conditionalFormatting sqref="S23:S40 S43">
    <cfRule type="cellIs" dxfId="1307" priority="94" operator="lessThan">
      <formula>7.9</formula>
    </cfRule>
    <cfRule type="cellIs" dxfId="1306" priority="95" operator="lessThan">
      <formula>7.4</formula>
    </cfRule>
  </conditionalFormatting>
  <conditionalFormatting sqref="S41">
    <cfRule type="cellIs" dxfId="1305" priority="98" operator="lessThan">
      <formula>7.9</formula>
    </cfRule>
    <cfRule type="cellIs" dxfId="1304" priority="99" operator="lessThan">
      <formula>7.4</formula>
    </cfRule>
  </conditionalFormatting>
  <conditionalFormatting sqref="S41">
    <cfRule type="cellIs" dxfId="1303" priority="100" operator="equal">
      <formula>"f"</formula>
    </cfRule>
  </conditionalFormatting>
  <conditionalFormatting sqref="S41">
    <cfRule type="cellIs" dxfId="1302" priority="101" operator="lessThan">
      <formula>7.9</formula>
    </cfRule>
    <cfRule type="cellIs" dxfId="1301" priority="102" operator="lessThan">
      <formula>7.4</formula>
    </cfRule>
  </conditionalFormatting>
  <conditionalFormatting sqref="W42 W44">
    <cfRule type="cellIs" dxfId="1300" priority="90" operator="lessThan">
      <formula>7.9</formula>
    </cfRule>
    <cfRule type="cellIs" dxfId="1299" priority="91" operator="lessThan">
      <formula>7.4</formula>
    </cfRule>
  </conditionalFormatting>
  <conditionalFormatting sqref="W23:W40 W43">
    <cfRule type="cellIs" dxfId="1298" priority="88" operator="lessThan">
      <formula>7.9</formula>
    </cfRule>
    <cfRule type="cellIs" dxfId="1297" priority="89" operator="lessThan">
      <formula>7.4</formula>
    </cfRule>
  </conditionalFormatting>
  <conditionalFormatting sqref="W41">
    <cfRule type="cellIs" dxfId="1296" priority="92" operator="lessThan">
      <formula>7.9</formula>
    </cfRule>
    <cfRule type="cellIs" dxfId="1295" priority="93" operator="lessThan">
      <formula>7.4</formula>
    </cfRule>
  </conditionalFormatting>
  <conditionalFormatting sqref="AA42 AA44">
    <cfRule type="cellIs" dxfId="1294" priority="84" operator="lessThan">
      <formula>7.9</formula>
    </cfRule>
    <cfRule type="cellIs" dxfId="1293" priority="85" operator="lessThan">
      <formula>7.4</formula>
    </cfRule>
  </conditionalFormatting>
  <conditionalFormatting sqref="AA23:AA40 AA43">
    <cfRule type="cellIs" dxfId="1292" priority="82" operator="lessThan">
      <formula>7.9</formula>
    </cfRule>
    <cfRule type="cellIs" dxfId="1291" priority="83" operator="lessThan">
      <formula>7.4</formula>
    </cfRule>
  </conditionalFormatting>
  <conditionalFormatting sqref="AA41">
    <cfRule type="cellIs" dxfId="1290" priority="86" operator="lessThan">
      <formula>7.9</formula>
    </cfRule>
    <cfRule type="cellIs" dxfId="1289" priority="87" operator="lessThan">
      <formula>7.4</formula>
    </cfRule>
  </conditionalFormatting>
  <conditionalFormatting sqref="AE42 AE44">
    <cfRule type="cellIs" dxfId="1288" priority="77" operator="lessThan">
      <formula>7.9</formula>
    </cfRule>
    <cfRule type="cellIs" dxfId="1287" priority="78" operator="lessThan">
      <formula>7.4</formula>
    </cfRule>
  </conditionalFormatting>
  <conditionalFormatting sqref="AE23:AE40 AE43">
    <cfRule type="cellIs" dxfId="1286" priority="75" operator="lessThan">
      <formula>7.9</formula>
    </cfRule>
    <cfRule type="cellIs" dxfId="1285" priority="76" operator="lessThan">
      <formula>7.4</formula>
    </cfRule>
  </conditionalFormatting>
  <conditionalFormatting sqref="AE41">
    <cfRule type="cellIs" dxfId="1284" priority="79" operator="lessThan">
      <formula>7.9</formula>
    </cfRule>
    <cfRule type="cellIs" dxfId="1283" priority="80" operator="lessThan">
      <formula>7.4</formula>
    </cfRule>
  </conditionalFormatting>
  <conditionalFormatting sqref="AE41">
    <cfRule type="cellIs" dxfId="1282" priority="81" operator="equal">
      <formula>"f"</formula>
    </cfRule>
  </conditionalFormatting>
  <conditionalFormatting sqref="AI42 AI44">
    <cfRule type="cellIs" dxfId="1281" priority="70" operator="lessThan">
      <formula>7.9</formula>
    </cfRule>
    <cfRule type="cellIs" dxfId="1280" priority="71" operator="lessThan">
      <formula>7.4</formula>
    </cfRule>
  </conditionalFormatting>
  <conditionalFormatting sqref="AI23:AI40 AI43">
    <cfRule type="cellIs" dxfId="1279" priority="68" operator="lessThan">
      <formula>7.9</formula>
    </cfRule>
    <cfRule type="cellIs" dxfId="1278" priority="69" operator="lessThan">
      <formula>7.4</formula>
    </cfRule>
  </conditionalFormatting>
  <conditionalFormatting sqref="AI41">
    <cfRule type="cellIs" dxfId="1277" priority="74" operator="equal">
      <formula>"f"</formula>
    </cfRule>
  </conditionalFormatting>
  <conditionalFormatting sqref="AI41">
    <cfRule type="cellIs" dxfId="1276" priority="72" operator="lessThan">
      <formula>7.4</formula>
    </cfRule>
    <cfRule type="cellIs" dxfId="1275" priority="73" operator="lessThan">
      <formula>7.9</formula>
    </cfRule>
  </conditionalFormatting>
  <conditionalFormatting sqref="AM42 AM44">
    <cfRule type="cellIs" dxfId="1274" priority="64" operator="lessThan">
      <formula>7.9</formula>
    </cfRule>
    <cfRule type="cellIs" dxfId="1273" priority="65" operator="lessThan">
      <formula>7.4</formula>
    </cfRule>
  </conditionalFormatting>
  <conditionalFormatting sqref="AM23:AM40 AM43">
    <cfRule type="cellIs" dxfId="1272" priority="62" operator="lessThan">
      <formula>7.9</formula>
    </cfRule>
    <cfRule type="cellIs" dxfId="1271" priority="63" operator="lessThan">
      <formula>7.4</formula>
    </cfRule>
  </conditionalFormatting>
  <conditionalFormatting sqref="AM41">
    <cfRule type="cellIs" dxfId="1270" priority="66" operator="lessThan">
      <formula>7.4</formula>
    </cfRule>
    <cfRule type="cellIs" dxfId="1269" priority="67" operator="lessThan">
      <formula>7.9</formula>
    </cfRule>
  </conditionalFormatting>
  <conditionalFormatting sqref="AQ42 AQ44">
    <cfRule type="cellIs" dxfId="1268" priority="58" operator="lessThan">
      <formula>7.9</formula>
    </cfRule>
    <cfRule type="cellIs" dxfId="1267" priority="59" operator="lessThan">
      <formula>7.4</formula>
    </cfRule>
  </conditionalFormatting>
  <conditionalFormatting sqref="AQ23:AQ40">
    <cfRule type="cellIs" dxfId="1266" priority="56" operator="lessThan">
      <formula>7.9</formula>
    </cfRule>
    <cfRule type="cellIs" dxfId="1265" priority="57" operator="lessThan">
      <formula>7.4</formula>
    </cfRule>
  </conditionalFormatting>
  <conditionalFormatting sqref="AQ41">
    <cfRule type="cellIs" dxfId="1264" priority="60" operator="lessThan">
      <formula>7.4</formula>
    </cfRule>
    <cfRule type="cellIs" dxfId="1263" priority="61" operator="lessThan">
      <formula>7.9</formula>
    </cfRule>
  </conditionalFormatting>
  <conditionalFormatting sqref="AU42 AU44">
    <cfRule type="cellIs" dxfId="1262" priority="51" operator="lessThan">
      <formula>7.9</formula>
    </cfRule>
    <cfRule type="cellIs" dxfId="1261" priority="52" operator="lessThan">
      <formula>7.4</formula>
    </cfRule>
  </conditionalFormatting>
  <conditionalFormatting sqref="AU23:AU41">
    <cfRule type="cellIs" dxfId="1260" priority="53" operator="lessThan">
      <formula>6.9</formula>
    </cfRule>
    <cfRule type="cellIs" dxfId="1259" priority="54" operator="lessThan">
      <formula>7.4</formula>
    </cfRule>
    <cfRule type="cellIs" dxfId="1258" priority="55" operator="lessThan">
      <formula>7.9</formula>
    </cfRule>
  </conditionalFormatting>
  <conditionalFormatting sqref="AY42 AY44">
    <cfRule type="cellIs" dxfId="1257" priority="49" operator="lessThan">
      <formula>7.9</formula>
    </cfRule>
    <cfRule type="cellIs" dxfId="1256" priority="50" operator="lessThan">
      <formula>7.4</formula>
    </cfRule>
  </conditionalFormatting>
  <conditionalFormatting sqref="AY23:AY41 AY43">
    <cfRule type="cellIs" dxfId="1255" priority="47" operator="lessThan">
      <formula>7.9</formula>
    </cfRule>
    <cfRule type="cellIs" dxfId="1254" priority="48" operator="lessThan">
      <formula>7.4</formula>
    </cfRule>
  </conditionalFormatting>
  <conditionalFormatting sqref="BC42 BC44">
    <cfRule type="cellIs" dxfId="1253" priority="45" operator="lessThan">
      <formula>7.9</formula>
    </cfRule>
    <cfRule type="cellIs" dxfId="1252" priority="46" operator="lessThan">
      <formula>7.4</formula>
    </cfRule>
  </conditionalFormatting>
  <conditionalFormatting sqref="BC23:BC41">
    <cfRule type="cellIs" dxfId="1251" priority="43" operator="lessThan">
      <formula>7.9</formula>
    </cfRule>
    <cfRule type="cellIs" dxfId="1250" priority="44" operator="lessThan">
      <formula>7.4</formula>
    </cfRule>
  </conditionalFormatting>
  <conditionalFormatting sqref="BG42 BG44">
    <cfRule type="cellIs" dxfId="1249" priority="41" operator="lessThan">
      <formula>7.9</formula>
    </cfRule>
    <cfRule type="cellIs" dxfId="1248" priority="42" operator="lessThan">
      <formula>7.4</formula>
    </cfRule>
  </conditionalFormatting>
  <conditionalFormatting sqref="BG23:BG41 BG43">
    <cfRule type="cellIs" dxfId="1247" priority="39" operator="lessThan">
      <formula>7.9</formula>
    </cfRule>
    <cfRule type="cellIs" dxfId="1246" priority="40" operator="lessThan">
      <formula>7.4</formula>
    </cfRule>
  </conditionalFormatting>
  <conditionalFormatting sqref="J38">
    <cfRule type="cellIs" dxfId="1245" priority="37" operator="lessThan">
      <formula>7.9</formula>
    </cfRule>
    <cfRule type="cellIs" dxfId="1244" priority="38" operator="lessThan">
      <formula>7.4</formula>
    </cfRule>
  </conditionalFormatting>
  <conditionalFormatting sqref="N38">
    <cfRule type="cellIs" dxfId="1243" priority="35" operator="lessThan">
      <formula>7.9</formula>
    </cfRule>
    <cfRule type="cellIs" dxfId="1242" priority="36" operator="lessThan">
      <formula>7.4</formula>
    </cfRule>
  </conditionalFormatting>
  <conditionalFormatting sqref="R38">
    <cfRule type="cellIs" dxfId="1241" priority="33" operator="lessThan">
      <formula>7.9</formula>
    </cfRule>
    <cfRule type="cellIs" dxfId="1240" priority="34" operator="lessThan">
      <formula>7.4</formula>
    </cfRule>
  </conditionalFormatting>
  <conditionalFormatting sqref="V38">
    <cfRule type="cellIs" dxfId="1239" priority="31" operator="lessThan">
      <formula>7.9</formula>
    </cfRule>
    <cfRule type="cellIs" dxfId="1238" priority="32" operator="lessThan">
      <formula>7.4</formula>
    </cfRule>
  </conditionalFormatting>
  <conditionalFormatting sqref="Z38">
    <cfRule type="cellIs" dxfId="1237" priority="29" operator="lessThan">
      <formula>7.9</formula>
    </cfRule>
    <cfRule type="cellIs" dxfId="1236" priority="30" operator="lessThan">
      <formula>7.4</formula>
    </cfRule>
  </conditionalFormatting>
  <conditionalFormatting sqref="AD38">
    <cfRule type="cellIs" dxfId="1235" priority="27" operator="lessThan">
      <formula>7.9</formula>
    </cfRule>
    <cfRule type="cellIs" dxfId="1234" priority="28" operator="lessThan">
      <formula>7.4</formula>
    </cfRule>
  </conditionalFormatting>
  <conditionalFormatting sqref="AH38">
    <cfRule type="cellIs" dxfId="1233" priority="25" operator="lessThan">
      <formula>7.9</formula>
    </cfRule>
    <cfRule type="cellIs" dxfId="1232" priority="26" operator="lessThan">
      <formula>7.4</formula>
    </cfRule>
  </conditionalFormatting>
  <conditionalFormatting sqref="AL38">
    <cfRule type="cellIs" dxfId="1231" priority="23" operator="lessThan">
      <formula>7.9</formula>
    </cfRule>
    <cfRule type="cellIs" dxfId="1230" priority="24" operator="lessThan">
      <formula>7.4</formula>
    </cfRule>
  </conditionalFormatting>
  <conditionalFormatting sqref="AP38">
    <cfRule type="cellIs" dxfId="1229" priority="21" operator="lessThan">
      <formula>7.9</formula>
    </cfRule>
    <cfRule type="cellIs" dxfId="1228" priority="22" operator="lessThan">
      <formula>7.4</formula>
    </cfRule>
  </conditionalFormatting>
  <conditionalFormatting sqref="AT38">
    <cfRule type="cellIs" dxfId="1227" priority="19" operator="lessThan">
      <formula>7.9</formula>
    </cfRule>
    <cfRule type="cellIs" dxfId="1226" priority="20" operator="lessThan">
      <formula>7.4</formula>
    </cfRule>
  </conditionalFormatting>
  <conditionalFormatting sqref="AX38">
    <cfRule type="cellIs" dxfId="1225" priority="17" operator="lessThan">
      <formula>7.9</formula>
    </cfRule>
    <cfRule type="cellIs" dxfId="1224" priority="18" operator="lessThan">
      <formula>7.4</formula>
    </cfRule>
  </conditionalFormatting>
  <conditionalFormatting sqref="BB38">
    <cfRule type="cellIs" dxfId="1223" priority="15" operator="lessThan">
      <formula>7.9</formula>
    </cfRule>
    <cfRule type="cellIs" dxfId="1222" priority="16" operator="lessThan">
      <formula>7.4</formula>
    </cfRule>
  </conditionalFormatting>
  <conditionalFormatting sqref="BF38">
    <cfRule type="cellIs" dxfId="1221" priority="13" operator="lessThan">
      <formula>7.9</formula>
    </cfRule>
    <cfRule type="cellIs" dxfId="1220" priority="14" operator="lessThan">
      <formula>7.4</formula>
    </cfRule>
  </conditionalFormatting>
  <conditionalFormatting sqref="BC43">
    <cfRule type="cellIs" dxfId="1219" priority="12" operator="lessThan">
      <formula>7.4</formula>
    </cfRule>
  </conditionalFormatting>
  <conditionalFormatting sqref="BC43">
    <cfRule type="cellIs" dxfId="1218" priority="11" operator="lessThan">
      <formula>7.9</formula>
    </cfRule>
  </conditionalFormatting>
  <conditionalFormatting sqref="BC43">
    <cfRule type="cellIs" dxfId="1217" priority="10" operator="lessThan">
      <formula>6.9</formula>
    </cfRule>
  </conditionalFormatting>
  <conditionalFormatting sqref="BC43">
    <cfRule type="cellIs" dxfId="1216" priority="9" operator="lessThan">
      <formula>7.9</formula>
    </cfRule>
  </conditionalFormatting>
  <conditionalFormatting sqref="AU43">
    <cfRule type="cellIs" dxfId="1215" priority="8" operator="lessThan">
      <formula>7.4</formula>
    </cfRule>
  </conditionalFormatting>
  <conditionalFormatting sqref="AU43">
    <cfRule type="cellIs" dxfId="1214" priority="7" operator="lessThan">
      <formula>7.9</formula>
    </cfRule>
  </conditionalFormatting>
  <conditionalFormatting sqref="AU43">
    <cfRule type="cellIs" dxfId="1213" priority="6" operator="lessThan">
      <formula>6.9</formula>
    </cfRule>
  </conditionalFormatting>
  <conditionalFormatting sqref="AU43">
    <cfRule type="cellIs" dxfId="1212" priority="5" operator="lessThan">
      <formula>7.9</formula>
    </cfRule>
  </conditionalFormatting>
  <conditionalFormatting sqref="AQ43">
    <cfRule type="cellIs" dxfId="1211" priority="4" operator="lessThan">
      <formula>7.4</formula>
    </cfRule>
  </conditionalFormatting>
  <conditionalFormatting sqref="AQ43">
    <cfRule type="cellIs" dxfId="1210" priority="3" operator="lessThan">
      <formula>7.9</formula>
    </cfRule>
  </conditionalFormatting>
  <conditionalFormatting sqref="AQ43">
    <cfRule type="cellIs" dxfId="1209" priority="2" operator="lessThan">
      <formula>6.9</formula>
    </cfRule>
  </conditionalFormatting>
  <conditionalFormatting sqref="AQ43">
    <cfRule type="cellIs" dxfId="1208" priority="1" operator="lessThan">
      <formula>7.9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J46"/>
  <sheetViews>
    <sheetView zoomScale="80" zoomScaleNormal="80" workbookViewId="0">
      <selection activeCell="BB49" sqref="BB49"/>
    </sheetView>
  </sheetViews>
  <sheetFormatPr baseColWidth="10" defaultColWidth="12.5703125" defaultRowHeight="15.75" customHeight="1" x14ac:dyDescent="0.2"/>
  <cols>
    <col min="1" max="1" width="13.42578125" bestFit="1" customWidth="1"/>
    <col min="2" max="2" width="74" bestFit="1" customWidth="1"/>
    <col min="3" max="3" width="11.5703125" bestFit="1" customWidth="1"/>
    <col min="4" max="5" width="12" bestFit="1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6" max="26" width="7.28515625" bestFit="1" customWidth="1"/>
    <col min="27" max="27" width="7.5703125" bestFit="1" customWidth="1"/>
    <col min="28" max="28" width="7.5703125" customWidth="1"/>
    <col min="29" max="29" width="5.5703125" bestFit="1" customWidth="1"/>
    <col min="30" max="30" width="7.28515625" bestFit="1" customWidth="1"/>
    <col min="31" max="31" width="7.5703125" bestFit="1" customWidth="1"/>
    <col min="32" max="32" width="7.5703125" customWidth="1"/>
    <col min="33" max="33" width="5.5703125" bestFit="1" customWidth="1"/>
    <col min="34" max="34" width="7.28515625" bestFit="1" customWidth="1"/>
    <col min="35" max="35" width="7.5703125" bestFit="1" customWidth="1"/>
    <col min="36" max="36" width="7.5703125" customWidth="1"/>
    <col min="37" max="37" width="5.5703125" bestFit="1" customWidth="1"/>
    <col min="38" max="38" width="7.28515625" bestFit="1" customWidth="1"/>
    <col min="39" max="39" width="7.5703125" bestFit="1" customWidth="1"/>
    <col min="40" max="40" width="7.5703125" customWidth="1"/>
    <col min="41" max="41" width="5.5703125" bestFit="1" customWidth="1"/>
    <col min="42" max="42" width="7.28515625" bestFit="1" customWidth="1"/>
    <col min="43" max="43" width="7.5703125" bestFit="1" customWidth="1"/>
    <col min="44" max="44" width="7.5703125" customWidth="1"/>
    <col min="45" max="45" width="5.5703125" bestFit="1" customWidth="1"/>
    <col min="46" max="46" width="7.28515625" bestFit="1" customWidth="1"/>
    <col min="47" max="47" width="7.5703125" bestFit="1" customWidth="1"/>
    <col min="48" max="48" width="7.5703125" customWidth="1"/>
    <col min="49" max="49" width="5.5703125" bestFit="1" customWidth="1"/>
    <col min="50" max="50" width="7.28515625" bestFit="1" customWidth="1"/>
    <col min="51" max="51" width="7.5703125" bestFit="1" customWidth="1"/>
    <col min="52" max="52" width="7.5703125" customWidth="1"/>
    <col min="53" max="53" width="5.5703125" bestFit="1" customWidth="1"/>
    <col min="54" max="54" width="7.28515625" bestFit="1" customWidth="1"/>
    <col min="55" max="55" width="7.5703125" bestFit="1" customWidth="1"/>
    <col min="56" max="56" width="7.5703125" customWidth="1"/>
    <col min="57" max="57" width="5.5703125" bestFit="1" customWidth="1"/>
    <col min="58" max="58" width="7.28515625" bestFit="1" customWidth="1"/>
    <col min="59" max="59" width="7.5703125" bestFit="1" customWidth="1"/>
    <col min="60" max="60" width="7.5703125" customWidth="1"/>
    <col min="61" max="61" width="5.5703125" bestFit="1" customWidth="1"/>
  </cols>
  <sheetData>
    <row r="1" spans="1:62" ht="44.25" customHeight="1" x14ac:dyDescent="0.2">
      <c r="A1" s="1"/>
      <c r="B1" s="1"/>
      <c r="C1" s="47"/>
      <c r="D1" s="47"/>
      <c r="E1" s="47"/>
      <c r="F1" s="194" t="s">
        <v>870</v>
      </c>
      <c r="G1" s="195"/>
      <c r="H1" s="195"/>
      <c r="I1" s="196"/>
      <c r="J1" s="194" t="s">
        <v>893</v>
      </c>
      <c r="K1" s="195"/>
      <c r="L1" s="195"/>
      <c r="M1" s="196"/>
      <c r="N1" s="194" t="s">
        <v>139</v>
      </c>
      <c r="O1" s="195"/>
      <c r="P1" s="195"/>
      <c r="Q1" s="196"/>
      <c r="R1" s="194" t="s">
        <v>887</v>
      </c>
      <c r="S1" s="195"/>
      <c r="T1" s="195"/>
      <c r="U1" s="196"/>
      <c r="V1" s="194" t="s">
        <v>138</v>
      </c>
      <c r="W1" s="195"/>
      <c r="X1" s="195"/>
      <c r="Y1" s="196"/>
      <c r="Z1" s="194" t="s">
        <v>865</v>
      </c>
      <c r="AA1" s="195"/>
      <c r="AB1" s="195"/>
      <c r="AC1" s="196"/>
      <c r="AD1" s="194" t="s">
        <v>888</v>
      </c>
      <c r="AE1" s="195"/>
      <c r="AF1" s="195"/>
      <c r="AG1" s="196"/>
      <c r="AH1" s="194" t="s">
        <v>889</v>
      </c>
      <c r="AI1" s="195"/>
      <c r="AJ1" s="195"/>
      <c r="AK1" s="196"/>
      <c r="AL1" s="194" t="s">
        <v>543</v>
      </c>
      <c r="AM1" s="195"/>
      <c r="AN1" s="195"/>
      <c r="AO1" s="196"/>
      <c r="AP1" s="194" t="s">
        <v>871</v>
      </c>
      <c r="AQ1" s="195"/>
      <c r="AR1" s="195"/>
      <c r="AS1" s="196"/>
      <c r="AT1" s="194" t="s">
        <v>544</v>
      </c>
      <c r="AU1" s="195"/>
      <c r="AV1" s="195"/>
      <c r="AW1" s="196"/>
      <c r="AX1" s="194" t="s">
        <v>0</v>
      </c>
      <c r="AY1" s="195"/>
      <c r="AZ1" s="195"/>
      <c r="BA1" s="196"/>
      <c r="BB1" s="194" t="s">
        <v>873</v>
      </c>
      <c r="BC1" s="195"/>
      <c r="BD1" s="195"/>
      <c r="BE1" s="196"/>
      <c r="BF1" s="194" t="s">
        <v>874</v>
      </c>
      <c r="BG1" s="195"/>
      <c r="BH1" s="195"/>
      <c r="BI1" s="196"/>
      <c r="BJ1" s="71" t="s">
        <v>2</v>
      </c>
    </row>
    <row r="2" spans="1:62" x14ac:dyDescent="0.2">
      <c r="A2" s="1" t="s">
        <v>3</v>
      </c>
      <c r="B2" s="1" t="s">
        <v>4</v>
      </c>
      <c r="C2" s="75" t="s">
        <v>877</v>
      </c>
      <c r="D2" s="75" t="s">
        <v>878</v>
      </c>
      <c r="E2" s="75" t="s">
        <v>879</v>
      </c>
      <c r="F2" s="75" t="s">
        <v>8</v>
      </c>
      <c r="G2" s="75" t="s">
        <v>9</v>
      </c>
      <c r="H2" s="75" t="s">
        <v>10</v>
      </c>
      <c r="I2" s="68" t="s">
        <v>11</v>
      </c>
      <c r="J2" s="75" t="s">
        <v>8</v>
      </c>
      <c r="K2" s="75" t="s">
        <v>9</v>
      </c>
      <c r="L2" s="75" t="s">
        <v>10</v>
      </c>
      <c r="M2" s="68" t="s">
        <v>11</v>
      </c>
      <c r="N2" s="75" t="s">
        <v>8</v>
      </c>
      <c r="O2" s="75" t="s">
        <v>9</v>
      </c>
      <c r="P2" s="75" t="s">
        <v>10</v>
      </c>
      <c r="Q2" s="68" t="s">
        <v>11</v>
      </c>
      <c r="R2" s="75" t="s">
        <v>8</v>
      </c>
      <c r="S2" s="75" t="s">
        <v>9</v>
      </c>
      <c r="T2" s="75" t="s">
        <v>10</v>
      </c>
      <c r="U2" s="68" t="s">
        <v>11</v>
      </c>
      <c r="V2" s="75" t="s">
        <v>8</v>
      </c>
      <c r="W2" s="75" t="s">
        <v>9</v>
      </c>
      <c r="X2" s="75" t="s">
        <v>10</v>
      </c>
      <c r="Y2" s="68" t="s">
        <v>11</v>
      </c>
      <c r="Z2" s="75" t="s">
        <v>8</v>
      </c>
      <c r="AA2" s="75" t="s">
        <v>9</v>
      </c>
      <c r="AB2" s="75" t="s">
        <v>10</v>
      </c>
      <c r="AC2" s="68" t="s">
        <v>11</v>
      </c>
      <c r="AD2" s="75" t="s">
        <v>8</v>
      </c>
      <c r="AE2" s="75" t="s">
        <v>9</v>
      </c>
      <c r="AF2" s="75" t="s">
        <v>10</v>
      </c>
      <c r="AG2" s="68" t="s">
        <v>11</v>
      </c>
      <c r="AH2" s="75" t="s">
        <v>8</v>
      </c>
      <c r="AI2" s="75" t="s">
        <v>9</v>
      </c>
      <c r="AJ2" s="75" t="s">
        <v>10</v>
      </c>
      <c r="AK2" s="68" t="s">
        <v>11</v>
      </c>
      <c r="AL2" s="75" t="s">
        <v>8</v>
      </c>
      <c r="AM2" s="75" t="s">
        <v>9</v>
      </c>
      <c r="AN2" s="75" t="s">
        <v>10</v>
      </c>
      <c r="AO2" s="68" t="s">
        <v>11</v>
      </c>
      <c r="AP2" s="75" t="s">
        <v>8</v>
      </c>
      <c r="AQ2" s="75" t="s">
        <v>9</v>
      </c>
      <c r="AR2" s="75" t="s">
        <v>10</v>
      </c>
      <c r="AS2" s="68" t="s">
        <v>11</v>
      </c>
      <c r="AT2" s="75" t="s">
        <v>8</v>
      </c>
      <c r="AU2" s="75" t="s">
        <v>9</v>
      </c>
      <c r="AV2" s="75" t="s">
        <v>10</v>
      </c>
      <c r="AW2" s="68" t="s">
        <v>11</v>
      </c>
      <c r="AX2" s="75" t="s">
        <v>8</v>
      </c>
      <c r="AY2" s="75" t="s">
        <v>9</v>
      </c>
      <c r="AZ2" s="75" t="s">
        <v>10</v>
      </c>
      <c r="BA2" s="68" t="s">
        <v>11</v>
      </c>
      <c r="BB2" s="75" t="s">
        <v>8</v>
      </c>
      <c r="BC2" s="75" t="s">
        <v>9</v>
      </c>
      <c r="BD2" s="75" t="s">
        <v>10</v>
      </c>
      <c r="BE2" s="68" t="s">
        <v>11</v>
      </c>
      <c r="BF2" s="75" t="s">
        <v>8</v>
      </c>
      <c r="BG2" s="75" t="s">
        <v>9</v>
      </c>
      <c r="BH2" s="75" t="s">
        <v>10</v>
      </c>
      <c r="BI2" s="68" t="s">
        <v>11</v>
      </c>
      <c r="BJ2" s="71" t="s">
        <v>12</v>
      </c>
    </row>
    <row r="3" spans="1:62" x14ac:dyDescent="0.25">
      <c r="A3" s="1" t="s">
        <v>725</v>
      </c>
      <c r="B3" s="5" t="s">
        <v>726</v>
      </c>
      <c r="C3" s="24" t="s">
        <v>15</v>
      </c>
      <c r="D3" s="50">
        <v>3</v>
      </c>
      <c r="E3" s="50" t="s">
        <v>16</v>
      </c>
      <c r="F3" s="169">
        <v>10</v>
      </c>
      <c r="G3" s="216">
        <v>8</v>
      </c>
      <c r="H3" s="39">
        <v>10</v>
      </c>
      <c r="I3" s="84">
        <f>AVERAGE(F3:H3)</f>
        <v>9.3333333333333339</v>
      </c>
      <c r="J3" s="130">
        <v>10</v>
      </c>
      <c r="K3" s="14">
        <v>10</v>
      </c>
      <c r="L3" s="39">
        <v>10</v>
      </c>
      <c r="M3" s="84">
        <f>AVERAGE(J3:L3)</f>
        <v>10</v>
      </c>
      <c r="N3" s="131">
        <v>10</v>
      </c>
      <c r="O3" s="18">
        <v>10</v>
      </c>
      <c r="P3" s="92">
        <v>10</v>
      </c>
      <c r="Q3" s="84">
        <f>AVERAGE(N3:P3)</f>
        <v>10</v>
      </c>
      <c r="R3" s="131">
        <v>10</v>
      </c>
      <c r="S3" s="18">
        <v>10</v>
      </c>
      <c r="T3" s="93">
        <v>9.8000000000000007</v>
      </c>
      <c r="U3" s="84">
        <f>AVERAGE(R3:T3)</f>
        <v>9.9333333333333336</v>
      </c>
      <c r="V3" s="131">
        <v>10</v>
      </c>
      <c r="W3" s="18">
        <v>9</v>
      </c>
      <c r="X3" s="39">
        <v>9</v>
      </c>
      <c r="Y3" s="84">
        <f>AVERAGE(V3:X3)</f>
        <v>9.3333333333333339</v>
      </c>
      <c r="Z3" s="131">
        <v>10</v>
      </c>
      <c r="AA3" s="18">
        <v>10</v>
      </c>
      <c r="AB3" s="92">
        <v>10</v>
      </c>
      <c r="AC3" s="84">
        <f>AVERAGE(Z3:AB3)</f>
        <v>10</v>
      </c>
      <c r="AD3" s="131">
        <v>10</v>
      </c>
      <c r="AE3" s="18">
        <v>10</v>
      </c>
      <c r="AF3" s="39">
        <v>10</v>
      </c>
      <c r="AG3" s="84">
        <f>AVERAGE(AD3:AF3)</f>
        <v>10</v>
      </c>
      <c r="AH3" s="131">
        <v>10</v>
      </c>
      <c r="AI3" s="18">
        <v>10</v>
      </c>
      <c r="AJ3" s="39">
        <v>10</v>
      </c>
      <c r="AK3" s="84">
        <f>AVERAGE(AH3:AJ3)</f>
        <v>10</v>
      </c>
      <c r="AL3" s="131">
        <v>10</v>
      </c>
      <c r="AM3" s="18">
        <v>10</v>
      </c>
      <c r="AN3" s="39">
        <v>10</v>
      </c>
      <c r="AO3" s="84">
        <f>AVERAGE(AL3:AN3)</f>
        <v>10</v>
      </c>
      <c r="AP3" s="142">
        <v>10</v>
      </c>
      <c r="AQ3" s="18">
        <v>9</v>
      </c>
      <c r="AR3" s="39">
        <v>10</v>
      </c>
      <c r="AS3" s="84">
        <f>AVERAGE(AP3:AR3)</f>
        <v>9.6666666666666661</v>
      </c>
      <c r="AT3" s="143">
        <v>10</v>
      </c>
      <c r="AU3" s="18">
        <v>9</v>
      </c>
      <c r="AV3" s="39">
        <v>10</v>
      </c>
      <c r="AW3" s="84">
        <f>AVERAGE(AT3:AV3)</f>
        <v>9.6666666666666661</v>
      </c>
      <c r="AX3" s="143">
        <v>9</v>
      </c>
      <c r="AY3" s="18">
        <v>9</v>
      </c>
      <c r="AZ3" s="39">
        <v>10</v>
      </c>
      <c r="BA3" s="84">
        <f>AVERAGE(AX3:AZ3)</f>
        <v>9.3333333333333339</v>
      </c>
      <c r="BB3" s="131">
        <v>10</v>
      </c>
      <c r="BC3" s="18">
        <v>10</v>
      </c>
      <c r="BD3" s="39">
        <v>10</v>
      </c>
      <c r="BE3" s="84">
        <f>AVERAGE(BB3:BD3)</f>
        <v>10</v>
      </c>
      <c r="BF3" s="149">
        <v>10</v>
      </c>
      <c r="BG3" s="18">
        <v>10</v>
      </c>
      <c r="BH3" s="39">
        <v>10</v>
      </c>
      <c r="BI3" s="84">
        <f>AVERAGE(BF3:BH3)</f>
        <v>10</v>
      </c>
      <c r="BJ3" s="64">
        <f>AVERAGE(I3,M3,Q3,U3,Y3,AC3,AG3,AK3,AO3,AS3,AW3,BA3,BE3,BI3)</f>
        <v>9.8047619047619037</v>
      </c>
    </row>
    <row r="4" spans="1:62" x14ac:dyDescent="0.25">
      <c r="A4" s="1" t="s">
        <v>697</v>
      </c>
      <c r="B4" s="8" t="s">
        <v>698</v>
      </c>
      <c r="C4" s="24" t="s">
        <v>15</v>
      </c>
      <c r="D4" s="50">
        <v>3</v>
      </c>
      <c r="E4" s="50" t="s">
        <v>16</v>
      </c>
      <c r="F4" s="169">
        <v>8</v>
      </c>
      <c r="G4" s="216">
        <v>10</v>
      </c>
      <c r="H4" s="39">
        <v>10</v>
      </c>
      <c r="I4" s="84">
        <f t="shared" ref="I4:I46" si="0">AVERAGE(F4:H4)</f>
        <v>9.3333333333333339</v>
      </c>
      <c r="J4" s="130">
        <v>10</v>
      </c>
      <c r="K4" s="14">
        <v>10</v>
      </c>
      <c r="L4" s="39">
        <v>10</v>
      </c>
      <c r="M4" s="84">
        <f t="shared" ref="M4:M46" si="1">AVERAGE(J4:L4)</f>
        <v>10</v>
      </c>
      <c r="N4" s="131">
        <v>10</v>
      </c>
      <c r="O4" s="18">
        <v>10</v>
      </c>
      <c r="P4" s="92">
        <v>10</v>
      </c>
      <c r="Q4" s="84">
        <f t="shared" ref="Q4:Q46" si="2">AVERAGE(N4:P4)</f>
        <v>10</v>
      </c>
      <c r="R4" s="131">
        <v>10</v>
      </c>
      <c r="S4" s="18">
        <v>10</v>
      </c>
      <c r="T4" s="93">
        <v>10</v>
      </c>
      <c r="U4" s="84">
        <f t="shared" ref="U4:U46" si="3">AVERAGE(R4:T4)</f>
        <v>10</v>
      </c>
      <c r="V4" s="131">
        <v>10</v>
      </c>
      <c r="W4" s="18">
        <v>9.5</v>
      </c>
      <c r="X4" s="39">
        <v>10</v>
      </c>
      <c r="Y4" s="84">
        <f t="shared" ref="Y4:Y46" si="4">AVERAGE(V4:X4)</f>
        <v>9.8333333333333339</v>
      </c>
      <c r="Z4" s="131">
        <v>10</v>
      </c>
      <c r="AA4" s="18">
        <v>10</v>
      </c>
      <c r="AB4" s="92">
        <v>10</v>
      </c>
      <c r="AC4" s="84">
        <f t="shared" ref="AC4:AC46" si="5">AVERAGE(Z4:AB4)</f>
        <v>10</v>
      </c>
      <c r="AD4" s="131">
        <v>10</v>
      </c>
      <c r="AE4" s="18">
        <v>9</v>
      </c>
      <c r="AF4" s="39">
        <v>10</v>
      </c>
      <c r="AG4" s="84">
        <f t="shared" ref="AG4:AG46" si="6">AVERAGE(AD4:AF4)</f>
        <v>9.6666666666666661</v>
      </c>
      <c r="AH4" s="131">
        <v>10</v>
      </c>
      <c r="AI4" s="18">
        <v>10</v>
      </c>
      <c r="AJ4" s="39">
        <v>10</v>
      </c>
      <c r="AK4" s="84">
        <f t="shared" ref="AK4:AK46" si="7">AVERAGE(AH4:AJ4)</f>
        <v>10</v>
      </c>
      <c r="AL4" s="131">
        <v>8</v>
      </c>
      <c r="AM4" s="18">
        <v>9</v>
      </c>
      <c r="AN4" s="39">
        <v>9</v>
      </c>
      <c r="AO4" s="84">
        <f t="shared" ref="AO4:AO46" si="8">AVERAGE(AL4:AN4)</f>
        <v>8.6666666666666661</v>
      </c>
      <c r="AP4" s="131">
        <v>10</v>
      </c>
      <c r="AQ4" s="18">
        <v>9</v>
      </c>
      <c r="AR4" s="39">
        <v>10</v>
      </c>
      <c r="AS4" s="84">
        <f t="shared" ref="AS4:AS46" si="9">AVERAGE(AP4:AR4)</f>
        <v>9.6666666666666661</v>
      </c>
      <c r="AT4" s="143">
        <v>10</v>
      </c>
      <c r="AU4" s="18">
        <v>9</v>
      </c>
      <c r="AV4" s="39">
        <v>10</v>
      </c>
      <c r="AW4" s="84">
        <f t="shared" ref="AW4:AW46" si="10">AVERAGE(AT4:AV4)</f>
        <v>9.6666666666666661</v>
      </c>
      <c r="AX4" s="143">
        <v>9</v>
      </c>
      <c r="AY4" s="18">
        <v>9</v>
      </c>
      <c r="AZ4" s="39">
        <v>10</v>
      </c>
      <c r="BA4" s="84">
        <f t="shared" ref="BA4:BA46" si="11">AVERAGE(AX4:AZ4)</f>
        <v>9.3333333333333339</v>
      </c>
      <c r="BB4" s="131">
        <v>10</v>
      </c>
      <c r="BC4" s="18">
        <v>10</v>
      </c>
      <c r="BD4" s="39">
        <v>10</v>
      </c>
      <c r="BE4" s="84">
        <f t="shared" ref="BE4:BE46" si="12">AVERAGE(BB4:BD4)</f>
        <v>10</v>
      </c>
      <c r="BF4" s="149">
        <v>10</v>
      </c>
      <c r="BG4" s="18">
        <v>9</v>
      </c>
      <c r="BH4" s="39">
        <v>10</v>
      </c>
      <c r="BI4" s="84">
        <f t="shared" ref="BI4:BI46" si="13">AVERAGE(BF4:BH4)</f>
        <v>9.6666666666666661</v>
      </c>
      <c r="BJ4" s="64">
        <f t="shared" ref="BJ4:BJ46" si="14">AVERAGE(I4,M4,Q4,U4,Y4,AC4,AG4,AK4,AO4,AS4,AW4,BA4,BE4,BI4)</f>
        <v>9.7023809523809526</v>
      </c>
    </row>
    <row r="5" spans="1:62" x14ac:dyDescent="0.25">
      <c r="A5" s="1" t="s">
        <v>693</v>
      </c>
      <c r="B5" s="8" t="s">
        <v>694</v>
      </c>
      <c r="C5" s="24" t="s">
        <v>15</v>
      </c>
      <c r="D5" s="50">
        <v>3</v>
      </c>
      <c r="E5" s="50" t="s">
        <v>16</v>
      </c>
      <c r="F5" s="169">
        <v>8</v>
      </c>
      <c r="G5" s="216">
        <v>10</v>
      </c>
      <c r="H5" s="39">
        <v>10</v>
      </c>
      <c r="I5" s="84">
        <f t="shared" si="0"/>
        <v>9.3333333333333339</v>
      </c>
      <c r="J5" s="130">
        <v>10</v>
      </c>
      <c r="K5" s="14">
        <v>10</v>
      </c>
      <c r="L5" s="39">
        <v>10</v>
      </c>
      <c r="M5" s="84">
        <f t="shared" si="1"/>
        <v>10</v>
      </c>
      <c r="N5" s="131">
        <v>10</v>
      </c>
      <c r="O5" s="18">
        <v>10</v>
      </c>
      <c r="P5" s="92">
        <v>9.5</v>
      </c>
      <c r="Q5" s="84">
        <f t="shared" si="2"/>
        <v>9.8333333333333339</v>
      </c>
      <c r="R5" s="131">
        <v>10</v>
      </c>
      <c r="S5" s="18">
        <v>10</v>
      </c>
      <c r="T5" s="93">
        <v>9</v>
      </c>
      <c r="U5" s="84">
        <f t="shared" si="3"/>
        <v>9.6666666666666661</v>
      </c>
      <c r="V5" s="131">
        <v>10</v>
      </c>
      <c r="W5" s="18">
        <v>9</v>
      </c>
      <c r="X5" s="39">
        <v>9</v>
      </c>
      <c r="Y5" s="84">
        <f t="shared" si="4"/>
        <v>9.3333333333333339</v>
      </c>
      <c r="Z5" s="131">
        <v>10</v>
      </c>
      <c r="AA5" s="18">
        <v>9.5</v>
      </c>
      <c r="AB5" s="92">
        <v>9</v>
      </c>
      <c r="AC5" s="84">
        <f t="shared" si="5"/>
        <v>9.5</v>
      </c>
      <c r="AD5" s="131">
        <v>10</v>
      </c>
      <c r="AE5" s="18">
        <v>9</v>
      </c>
      <c r="AF5" s="39">
        <v>10</v>
      </c>
      <c r="AG5" s="84">
        <f t="shared" si="6"/>
        <v>9.6666666666666661</v>
      </c>
      <c r="AH5" s="131">
        <v>10</v>
      </c>
      <c r="AI5" s="18">
        <v>10</v>
      </c>
      <c r="AJ5" s="39">
        <v>10</v>
      </c>
      <c r="AK5" s="84">
        <f t="shared" si="7"/>
        <v>10</v>
      </c>
      <c r="AL5" s="131">
        <v>8</v>
      </c>
      <c r="AM5" s="18">
        <v>9</v>
      </c>
      <c r="AN5" s="39">
        <v>9</v>
      </c>
      <c r="AO5" s="84">
        <f t="shared" si="8"/>
        <v>8.6666666666666661</v>
      </c>
      <c r="AP5" s="131">
        <v>9</v>
      </c>
      <c r="AQ5" s="18">
        <v>10</v>
      </c>
      <c r="AR5" s="39">
        <v>9</v>
      </c>
      <c r="AS5" s="84">
        <f t="shared" si="9"/>
        <v>9.3333333333333339</v>
      </c>
      <c r="AT5" s="143">
        <v>10</v>
      </c>
      <c r="AU5" s="18">
        <v>9</v>
      </c>
      <c r="AV5" s="39">
        <v>10</v>
      </c>
      <c r="AW5" s="84">
        <f t="shared" si="10"/>
        <v>9.6666666666666661</v>
      </c>
      <c r="AX5" s="144">
        <v>9</v>
      </c>
      <c r="AY5" s="18">
        <v>9</v>
      </c>
      <c r="AZ5" s="39">
        <v>10</v>
      </c>
      <c r="BA5" s="84">
        <f t="shared" si="11"/>
        <v>9.3333333333333339</v>
      </c>
      <c r="BB5" s="137">
        <v>9</v>
      </c>
      <c r="BC5" s="18">
        <v>10</v>
      </c>
      <c r="BD5" s="39">
        <v>10</v>
      </c>
      <c r="BE5" s="84">
        <f t="shared" si="12"/>
        <v>9.6666666666666661</v>
      </c>
      <c r="BF5" s="149">
        <v>10</v>
      </c>
      <c r="BG5" s="18">
        <v>10</v>
      </c>
      <c r="BH5" s="39">
        <v>10</v>
      </c>
      <c r="BI5" s="84">
        <f t="shared" si="13"/>
        <v>10</v>
      </c>
      <c r="BJ5" s="64">
        <f t="shared" si="14"/>
        <v>9.5714285714285712</v>
      </c>
    </row>
    <row r="6" spans="1:62" x14ac:dyDescent="0.25">
      <c r="A6" s="1" t="s">
        <v>703</v>
      </c>
      <c r="B6" s="8" t="s">
        <v>704</v>
      </c>
      <c r="C6" s="24" t="s">
        <v>15</v>
      </c>
      <c r="D6" s="50">
        <v>3</v>
      </c>
      <c r="E6" s="50" t="s">
        <v>16</v>
      </c>
      <c r="F6" s="169">
        <v>9</v>
      </c>
      <c r="G6" s="217">
        <v>8</v>
      </c>
      <c r="H6" s="39">
        <v>10</v>
      </c>
      <c r="I6" s="84">
        <f t="shared" si="0"/>
        <v>9</v>
      </c>
      <c r="J6" s="130">
        <v>10</v>
      </c>
      <c r="K6" s="14">
        <v>10</v>
      </c>
      <c r="L6" s="39">
        <v>9</v>
      </c>
      <c r="M6" s="84">
        <f t="shared" si="1"/>
        <v>9.6666666666666661</v>
      </c>
      <c r="N6" s="131">
        <v>10</v>
      </c>
      <c r="O6" s="18">
        <v>8</v>
      </c>
      <c r="P6" s="92">
        <v>8.3000000000000007</v>
      </c>
      <c r="Q6" s="84">
        <f t="shared" si="2"/>
        <v>8.7666666666666675</v>
      </c>
      <c r="R6" s="131">
        <v>9.6999999999999993</v>
      </c>
      <c r="S6" s="18">
        <v>8</v>
      </c>
      <c r="T6" s="93">
        <v>8.5</v>
      </c>
      <c r="U6" s="84">
        <f t="shared" si="3"/>
        <v>8.7333333333333325</v>
      </c>
      <c r="V6" s="131">
        <v>9</v>
      </c>
      <c r="W6" s="18">
        <v>8</v>
      </c>
      <c r="X6" s="39">
        <v>8</v>
      </c>
      <c r="Y6" s="84">
        <f t="shared" si="4"/>
        <v>8.3333333333333339</v>
      </c>
      <c r="Z6" s="131">
        <v>9</v>
      </c>
      <c r="AA6" s="18">
        <v>6</v>
      </c>
      <c r="AB6" s="92">
        <v>8.5</v>
      </c>
      <c r="AC6" s="84">
        <f t="shared" si="5"/>
        <v>7.833333333333333</v>
      </c>
      <c r="AD6" s="131">
        <v>8</v>
      </c>
      <c r="AE6" s="18">
        <v>8</v>
      </c>
      <c r="AF6" s="39">
        <v>10</v>
      </c>
      <c r="AG6" s="84">
        <f t="shared" si="6"/>
        <v>8.6666666666666661</v>
      </c>
      <c r="AH6" s="131">
        <v>10</v>
      </c>
      <c r="AI6" s="18">
        <v>8</v>
      </c>
      <c r="AJ6" s="39">
        <v>8</v>
      </c>
      <c r="AK6" s="84">
        <f t="shared" si="7"/>
        <v>8.6666666666666661</v>
      </c>
      <c r="AL6" s="154">
        <v>8</v>
      </c>
      <c r="AM6" s="18">
        <v>9</v>
      </c>
      <c r="AN6" s="39">
        <v>10</v>
      </c>
      <c r="AO6" s="84">
        <f t="shared" si="8"/>
        <v>9</v>
      </c>
      <c r="AP6" s="154">
        <v>8</v>
      </c>
      <c r="AQ6" s="18">
        <v>9</v>
      </c>
      <c r="AR6" s="39">
        <v>9</v>
      </c>
      <c r="AS6" s="84">
        <f t="shared" si="9"/>
        <v>8.6666666666666661</v>
      </c>
      <c r="AT6" s="143">
        <v>10</v>
      </c>
      <c r="AU6" s="18">
        <v>8</v>
      </c>
      <c r="AV6" s="39">
        <v>10</v>
      </c>
      <c r="AW6" s="84">
        <f t="shared" si="10"/>
        <v>9.3333333333333339</v>
      </c>
      <c r="AX6" s="143">
        <v>10</v>
      </c>
      <c r="AY6" s="18">
        <v>9</v>
      </c>
      <c r="AZ6" s="39">
        <v>10</v>
      </c>
      <c r="BA6" s="84">
        <f t="shared" si="11"/>
        <v>9.6666666666666661</v>
      </c>
      <c r="BB6" s="131">
        <v>9</v>
      </c>
      <c r="BC6" s="18">
        <v>10</v>
      </c>
      <c r="BD6" s="39">
        <v>10</v>
      </c>
      <c r="BE6" s="84">
        <f t="shared" si="12"/>
        <v>9.6666666666666661</v>
      </c>
      <c r="BF6" s="149">
        <v>10</v>
      </c>
      <c r="BG6" s="18">
        <v>10</v>
      </c>
      <c r="BH6" s="39">
        <v>10</v>
      </c>
      <c r="BI6" s="84">
        <f t="shared" si="13"/>
        <v>10</v>
      </c>
      <c r="BJ6" s="64">
        <f t="shared" si="14"/>
        <v>9.0000000000000018</v>
      </c>
    </row>
    <row r="7" spans="1:62" x14ac:dyDescent="0.25">
      <c r="A7" s="1" t="s">
        <v>762</v>
      </c>
      <c r="B7" s="5" t="s">
        <v>763</v>
      </c>
      <c r="C7" s="24" t="s">
        <v>15</v>
      </c>
      <c r="D7" s="50">
        <v>3</v>
      </c>
      <c r="E7" s="50" t="s">
        <v>16</v>
      </c>
      <c r="F7" s="169">
        <v>8</v>
      </c>
      <c r="G7" s="216">
        <v>10</v>
      </c>
      <c r="H7" s="39">
        <v>10</v>
      </c>
      <c r="I7" s="84">
        <f t="shared" si="0"/>
        <v>9.3333333333333339</v>
      </c>
      <c r="J7" s="130">
        <v>10</v>
      </c>
      <c r="K7" s="14">
        <v>10</v>
      </c>
      <c r="L7" s="39">
        <v>9</v>
      </c>
      <c r="M7" s="84">
        <f t="shared" si="1"/>
        <v>9.6666666666666661</v>
      </c>
      <c r="N7" s="131">
        <v>9</v>
      </c>
      <c r="O7" s="18">
        <v>9</v>
      </c>
      <c r="P7" s="92">
        <v>9</v>
      </c>
      <c r="Q7" s="84">
        <f t="shared" si="2"/>
        <v>9</v>
      </c>
      <c r="R7" s="131">
        <v>9.3000000000000007</v>
      </c>
      <c r="S7" s="18">
        <v>8</v>
      </c>
      <c r="T7" s="93">
        <v>9.8000000000000007</v>
      </c>
      <c r="U7" s="84">
        <f t="shared" si="3"/>
        <v>9.0333333333333332</v>
      </c>
      <c r="V7" s="131">
        <v>10</v>
      </c>
      <c r="W7" s="18">
        <v>8.5</v>
      </c>
      <c r="X7" s="39">
        <v>9</v>
      </c>
      <c r="Y7" s="84">
        <f t="shared" si="4"/>
        <v>9.1666666666666661</v>
      </c>
      <c r="Z7" s="131">
        <v>10</v>
      </c>
      <c r="AA7" s="18">
        <v>9.5</v>
      </c>
      <c r="AB7" s="92">
        <v>9.3000000000000007</v>
      </c>
      <c r="AC7" s="84">
        <f t="shared" si="5"/>
        <v>9.6</v>
      </c>
      <c r="AD7" s="131">
        <v>8</v>
      </c>
      <c r="AE7" s="18">
        <v>8</v>
      </c>
      <c r="AF7" s="39">
        <v>10</v>
      </c>
      <c r="AG7" s="84">
        <f t="shared" si="6"/>
        <v>8.6666666666666661</v>
      </c>
      <c r="AH7" s="131">
        <v>10</v>
      </c>
      <c r="AI7" s="18">
        <v>10</v>
      </c>
      <c r="AJ7" s="39">
        <v>10</v>
      </c>
      <c r="AK7" s="84">
        <f t="shared" si="7"/>
        <v>10</v>
      </c>
      <c r="AL7" s="131">
        <v>9</v>
      </c>
      <c r="AM7" s="18">
        <v>8</v>
      </c>
      <c r="AN7" s="39">
        <v>10</v>
      </c>
      <c r="AO7" s="84">
        <f t="shared" si="8"/>
        <v>9</v>
      </c>
      <c r="AP7" s="131">
        <v>10</v>
      </c>
      <c r="AQ7" s="18">
        <v>9</v>
      </c>
      <c r="AR7" s="39">
        <v>10</v>
      </c>
      <c r="AS7" s="84">
        <f t="shared" si="9"/>
        <v>9.6666666666666661</v>
      </c>
      <c r="AT7" s="143">
        <v>10</v>
      </c>
      <c r="AU7" s="18">
        <v>9</v>
      </c>
      <c r="AV7" s="39">
        <v>10</v>
      </c>
      <c r="AW7" s="84">
        <f t="shared" si="10"/>
        <v>9.6666666666666661</v>
      </c>
      <c r="AX7" s="143">
        <v>10</v>
      </c>
      <c r="AY7" s="18">
        <v>9</v>
      </c>
      <c r="AZ7" s="39">
        <v>10</v>
      </c>
      <c r="BA7" s="84">
        <f t="shared" si="11"/>
        <v>9.6666666666666661</v>
      </c>
      <c r="BB7" s="131">
        <v>9</v>
      </c>
      <c r="BC7" s="18">
        <v>8</v>
      </c>
      <c r="BD7" s="39">
        <v>8</v>
      </c>
      <c r="BE7" s="84">
        <f t="shared" si="12"/>
        <v>8.3333333333333339</v>
      </c>
      <c r="BF7" s="149">
        <v>10</v>
      </c>
      <c r="BG7" s="18">
        <v>10</v>
      </c>
      <c r="BH7" s="39">
        <v>10</v>
      </c>
      <c r="BI7" s="84">
        <f t="shared" si="13"/>
        <v>10</v>
      </c>
      <c r="BJ7" s="64">
        <f t="shared" si="14"/>
        <v>9.3428571428571434</v>
      </c>
    </row>
    <row r="8" spans="1:62" x14ac:dyDescent="0.25">
      <c r="A8" s="1" t="s">
        <v>695</v>
      </c>
      <c r="B8" s="8" t="s">
        <v>696</v>
      </c>
      <c r="C8" s="24" t="s">
        <v>15</v>
      </c>
      <c r="D8" s="50">
        <v>3</v>
      </c>
      <c r="E8" s="50" t="s">
        <v>16</v>
      </c>
      <c r="F8" s="169">
        <v>10</v>
      </c>
      <c r="G8" s="216">
        <v>10</v>
      </c>
      <c r="H8" s="39">
        <v>10</v>
      </c>
      <c r="I8" s="84">
        <f t="shared" si="0"/>
        <v>10</v>
      </c>
      <c r="J8" s="130">
        <v>10</v>
      </c>
      <c r="K8" s="14">
        <v>10</v>
      </c>
      <c r="L8" s="39">
        <v>10</v>
      </c>
      <c r="M8" s="84">
        <f t="shared" si="1"/>
        <v>10</v>
      </c>
      <c r="N8" s="131">
        <v>10</v>
      </c>
      <c r="O8" s="18">
        <v>10</v>
      </c>
      <c r="P8" s="92">
        <v>10</v>
      </c>
      <c r="Q8" s="84">
        <f t="shared" si="2"/>
        <v>10</v>
      </c>
      <c r="R8" s="131">
        <v>9.6999999999999993</v>
      </c>
      <c r="S8" s="18">
        <v>10</v>
      </c>
      <c r="T8" s="93">
        <v>9.8000000000000007</v>
      </c>
      <c r="U8" s="84">
        <f t="shared" si="3"/>
        <v>9.8333333333333339</v>
      </c>
      <c r="V8" s="131">
        <v>10</v>
      </c>
      <c r="W8" s="18">
        <v>9</v>
      </c>
      <c r="X8" s="39">
        <v>10</v>
      </c>
      <c r="Y8" s="84">
        <f t="shared" si="4"/>
        <v>9.6666666666666661</v>
      </c>
      <c r="Z8" s="131">
        <v>10</v>
      </c>
      <c r="AA8" s="18">
        <v>9.8000000000000007</v>
      </c>
      <c r="AB8" s="92">
        <v>10</v>
      </c>
      <c r="AC8" s="84">
        <f t="shared" si="5"/>
        <v>9.9333333333333336</v>
      </c>
      <c r="AD8" s="131">
        <v>10</v>
      </c>
      <c r="AE8" s="18">
        <v>10</v>
      </c>
      <c r="AF8" s="39">
        <v>10</v>
      </c>
      <c r="AG8" s="84">
        <f t="shared" si="6"/>
        <v>10</v>
      </c>
      <c r="AH8" s="131">
        <v>10</v>
      </c>
      <c r="AI8" s="18">
        <v>10</v>
      </c>
      <c r="AJ8" s="39">
        <v>10</v>
      </c>
      <c r="AK8" s="84">
        <f t="shared" si="7"/>
        <v>10</v>
      </c>
      <c r="AL8" s="131">
        <v>9</v>
      </c>
      <c r="AM8" s="18">
        <v>9</v>
      </c>
      <c r="AN8" s="39">
        <v>10</v>
      </c>
      <c r="AO8" s="84">
        <f t="shared" si="8"/>
        <v>9.3333333333333339</v>
      </c>
      <c r="AP8" s="142">
        <v>9.6</v>
      </c>
      <c r="AQ8" s="18">
        <v>8.8000000000000007</v>
      </c>
      <c r="AR8" s="39">
        <v>9</v>
      </c>
      <c r="AS8" s="84">
        <f t="shared" si="9"/>
        <v>9.1333333333333329</v>
      </c>
      <c r="AT8" s="143">
        <v>10</v>
      </c>
      <c r="AU8" s="18">
        <v>9</v>
      </c>
      <c r="AV8" s="39">
        <v>10</v>
      </c>
      <c r="AW8" s="84">
        <f t="shared" si="10"/>
        <v>9.6666666666666661</v>
      </c>
      <c r="AX8" s="143">
        <v>10</v>
      </c>
      <c r="AY8" s="18">
        <v>9</v>
      </c>
      <c r="AZ8" s="39">
        <v>10</v>
      </c>
      <c r="BA8" s="84">
        <f t="shared" si="11"/>
        <v>9.6666666666666661</v>
      </c>
      <c r="BB8" s="131">
        <v>10</v>
      </c>
      <c r="BC8" s="18">
        <v>10</v>
      </c>
      <c r="BD8" s="39">
        <v>10</v>
      </c>
      <c r="BE8" s="84">
        <f t="shared" si="12"/>
        <v>10</v>
      </c>
      <c r="BF8" s="149">
        <v>10</v>
      </c>
      <c r="BG8" s="18">
        <v>10</v>
      </c>
      <c r="BH8" s="39">
        <v>10</v>
      </c>
      <c r="BI8" s="84">
        <f t="shared" si="13"/>
        <v>10</v>
      </c>
      <c r="BJ8" s="64">
        <f t="shared" si="14"/>
        <v>9.802380952380954</v>
      </c>
    </row>
    <row r="9" spans="1:62" x14ac:dyDescent="0.25">
      <c r="A9" s="1" t="s">
        <v>731</v>
      </c>
      <c r="B9" s="5" t="s">
        <v>732</v>
      </c>
      <c r="C9" s="24" t="s">
        <v>15</v>
      </c>
      <c r="D9" s="50">
        <v>3</v>
      </c>
      <c r="E9" s="50" t="s">
        <v>16</v>
      </c>
      <c r="F9" s="169">
        <v>9</v>
      </c>
      <c r="G9" s="216">
        <v>10</v>
      </c>
      <c r="H9" s="39">
        <v>10</v>
      </c>
      <c r="I9" s="84">
        <f t="shared" si="0"/>
        <v>9.6666666666666661</v>
      </c>
      <c r="J9" s="130">
        <v>10</v>
      </c>
      <c r="K9" s="14">
        <v>9</v>
      </c>
      <c r="L9" s="39">
        <v>8</v>
      </c>
      <c r="M9" s="84">
        <f t="shared" si="1"/>
        <v>9</v>
      </c>
      <c r="N9" s="131">
        <v>9</v>
      </c>
      <c r="O9" s="18">
        <v>8</v>
      </c>
      <c r="P9" s="92">
        <v>9</v>
      </c>
      <c r="Q9" s="84">
        <f t="shared" si="2"/>
        <v>8.6666666666666661</v>
      </c>
      <c r="R9" s="131">
        <v>9.3000000000000007</v>
      </c>
      <c r="S9" s="18">
        <v>8</v>
      </c>
      <c r="T9" s="93">
        <v>7.8</v>
      </c>
      <c r="U9" s="84">
        <f t="shared" si="3"/>
        <v>8.3666666666666671</v>
      </c>
      <c r="V9" s="131">
        <v>9</v>
      </c>
      <c r="W9" s="18">
        <v>8</v>
      </c>
      <c r="X9" s="39">
        <v>9</v>
      </c>
      <c r="Y9" s="84">
        <f t="shared" si="4"/>
        <v>8.6666666666666661</v>
      </c>
      <c r="Z9" s="131">
        <v>9</v>
      </c>
      <c r="AA9" s="18">
        <v>3</v>
      </c>
      <c r="AB9" s="92">
        <v>7.8</v>
      </c>
      <c r="AC9" s="84">
        <f t="shared" si="5"/>
        <v>6.6000000000000005</v>
      </c>
      <c r="AD9" s="131">
        <v>8</v>
      </c>
      <c r="AE9" s="18">
        <v>9</v>
      </c>
      <c r="AF9" s="39">
        <v>10</v>
      </c>
      <c r="AG9" s="84">
        <f t="shared" si="6"/>
        <v>9</v>
      </c>
      <c r="AH9" s="131">
        <v>10</v>
      </c>
      <c r="AI9" s="18">
        <v>8</v>
      </c>
      <c r="AJ9" s="39">
        <v>8</v>
      </c>
      <c r="AK9" s="84">
        <f t="shared" si="7"/>
        <v>8.6666666666666661</v>
      </c>
      <c r="AL9" s="154">
        <v>8</v>
      </c>
      <c r="AM9" s="18">
        <v>8</v>
      </c>
      <c r="AN9" s="39">
        <v>8</v>
      </c>
      <c r="AO9" s="84">
        <f t="shared" si="8"/>
        <v>8</v>
      </c>
      <c r="AP9" s="154">
        <v>7</v>
      </c>
      <c r="AQ9" s="18">
        <v>7</v>
      </c>
      <c r="AR9" s="39">
        <v>9</v>
      </c>
      <c r="AS9" s="84">
        <f t="shared" si="9"/>
        <v>7.666666666666667</v>
      </c>
      <c r="AT9" s="143">
        <v>10</v>
      </c>
      <c r="AU9" s="18">
        <v>9</v>
      </c>
      <c r="AV9" s="39">
        <v>10</v>
      </c>
      <c r="AW9" s="84">
        <f t="shared" si="10"/>
        <v>9.6666666666666661</v>
      </c>
      <c r="AX9" s="143">
        <v>10</v>
      </c>
      <c r="AY9" s="18">
        <v>9</v>
      </c>
      <c r="AZ9" s="39">
        <v>10</v>
      </c>
      <c r="BA9" s="84">
        <f t="shared" si="11"/>
        <v>9.6666666666666661</v>
      </c>
      <c r="BB9" s="131">
        <v>9</v>
      </c>
      <c r="BC9" s="18">
        <v>10</v>
      </c>
      <c r="BD9" s="39">
        <v>10</v>
      </c>
      <c r="BE9" s="84">
        <f t="shared" si="12"/>
        <v>9.6666666666666661</v>
      </c>
      <c r="BF9" s="149">
        <v>10</v>
      </c>
      <c r="BG9" s="18">
        <v>8</v>
      </c>
      <c r="BH9" s="39">
        <v>10</v>
      </c>
      <c r="BI9" s="84">
        <f t="shared" si="13"/>
        <v>9.3333333333333339</v>
      </c>
      <c r="BJ9" s="64">
        <f t="shared" si="14"/>
        <v>8.7595238095238095</v>
      </c>
    </row>
    <row r="10" spans="1:62" x14ac:dyDescent="0.25">
      <c r="A10" s="1" t="s">
        <v>727</v>
      </c>
      <c r="B10" s="5" t="s">
        <v>728</v>
      </c>
      <c r="C10" s="24" t="s">
        <v>15</v>
      </c>
      <c r="D10" s="50">
        <v>3</v>
      </c>
      <c r="E10" s="50" t="s">
        <v>16</v>
      </c>
      <c r="F10" s="169">
        <v>8</v>
      </c>
      <c r="G10" s="216">
        <v>10</v>
      </c>
      <c r="H10" s="39">
        <v>10</v>
      </c>
      <c r="I10" s="84">
        <f t="shared" si="0"/>
        <v>9.3333333333333339</v>
      </c>
      <c r="J10" s="130">
        <v>10</v>
      </c>
      <c r="K10" s="14">
        <v>9</v>
      </c>
      <c r="L10" s="39">
        <v>8</v>
      </c>
      <c r="M10" s="84">
        <f t="shared" si="1"/>
        <v>9</v>
      </c>
      <c r="N10" s="131">
        <v>9.6999999999999993</v>
      </c>
      <c r="O10" s="18">
        <v>9</v>
      </c>
      <c r="P10" s="92">
        <v>10</v>
      </c>
      <c r="Q10" s="84">
        <f t="shared" si="2"/>
        <v>9.5666666666666664</v>
      </c>
      <c r="R10" s="131">
        <v>9.6999999999999993</v>
      </c>
      <c r="S10" s="18">
        <v>9</v>
      </c>
      <c r="T10" s="93">
        <v>9</v>
      </c>
      <c r="U10" s="84">
        <f t="shared" si="3"/>
        <v>9.2333333333333325</v>
      </c>
      <c r="V10" s="131">
        <v>8</v>
      </c>
      <c r="W10" s="18">
        <v>8</v>
      </c>
      <c r="X10" s="39">
        <v>9</v>
      </c>
      <c r="Y10" s="84">
        <f t="shared" si="4"/>
        <v>8.3333333333333339</v>
      </c>
      <c r="Z10" s="131">
        <v>8</v>
      </c>
      <c r="AA10" s="18">
        <v>9.8000000000000007</v>
      </c>
      <c r="AB10" s="92">
        <v>9.3000000000000007</v>
      </c>
      <c r="AC10" s="84">
        <f t="shared" si="5"/>
        <v>9.0333333333333332</v>
      </c>
      <c r="AD10" s="131">
        <v>9</v>
      </c>
      <c r="AE10" s="18">
        <v>10</v>
      </c>
      <c r="AF10" s="39">
        <v>10</v>
      </c>
      <c r="AG10" s="84">
        <f t="shared" si="6"/>
        <v>9.6666666666666661</v>
      </c>
      <c r="AH10" s="131">
        <v>10</v>
      </c>
      <c r="AI10" s="18">
        <v>9</v>
      </c>
      <c r="AJ10" s="39">
        <v>10</v>
      </c>
      <c r="AK10" s="84">
        <f t="shared" si="7"/>
        <v>9.6666666666666661</v>
      </c>
      <c r="AL10" s="154">
        <v>9</v>
      </c>
      <c r="AM10" s="18">
        <v>9</v>
      </c>
      <c r="AN10" s="39">
        <v>9</v>
      </c>
      <c r="AO10" s="84">
        <f t="shared" si="8"/>
        <v>9</v>
      </c>
      <c r="AP10" s="131">
        <v>10</v>
      </c>
      <c r="AQ10" s="18">
        <v>8</v>
      </c>
      <c r="AR10" s="39">
        <v>10</v>
      </c>
      <c r="AS10" s="84">
        <f t="shared" si="9"/>
        <v>9.3333333333333339</v>
      </c>
      <c r="AT10" s="143">
        <v>10</v>
      </c>
      <c r="AU10" s="18">
        <v>8</v>
      </c>
      <c r="AV10" s="39">
        <v>10</v>
      </c>
      <c r="AW10" s="84">
        <f t="shared" si="10"/>
        <v>9.3333333333333339</v>
      </c>
      <c r="AX10" s="143">
        <v>10</v>
      </c>
      <c r="AY10" s="18">
        <v>9</v>
      </c>
      <c r="AZ10" s="39">
        <v>10</v>
      </c>
      <c r="BA10" s="84">
        <f t="shared" si="11"/>
        <v>9.6666666666666661</v>
      </c>
      <c r="BB10" s="131">
        <v>9</v>
      </c>
      <c r="BC10" s="18">
        <v>10</v>
      </c>
      <c r="BD10" s="39">
        <v>10</v>
      </c>
      <c r="BE10" s="84">
        <f t="shared" si="12"/>
        <v>9.6666666666666661</v>
      </c>
      <c r="BF10" s="149">
        <v>10</v>
      </c>
      <c r="BG10" s="18">
        <v>10</v>
      </c>
      <c r="BH10" s="39">
        <v>10</v>
      </c>
      <c r="BI10" s="84">
        <f t="shared" si="13"/>
        <v>10</v>
      </c>
      <c r="BJ10" s="64">
        <f t="shared" si="14"/>
        <v>9.3452380952380967</v>
      </c>
    </row>
    <row r="11" spans="1:62" x14ac:dyDescent="0.25">
      <c r="A11" s="1" t="s">
        <v>687</v>
      </c>
      <c r="B11" s="5" t="s">
        <v>688</v>
      </c>
      <c r="C11" s="24" t="s">
        <v>15</v>
      </c>
      <c r="D11" s="50">
        <v>3</v>
      </c>
      <c r="E11" s="50" t="s">
        <v>16</v>
      </c>
      <c r="F11" s="169">
        <v>10</v>
      </c>
      <c r="G11" s="216">
        <v>10</v>
      </c>
      <c r="H11" s="39">
        <v>10</v>
      </c>
      <c r="I11" s="84">
        <f t="shared" si="0"/>
        <v>10</v>
      </c>
      <c r="J11" s="130">
        <v>10</v>
      </c>
      <c r="K11" s="14">
        <v>9</v>
      </c>
      <c r="L11" s="39">
        <v>9</v>
      </c>
      <c r="M11" s="84">
        <f t="shared" si="1"/>
        <v>9.3333333333333339</v>
      </c>
      <c r="N11" s="131">
        <v>9.8000000000000007</v>
      </c>
      <c r="O11" s="18">
        <v>9</v>
      </c>
      <c r="P11" s="92">
        <v>9.5</v>
      </c>
      <c r="Q11" s="84">
        <f t="shared" si="2"/>
        <v>9.4333333333333336</v>
      </c>
      <c r="R11" s="131">
        <v>9.8000000000000007</v>
      </c>
      <c r="S11" s="18">
        <v>9</v>
      </c>
      <c r="T11" s="93">
        <v>10</v>
      </c>
      <c r="U11" s="84">
        <f t="shared" si="3"/>
        <v>9.6</v>
      </c>
      <c r="V11" s="131">
        <v>10</v>
      </c>
      <c r="W11" s="18">
        <v>9</v>
      </c>
      <c r="X11" s="39">
        <v>9</v>
      </c>
      <c r="Y11" s="84">
        <f t="shared" si="4"/>
        <v>9.3333333333333339</v>
      </c>
      <c r="Z11" s="131">
        <v>10</v>
      </c>
      <c r="AA11" s="18">
        <v>9.8000000000000007</v>
      </c>
      <c r="AB11" s="92">
        <v>10</v>
      </c>
      <c r="AC11" s="84">
        <f t="shared" si="5"/>
        <v>9.9333333333333336</v>
      </c>
      <c r="AD11" s="131">
        <v>10</v>
      </c>
      <c r="AE11" s="18">
        <v>10</v>
      </c>
      <c r="AF11" s="39">
        <v>10</v>
      </c>
      <c r="AG11" s="84">
        <f t="shared" si="6"/>
        <v>10</v>
      </c>
      <c r="AH11" s="131">
        <v>10</v>
      </c>
      <c r="AI11" s="18">
        <v>10</v>
      </c>
      <c r="AJ11" s="39">
        <v>10</v>
      </c>
      <c r="AK11" s="84">
        <f t="shared" si="7"/>
        <v>10</v>
      </c>
      <c r="AL11" s="131">
        <v>9</v>
      </c>
      <c r="AM11" s="18">
        <v>9</v>
      </c>
      <c r="AN11" s="39">
        <v>10</v>
      </c>
      <c r="AO11" s="84">
        <f t="shared" si="8"/>
        <v>9.3333333333333339</v>
      </c>
      <c r="AP11" s="142">
        <v>8</v>
      </c>
      <c r="AQ11" s="18">
        <v>8</v>
      </c>
      <c r="AR11" s="39">
        <v>8</v>
      </c>
      <c r="AS11" s="84">
        <f t="shared" si="9"/>
        <v>8</v>
      </c>
      <c r="AT11" s="143">
        <v>10</v>
      </c>
      <c r="AU11" s="18">
        <v>10</v>
      </c>
      <c r="AV11" s="39">
        <v>10</v>
      </c>
      <c r="AW11" s="84">
        <f t="shared" si="10"/>
        <v>10</v>
      </c>
      <c r="AX11" s="144">
        <v>9</v>
      </c>
      <c r="AY11" s="18">
        <v>9</v>
      </c>
      <c r="AZ11" s="39">
        <v>10</v>
      </c>
      <c r="BA11" s="84">
        <f t="shared" si="11"/>
        <v>9.3333333333333339</v>
      </c>
      <c r="BB11" s="131">
        <v>9</v>
      </c>
      <c r="BC11" s="18">
        <v>10</v>
      </c>
      <c r="BD11" s="39">
        <v>10</v>
      </c>
      <c r="BE11" s="84">
        <f t="shared" si="12"/>
        <v>9.6666666666666661</v>
      </c>
      <c r="BF11" s="149">
        <v>10</v>
      </c>
      <c r="BG11" s="18">
        <v>8</v>
      </c>
      <c r="BH11" s="39">
        <v>10</v>
      </c>
      <c r="BI11" s="84">
        <f t="shared" si="13"/>
        <v>9.3333333333333339</v>
      </c>
      <c r="BJ11" s="64">
        <f t="shared" si="14"/>
        <v>9.5214285714285722</v>
      </c>
    </row>
    <row r="12" spans="1:62" x14ac:dyDescent="0.25">
      <c r="A12" s="1" t="s">
        <v>707</v>
      </c>
      <c r="B12" s="12" t="s">
        <v>708</v>
      </c>
      <c r="C12" s="24" t="s">
        <v>15</v>
      </c>
      <c r="D12" s="50">
        <v>3</v>
      </c>
      <c r="E12" s="50" t="s">
        <v>16</v>
      </c>
      <c r="F12" s="169">
        <v>9</v>
      </c>
      <c r="G12" s="216">
        <v>10</v>
      </c>
      <c r="H12" s="39">
        <v>10</v>
      </c>
      <c r="I12" s="84">
        <f t="shared" si="0"/>
        <v>9.6666666666666661</v>
      </c>
      <c r="J12" s="130">
        <v>10</v>
      </c>
      <c r="K12" s="14">
        <v>9</v>
      </c>
      <c r="L12" s="39">
        <v>10</v>
      </c>
      <c r="M12" s="84">
        <f t="shared" si="1"/>
        <v>9.6666666666666661</v>
      </c>
      <c r="N12" s="131">
        <v>10</v>
      </c>
      <c r="O12" s="18">
        <v>10</v>
      </c>
      <c r="P12" s="92">
        <v>10</v>
      </c>
      <c r="Q12" s="84">
        <f t="shared" si="2"/>
        <v>10</v>
      </c>
      <c r="R12" s="131">
        <v>10</v>
      </c>
      <c r="S12" s="18">
        <v>9</v>
      </c>
      <c r="T12" s="93">
        <v>9.5</v>
      </c>
      <c r="U12" s="84">
        <f t="shared" si="3"/>
        <v>9.5</v>
      </c>
      <c r="V12" s="131">
        <v>10</v>
      </c>
      <c r="W12" s="18">
        <v>9</v>
      </c>
      <c r="X12" s="39">
        <v>9</v>
      </c>
      <c r="Y12" s="84">
        <f t="shared" si="4"/>
        <v>9.3333333333333339</v>
      </c>
      <c r="Z12" s="131">
        <v>10</v>
      </c>
      <c r="AA12" s="18">
        <v>10</v>
      </c>
      <c r="AB12" s="92">
        <v>10</v>
      </c>
      <c r="AC12" s="84">
        <f t="shared" si="5"/>
        <v>10</v>
      </c>
      <c r="AD12" s="131">
        <v>10</v>
      </c>
      <c r="AE12" s="18">
        <v>9</v>
      </c>
      <c r="AF12" s="39">
        <v>10</v>
      </c>
      <c r="AG12" s="84">
        <f t="shared" si="6"/>
        <v>9.6666666666666661</v>
      </c>
      <c r="AH12" s="131">
        <v>10</v>
      </c>
      <c r="AI12" s="18">
        <v>10</v>
      </c>
      <c r="AJ12" s="39">
        <v>10</v>
      </c>
      <c r="AK12" s="84">
        <f t="shared" si="7"/>
        <v>10</v>
      </c>
      <c r="AL12" s="131">
        <v>9</v>
      </c>
      <c r="AM12" s="18">
        <v>9</v>
      </c>
      <c r="AN12" s="39">
        <v>10</v>
      </c>
      <c r="AO12" s="84">
        <f t="shared" si="8"/>
        <v>9.3333333333333339</v>
      </c>
      <c r="AP12" s="131">
        <v>10</v>
      </c>
      <c r="AQ12" s="18">
        <v>9</v>
      </c>
      <c r="AR12" s="39">
        <v>10</v>
      </c>
      <c r="AS12" s="84">
        <f t="shared" si="9"/>
        <v>9.6666666666666661</v>
      </c>
      <c r="AT12" s="143">
        <v>10</v>
      </c>
      <c r="AU12" s="18">
        <v>9</v>
      </c>
      <c r="AV12" s="39">
        <v>10</v>
      </c>
      <c r="AW12" s="84">
        <f t="shared" si="10"/>
        <v>9.6666666666666661</v>
      </c>
      <c r="AX12" s="144">
        <v>9</v>
      </c>
      <c r="AY12" s="18">
        <v>9</v>
      </c>
      <c r="AZ12" s="39">
        <v>10</v>
      </c>
      <c r="BA12" s="84">
        <f t="shared" si="11"/>
        <v>9.3333333333333339</v>
      </c>
      <c r="BB12" s="137">
        <v>10</v>
      </c>
      <c r="BC12" s="18">
        <v>10</v>
      </c>
      <c r="BD12" s="39">
        <v>10</v>
      </c>
      <c r="BE12" s="84">
        <f t="shared" si="12"/>
        <v>10</v>
      </c>
      <c r="BF12" s="149">
        <v>10</v>
      </c>
      <c r="BG12" s="18">
        <v>9</v>
      </c>
      <c r="BH12" s="39">
        <v>10</v>
      </c>
      <c r="BI12" s="84">
        <f t="shared" si="13"/>
        <v>9.6666666666666661</v>
      </c>
      <c r="BJ12" s="64">
        <f t="shared" si="14"/>
        <v>9.6785714285714288</v>
      </c>
    </row>
    <row r="13" spans="1:62" x14ac:dyDescent="0.25">
      <c r="A13" s="23"/>
      <c r="B13" s="27" t="s">
        <v>741</v>
      </c>
      <c r="C13" s="24" t="s">
        <v>15</v>
      </c>
      <c r="D13" s="50">
        <v>3</v>
      </c>
      <c r="E13" s="50" t="s">
        <v>16</v>
      </c>
      <c r="F13" s="169">
        <v>8</v>
      </c>
      <c r="G13" s="216">
        <v>10</v>
      </c>
      <c r="H13" s="39">
        <v>10</v>
      </c>
      <c r="I13" s="84">
        <f t="shared" si="0"/>
        <v>9.3333333333333339</v>
      </c>
      <c r="J13" s="130">
        <v>10</v>
      </c>
      <c r="K13" s="14">
        <v>9</v>
      </c>
      <c r="L13" s="39">
        <v>9</v>
      </c>
      <c r="M13" s="84">
        <f t="shared" si="1"/>
        <v>9.3333333333333339</v>
      </c>
      <c r="N13" s="131">
        <v>9.8000000000000007</v>
      </c>
      <c r="O13" s="18">
        <v>9</v>
      </c>
      <c r="P13" s="92">
        <v>9.5</v>
      </c>
      <c r="Q13" s="84">
        <f t="shared" si="2"/>
        <v>9.4333333333333336</v>
      </c>
      <c r="R13" s="131">
        <v>9.8000000000000007</v>
      </c>
      <c r="S13" s="18">
        <v>9</v>
      </c>
      <c r="T13" s="93">
        <v>8.3000000000000007</v>
      </c>
      <c r="U13" s="84">
        <f t="shared" si="3"/>
        <v>9.0333333333333332</v>
      </c>
      <c r="V13" s="131">
        <v>9</v>
      </c>
      <c r="W13" s="18">
        <v>8.5</v>
      </c>
      <c r="X13" s="39">
        <v>9</v>
      </c>
      <c r="Y13" s="84">
        <f t="shared" si="4"/>
        <v>8.8333333333333339</v>
      </c>
      <c r="Z13" s="131">
        <v>9</v>
      </c>
      <c r="AA13" s="18">
        <v>9.6</v>
      </c>
      <c r="AB13" s="92">
        <v>9.4</v>
      </c>
      <c r="AC13" s="84">
        <f t="shared" si="5"/>
        <v>9.3333333333333339</v>
      </c>
      <c r="AD13" s="131">
        <v>9</v>
      </c>
      <c r="AE13" s="18">
        <v>8</v>
      </c>
      <c r="AF13" s="39">
        <v>10</v>
      </c>
      <c r="AG13" s="84">
        <f t="shared" si="6"/>
        <v>9</v>
      </c>
      <c r="AH13" s="131">
        <v>10</v>
      </c>
      <c r="AI13" s="18">
        <v>10</v>
      </c>
      <c r="AJ13" s="39">
        <v>10</v>
      </c>
      <c r="AK13" s="84">
        <f t="shared" si="7"/>
        <v>10</v>
      </c>
      <c r="AL13" s="131">
        <v>9</v>
      </c>
      <c r="AM13" s="18">
        <v>9</v>
      </c>
      <c r="AN13" s="39">
        <v>9</v>
      </c>
      <c r="AO13" s="84">
        <f t="shared" si="8"/>
        <v>9</v>
      </c>
      <c r="AP13" s="131">
        <v>8</v>
      </c>
      <c r="AQ13" s="18">
        <v>8</v>
      </c>
      <c r="AR13" s="39">
        <v>9</v>
      </c>
      <c r="AS13" s="84">
        <f t="shared" si="9"/>
        <v>8.3333333333333339</v>
      </c>
      <c r="AT13" s="143">
        <v>10</v>
      </c>
      <c r="AU13" s="18">
        <v>9</v>
      </c>
      <c r="AV13" s="39">
        <v>10</v>
      </c>
      <c r="AW13" s="84">
        <f t="shared" si="10"/>
        <v>9.6666666666666661</v>
      </c>
      <c r="AX13" s="144">
        <v>9</v>
      </c>
      <c r="AY13" s="18">
        <v>9</v>
      </c>
      <c r="AZ13" s="39">
        <v>10</v>
      </c>
      <c r="BA13" s="84">
        <f t="shared" si="11"/>
        <v>9.3333333333333339</v>
      </c>
      <c r="BB13" s="137">
        <v>10</v>
      </c>
      <c r="BC13" s="18">
        <v>10</v>
      </c>
      <c r="BD13" s="39">
        <v>10</v>
      </c>
      <c r="BE13" s="84">
        <f t="shared" si="12"/>
        <v>10</v>
      </c>
      <c r="BF13" s="149">
        <v>10</v>
      </c>
      <c r="BG13" s="18">
        <v>9</v>
      </c>
      <c r="BH13" s="39">
        <v>10</v>
      </c>
      <c r="BI13" s="84">
        <f t="shared" si="13"/>
        <v>9.6666666666666661</v>
      </c>
      <c r="BJ13" s="64">
        <f t="shared" si="14"/>
        <v>9.3071428571428587</v>
      </c>
    </row>
    <row r="14" spans="1:62" x14ac:dyDescent="0.25">
      <c r="A14" s="1" t="s">
        <v>723</v>
      </c>
      <c r="B14" s="5" t="s">
        <v>724</v>
      </c>
      <c r="C14" s="24" t="s">
        <v>15</v>
      </c>
      <c r="D14" s="50">
        <v>3</v>
      </c>
      <c r="E14" s="50" t="s">
        <v>16</v>
      </c>
      <c r="F14" s="169">
        <v>10</v>
      </c>
      <c r="G14" s="216">
        <v>10</v>
      </c>
      <c r="H14" s="39">
        <v>10</v>
      </c>
      <c r="I14" s="84">
        <f t="shared" si="0"/>
        <v>10</v>
      </c>
      <c r="J14" s="130">
        <v>10</v>
      </c>
      <c r="K14" s="14">
        <v>10</v>
      </c>
      <c r="L14" s="39">
        <v>10</v>
      </c>
      <c r="M14" s="84">
        <f t="shared" si="1"/>
        <v>10</v>
      </c>
      <c r="N14" s="131">
        <v>9.6999999999999993</v>
      </c>
      <c r="O14" s="18">
        <v>10</v>
      </c>
      <c r="P14" s="92">
        <v>10</v>
      </c>
      <c r="Q14" s="84">
        <f t="shared" si="2"/>
        <v>9.9</v>
      </c>
      <c r="R14" s="131">
        <v>9.6999999999999993</v>
      </c>
      <c r="S14" s="18">
        <v>10</v>
      </c>
      <c r="T14" s="93">
        <v>10</v>
      </c>
      <c r="U14" s="84">
        <f t="shared" si="3"/>
        <v>9.9</v>
      </c>
      <c r="V14" s="131">
        <v>10</v>
      </c>
      <c r="W14" s="18">
        <v>9</v>
      </c>
      <c r="X14" s="39">
        <v>9</v>
      </c>
      <c r="Y14" s="84">
        <f t="shared" si="4"/>
        <v>9.3333333333333339</v>
      </c>
      <c r="Z14" s="131">
        <v>10</v>
      </c>
      <c r="AA14" s="18">
        <v>9.5</v>
      </c>
      <c r="AB14" s="92">
        <v>10</v>
      </c>
      <c r="AC14" s="84">
        <f t="shared" si="5"/>
        <v>9.8333333333333339</v>
      </c>
      <c r="AD14" s="131">
        <v>10</v>
      </c>
      <c r="AE14" s="18">
        <v>10</v>
      </c>
      <c r="AF14" s="39">
        <v>10</v>
      </c>
      <c r="AG14" s="84">
        <f t="shared" si="6"/>
        <v>10</v>
      </c>
      <c r="AH14" s="131">
        <v>10</v>
      </c>
      <c r="AI14" s="18">
        <v>10</v>
      </c>
      <c r="AJ14" s="39">
        <v>10</v>
      </c>
      <c r="AK14" s="84">
        <f t="shared" si="7"/>
        <v>10</v>
      </c>
      <c r="AL14" s="131">
        <v>9</v>
      </c>
      <c r="AM14" s="18">
        <v>9</v>
      </c>
      <c r="AN14" s="39">
        <v>10</v>
      </c>
      <c r="AO14" s="84">
        <f t="shared" si="8"/>
        <v>9.3333333333333339</v>
      </c>
      <c r="AP14" s="131">
        <v>10</v>
      </c>
      <c r="AQ14" s="18">
        <v>9</v>
      </c>
      <c r="AR14" s="39">
        <v>10</v>
      </c>
      <c r="AS14" s="84">
        <f t="shared" si="9"/>
        <v>9.6666666666666661</v>
      </c>
      <c r="AT14" s="143">
        <v>10</v>
      </c>
      <c r="AU14" s="18">
        <v>9</v>
      </c>
      <c r="AV14" s="39">
        <v>10</v>
      </c>
      <c r="AW14" s="84">
        <f t="shared" si="10"/>
        <v>9.6666666666666661</v>
      </c>
      <c r="AX14" s="144">
        <v>10</v>
      </c>
      <c r="AY14" s="18">
        <v>9</v>
      </c>
      <c r="AZ14" s="39">
        <v>10</v>
      </c>
      <c r="BA14" s="84">
        <f t="shared" si="11"/>
        <v>9.6666666666666661</v>
      </c>
      <c r="BB14" s="137">
        <v>9</v>
      </c>
      <c r="BC14" s="18">
        <v>10</v>
      </c>
      <c r="BD14" s="39">
        <v>10</v>
      </c>
      <c r="BE14" s="84">
        <f t="shared" si="12"/>
        <v>9.6666666666666661</v>
      </c>
      <c r="BF14" s="149">
        <v>10</v>
      </c>
      <c r="BG14" s="18">
        <v>9</v>
      </c>
      <c r="BH14" s="39">
        <v>10</v>
      </c>
      <c r="BI14" s="84">
        <f t="shared" si="13"/>
        <v>9.6666666666666661</v>
      </c>
      <c r="BJ14" s="64">
        <f t="shared" si="14"/>
        <v>9.7595238095238113</v>
      </c>
    </row>
    <row r="15" spans="1:62" x14ac:dyDescent="0.25">
      <c r="A15" s="1" t="s">
        <v>752</v>
      </c>
      <c r="B15" s="5" t="s">
        <v>753</v>
      </c>
      <c r="C15" s="24" t="s">
        <v>15</v>
      </c>
      <c r="D15" s="50">
        <v>3</v>
      </c>
      <c r="E15" s="50" t="s">
        <v>16</v>
      </c>
      <c r="F15" s="169">
        <v>9</v>
      </c>
      <c r="G15" s="216">
        <v>10</v>
      </c>
      <c r="H15" s="39">
        <v>10</v>
      </c>
      <c r="I15" s="84">
        <f t="shared" si="0"/>
        <v>9.6666666666666661</v>
      </c>
      <c r="J15" s="130">
        <v>10</v>
      </c>
      <c r="K15" s="14">
        <v>10</v>
      </c>
      <c r="L15" s="39">
        <v>10</v>
      </c>
      <c r="M15" s="84">
        <f t="shared" si="1"/>
        <v>10</v>
      </c>
      <c r="N15" s="131">
        <v>9.5</v>
      </c>
      <c r="O15" s="18">
        <v>10</v>
      </c>
      <c r="P15" s="92">
        <v>10</v>
      </c>
      <c r="Q15" s="84">
        <f t="shared" si="2"/>
        <v>9.8333333333333339</v>
      </c>
      <c r="R15" s="131">
        <v>9.5</v>
      </c>
      <c r="S15" s="18">
        <v>9</v>
      </c>
      <c r="T15" s="93">
        <v>9.3000000000000007</v>
      </c>
      <c r="U15" s="84">
        <f t="shared" si="3"/>
        <v>9.2666666666666675</v>
      </c>
      <c r="V15" s="131">
        <v>10</v>
      </c>
      <c r="W15" s="18">
        <v>9</v>
      </c>
      <c r="X15" s="39">
        <v>10</v>
      </c>
      <c r="Y15" s="84">
        <f t="shared" si="4"/>
        <v>9.6666666666666661</v>
      </c>
      <c r="Z15" s="131">
        <v>10</v>
      </c>
      <c r="AA15" s="18">
        <v>10</v>
      </c>
      <c r="AB15" s="92">
        <v>9.8000000000000007</v>
      </c>
      <c r="AC15" s="84">
        <f t="shared" si="5"/>
        <v>9.9333333333333336</v>
      </c>
      <c r="AD15" s="131">
        <v>10</v>
      </c>
      <c r="AE15" s="18">
        <v>10</v>
      </c>
      <c r="AF15" s="39">
        <v>10</v>
      </c>
      <c r="AG15" s="84">
        <f t="shared" si="6"/>
        <v>10</v>
      </c>
      <c r="AH15" s="131">
        <v>10</v>
      </c>
      <c r="AI15" s="18">
        <v>10</v>
      </c>
      <c r="AJ15" s="39">
        <v>10</v>
      </c>
      <c r="AK15" s="84">
        <f t="shared" si="7"/>
        <v>10</v>
      </c>
      <c r="AL15" s="131">
        <v>9</v>
      </c>
      <c r="AM15" s="18">
        <v>8</v>
      </c>
      <c r="AN15" s="39">
        <v>10</v>
      </c>
      <c r="AO15" s="84">
        <f t="shared" si="8"/>
        <v>9</v>
      </c>
      <c r="AP15" s="142">
        <v>10</v>
      </c>
      <c r="AQ15" s="18">
        <v>10</v>
      </c>
      <c r="AR15" s="39">
        <v>10</v>
      </c>
      <c r="AS15" s="84">
        <f t="shared" si="9"/>
        <v>10</v>
      </c>
      <c r="AT15" s="143">
        <v>10</v>
      </c>
      <c r="AU15" s="18">
        <v>10</v>
      </c>
      <c r="AV15" s="39">
        <v>10</v>
      </c>
      <c r="AW15" s="84">
        <f t="shared" si="10"/>
        <v>10</v>
      </c>
      <c r="AX15" s="144">
        <v>10</v>
      </c>
      <c r="AY15" s="18">
        <v>8</v>
      </c>
      <c r="AZ15" s="39">
        <v>10</v>
      </c>
      <c r="BA15" s="84">
        <f t="shared" si="11"/>
        <v>9.3333333333333339</v>
      </c>
      <c r="BB15" s="137">
        <v>9</v>
      </c>
      <c r="BC15" s="18">
        <v>10</v>
      </c>
      <c r="BD15" s="39">
        <v>10</v>
      </c>
      <c r="BE15" s="84">
        <f t="shared" si="12"/>
        <v>9.6666666666666661</v>
      </c>
      <c r="BF15" s="149">
        <v>10</v>
      </c>
      <c r="BG15" s="18">
        <v>10</v>
      </c>
      <c r="BH15" s="39">
        <v>10</v>
      </c>
      <c r="BI15" s="84">
        <f t="shared" si="13"/>
        <v>10</v>
      </c>
      <c r="BJ15" s="64">
        <f t="shared" si="14"/>
        <v>9.7404761904761905</v>
      </c>
    </row>
    <row r="16" spans="1:62" x14ac:dyDescent="0.25">
      <c r="A16" s="1" t="s">
        <v>748</v>
      </c>
      <c r="B16" s="5" t="s">
        <v>749</v>
      </c>
      <c r="C16" s="24" t="s">
        <v>15</v>
      </c>
      <c r="D16" s="50">
        <v>3</v>
      </c>
      <c r="E16" s="50" t="s">
        <v>16</v>
      </c>
      <c r="F16" s="170">
        <v>9</v>
      </c>
      <c r="G16" s="218">
        <v>10</v>
      </c>
      <c r="H16" s="39">
        <v>10</v>
      </c>
      <c r="I16" s="84">
        <f t="shared" si="0"/>
        <v>9.6666666666666661</v>
      </c>
      <c r="J16" s="130">
        <v>10</v>
      </c>
      <c r="K16" s="14">
        <v>10</v>
      </c>
      <c r="L16" s="39">
        <v>10</v>
      </c>
      <c r="M16" s="84">
        <f t="shared" si="1"/>
        <v>10</v>
      </c>
      <c r="N16" s="131">
        <v>9.1999999999999993</v>
      </c>
      <c r="O16" s="18">
        <v>10</v>
      </c>
      <c r="P16" s="92">
        <v>9.5</v>
      </c>
      <c r="Q16" s="84">
        <f t="shared" si="2"/>
        <v>9.5666666666666664</v>
      </c>
      <c r="R16" s="131">
        <v>9.1999999999999993</v>
      </c>
      <c r="S16" s="18">
        <v>10</v>
      </c>
      <c r="T16" s="93">
        <v>9</v>
      </c>
      <c r="U16" s="84">
        <f t="shared" si="3"/>
        <v>9.4</v>
      </c>
      <c r="V16" s="131">
        <v>9</v>
      </c>
      <c r="W16" s="18">
        <v>8.5</v>
      </c>
      <c r="X16" s="39">
        <v>9</v>
      </c>
      <c r="Y16" s="84">
        <f t="shared" si="4"/>
        <v>8.8333333333333339</v>
      </c>
      <c r="Z16" s="131">
        <v>9</v>
      </c>
      <c r="AA16" s="18">
        <v>10</v>
      </c>
      <c r="AB16" s="92">
        <v>9.6</v>
      </c>
      <c r="AC16" s="84">
        <f t="shared" si="5"/>
        <v>9.5333333333333332</v>
      </c>
      <c r="AD16" s="131">
        <v>10</v>
      </c>
      <c r="AE16" s="18">
        <v>10</v>
      </c>
      <c r="AF16" s="39">
        <v>10</v>
      </c>
      <c r="AG16" s="84">
        <f t="shared" si="6"/>
        <v>10</v>
      </c>
      <c r="AH16" s="131">
        <v>10</v>
      </c>
      <c r="AI16" s="18">
        <v>10</v>
      </c>
      <c r="AJ16" s="39">
        <v>10</v>
      </c>
      <c r="AK16" s="84">
        <f t="shared" si="7"/>
        <v>10</v>
      </c>
      <c r="AL16" s="131">
        <v>9</v>
      </c>
      <c r="AM16" s="18">
        <v>10</v>
      </c>
      <c r="AN16" s="39">
        <v>9</v>
      </c>
      <c r="AO16" s="84">
        <f t="shared" si="8"/>
        <v>9.3333333333333339</v>
      </c>
      <c r="AP16" s="131">
        <v>9</v>
      </c>
      <c r="AQ16" s="18">
        <v>9</v>
      </c>
      <c r="AR16" s="39">
        <v>9</v>
      </c>
      <c r="AS16" s="84">
        <f t="shared" si="9"/>
        <v>9</v>
      </c>
      <c r="AT16" s="143">
        <v>10</v>
      </c>
      <c r="AU16" s="18">
        <v>10</v>
      </c>
      <c r="AV16" s="39">
        <v>10</v>
      </c>
      <c r="AW16" s="84">
        <f t="shared" si="10"/>
        <v>10</v>
      </c>
      <c r="AX16" s="144">
        <v>9</v>
      </c>
      <c r="AY16" s="18">
        <v>9</v>
      </c>
      <c r="AZ16" s="39">
        <v>10</v>
      </c>
      <c r="BA16" s="84">
        <f t="shared" si="11"/>
        <v>9.3333333333333339</v>
      </c>
      <c r="BB16" s="137">
        <v>10</v>
      </c>
      <c r="BC16" s="18">
        <v>10</v>
      </c>
      <c r="BD16" s="39">
        <v>10</v>
      </c>
      <c r="BE16" s="84">
        <f t="shared" si="12"/>
        <v>10</v>
      </c>
      <c r="BF16" s="149">
        <v>10</v>
      </c>
      <c r="BG16" s="18">
        <v>10</v>
      </c>
      <c r="BH16" s="39">
        <v>10</v>
      </c>
      <c r="BI16" s="84">
        <f t="shared" si="13"/>
        <v>10</v>
      </c>
      <c r="BJ16" s="64">
        <f t="shared" si="14"/>
        <v>9.6190476190476186</v>
      </c>
    </row>
    <row r="17" spans="1:62" x14ac:dyDescent="0.25">
      <c r="A17" s="1" t="s">
        <v>709</v>
      </c>
      <c r="B17" s="8" t="s">
        <v>710</v>
      </c>
      <c r="C17" s="24" t="s">
        <v>15</v>
      </c>
      <c r="D17" s="50">
        <v>3</v>
      </c>
      <c r="E17" s="50" t="s">
        <v>16</v>
      </c>
      <c r="F17" s="169">
        <v>10</v>
      </c>
      <c r="G17" s="216">
        <v>6</v>
      </c>
      <c r="H17" s="39">
        <v>10</v>
      </c>
      <c r="I17" s="84">
        <f t="shared" si="0"/>
        <v>8.6666666666666661</v>
      </c>
      <c r="J17" s="130">
        <v>10</v>
      </c>
      <c r="K17" s="14">
        <v>10</v>
      </c>
      <c r="L17" s="39">
        <v>10</v>
      </c>
      <c r="M17" s="84">
        <f t="shared" si="1"/>
        <v>10</v>
      </c>
      <c r="N17" s="131">
        <v>9.6999999999999993</v>
      </c>
      <c r="O17" s="18">
        <v>9</v>
      </c>
      <c r="P17" s="92">
        <v>9.6</v>
      </c>
      <c r="Q17" s="84">
        <f t="shared" si="2"/>
        <v>9.4333333333333318</v>
      </c>
      <c r="R17" s="131">
        <v>9.6999999999999993</v>
      </c>
      <c r="S17" s="18">
        <v>8.5</v>
      </c>
      <c r="T17" s="93">
        <v>8.5</v>
      </c>
      <c r="U17" s="84">
        <f t="shared" si="3"/>
        <v>8.9</v>
      </c>
      <c r="V17" s="131">
        <v>10</v>
      </c>
      <c r="W17" s="18">
        <v>8.5</v>
      </c>
      <c r="X17" s="39">
        <v>9</v>
      </c>
      <c r="Y17" s="84">
        <f t="shared" si="4"/>
        <v>9.1666666666666661</v>
      </c>
      <c r="Z17" s="131">
        <v>10</v>
      </c>
      <c r="AA17" s="18">
        <v>9.8000000000000007</v>
      </c>
      <c r="AB17" s="92">
        <v>10</v>
      </c>
      <c r="AC17" s="84">
        <f t="shared" si="5"/>
        <v>9.9333333333333336</v>
      </c>
      <c r="AD17" s="131">
        <v>10</v>
      </c>
      <c r="AE17" s="18">
        <v>10</v>
      </c>
      <c r="AF17" s="39">
        <v>10</v>
      </c>
      <c r="AG17" s="84">
        <f t="shared" si="6"/>
        <v>10</v>
      </c>
      <c r="AH17" s="131">
        <v>10</v>
      </c>
      <c r="AI17" s="18">
        <v>10</v>
      </c>
      <c r="AJ17" s="39">
        <v>10</v>
      </c>
      <c r="AK17" s="84">
        <f t="shared" si="7"/>
        <v>10</v>
      </c>
      <c r="AL17" s="131">
        <v>9</v>
      </c>
      <c r="AM17" s="18">
        <v>9</v>
      </c>
      <c r="AN17" s="39">
        <v>9</v>
      </c>
      <c r="AO17" s="84">
        <f t="shared" si="8"/>
        <v>9</v>
      </c>
      <c r="AP17" s="142">
        <v>8.6</v>
      </c>
      <c r="AQ17" s="18">
        <v>9</v>
      </c>
      <c r="AR17" s="39">
        <v>9</v>
      </c>
      <c r="AS17" s="84">
        <f t="shared" si="9"/>
        <v>8.8666666666666671</v>
      </c>
      <c r="AT17" s="143">
        <v>10</v>
      </c>
      <c r="AU17" s="18">
        <v>10</v>
      </c>
      <c r="AV17" s="39">
        <v>10</v>
      </c>
      <c r="AW17" s="84">
        <f t="shared" si="10"/>
        <v>10</v>
      </c>
      <c r="AX17" s="144">
        <v>10</v>
      </c>
      <c r="AY17" s="18">
        <v>9</v>
      </c>
      <c r="AZ17" s="39">
        <v>10</v>
      </c>
      <c r="BA17" s="84">
        <f t="shared" si="11"/>
        <v>9.6666666666666661</v>
      </c>
      <c r="BB17" s="137">
        <v>10</v>
      </c>
      <c r="BC17" s="18">
        <v>10</v>
      </c>
      <c r="BD17" s="39">
        <v>10</v>
      </c>
      <c r="BE17" s="84">
        <f t="shared" si="12"/>
        <v>10</v>
      </c>
      <c r="BF17" s="149">
        <v>10</v>
      </c>
      <c r="BG17" s="18">
        <v>10</v>
      </c>
      <c r="BH17" s="39">
        <v>10</v>
      </c>
      <c r="BI17" s="84">
        <f t="shared" si="13"/>
        <v>10</v>
      </c>
      <c r="BJ17" s="64">
        <f t="shared" si="14"/>
        <v>9.5452380952380942</v>
      </c>
    </row>
    <row r="18" spans="1:62" x14ac:dyDescent="0.25">
      <c r="A18" s="1" t="s">
        <v>768</v>
      </c>
      <c r="B18" s="5" t="s">
        <v>769</v>
      </c>
      <c r="C18" s="24" t="s">
        <v>15</v>
      </c>
      <c r="D18" s="50">
        <v>3</v>
      </c>
      <c r="E18" s="50" t="s">
        <v>16</v>
      </c>
      <c r="F18" s="169">
        <v>10</v>
      </c>
      <c r="G18" s="216">
        <v>8</v>
      </c>
      <c r="H18" s="39">
        <v>10</v>
      </c>
      <c r="I18" s="84">
        <f t="shared" si="0"/>
        <v>9.3333333333333339</v>
      </c>
      <c r="J18" s="130">
        <v>10</v>
      </c>
      <c r="K18" s="14">
        <v>10</v>
      </c>
      <c r="L18" s="39">
        <v>10</v>
      </c>
      <c r="M18" s="84">
        <f t="shared" si="1"/>
        <v>10</v>
      </c>
      <c r="N18" s="131">
        <v>9.8000000000000007</v>
      </c>
      <c r="O18" s="18">
        <v>8</v>
      </c>
      <c r="P18" s="92">
        <v>10</v>
      </c>
      <c r="Q18" s="84">
        <f t="shared" si="2"/>
        <v>9.2666666666666675</v>
      </c>
      <c r="R18" s="131">
        <v>9.8000000000000007</v>
      </c>
      <c r="S18" s="18">
        <v>8</v>
      </c>
      <c r="T18" s="93">
        <v>8</v>
      </c>
      <c r="U18" s="84">
        <f t="shared" si="3"/>
        <v>8.6</v>
      </c>
      <c r="V18" s="131">
        <v>10</v>
      </c>
      <c r="W18" s="18">
        <v>9.5</v>
      </c>
      <c r="X18" s="39">
        <v>9</v>
      </c>
      <c r="Y18" s="84">
        <f t="shared" si="4"/>
        <v>9.5</v>
      </c>
      <c r="Z18" s="131">
        <v>10</v>
      </c>
      <c r="AA18" s="18">
        <v>9.8000000000000007</v>
      </c>
      <c r="AB18" s="92">
        <v>10</v>
      </c>
      <c r="AC18" s="84">
        <f t="shared" si="5"/>
        <v>9.9333333333333336</v>
      </c>
      <c r="AD18" s="172">
        <v>9</v>
      </c>
      <c r="AE18" s="18">
        <v>8</v>
      </c>
      <c r="AF18" s="39">
        <v>10</v>
      </c>
      <c r="AG18" s="84">
        <f t="shared" si="6"/>
        <v>9</v>
      </c>
      <c r="AH18" s="131">
        <v>10</v>
      </c>
      <c r="AI18" s="18">
        <v>10</v>
      </c>
      <c r="AJ18" s="39">
        <v>10</v>
      </c>
      <c r="AK18" s="84">
        <f t="shared" si="7"/>
        <v>10</v>
      </c>
      <c r="AL18" s="131">
        <v>9</v>
      </c>
      <c r="AM18" s="18">
        <v>9</v>
      </c>
      <c r="AN18" s="39">
        <v>10</v>
      </c>
      <c r="AO18" s="84">
        <f t="shared" si="8"/>
        <v>9.3333333333333339</v>
      </c>
      <c r="AP18" s="131">
        <v>10</v>
      </c>
      <c r="AQ18" s="18">
        <v>9</v>
      </c>
      <c r="AR18" s="39">
        <v>10</v>
      </c>
      <c r="AS18" s="84">
        <f t="shared" si="9"/>
        <v>9.6666666666666661</v>
      </c>
      <c r="AT18" s="143">
        <v>10</v>
      </c>
      <c r="AU18" s="18">
        <v>9</v>
      </c>
      <c r="AV18" s="39">
        <v>10</v>
      </c>
      <c r="AW18" s="84">
        <f t="shared" si="10"/>
        <v>9.6666666666666661</v>
      </c>
      <c r="AX18" s="144">
        <v>10</v>
      </c>
      <c r="AY18" s="18">
        <v>9</v>
      </c>
      <c r="AZ18" s="39">
        <v>10</v>
      </c>
      <c r="BA18" s="84">
        <f t="shared" si="11"/>
        <v>9.6666666666666661</v>
      </c>
      <c r="BB18" s="137">
        <v>10</v>
      </c>
      <c r="BC18" s="18">
        <v>10</v>
      </c>
      <c r="BD18" s="39">
        <v>10</v>
      </c>
      <c r="BE18" s="84">
        <f t="shared" si="12"/>
        <v>10</v>
      </c>
      <c r="BF18" s="149">
        <v>10</v>
      </c>
      <c r="BG18" s="18">
        <v>9</v>
      </c>
      <c r="BH18" s="39">
        <v>10</v>
      </c>
      <c r="BI18" s="84">
        <f t="shared" si="13"/>
        <v>9.6666666666666661</v>
      </c>
      <c r="BJ18" s="64">
        <f t="shared" si="14"/>
        <v>9.545238095238096</v>
      </c>
    </row>
    <row r="19" spans="1:62" ht="15.75" customHeight="1" x14ac:dyDescent="0.25">
      <c r="A19" s="1" t="s">
        <v>691</v>
      </c>
      <c r="B19" s="8" t="s">
        <v>692</v>
      </c>
      <c r="C19" s="24" t="s">
        <v>15</v>
      </c>
      <c r="D19" s="50">
        <v>3</v>
      </c>
      <c r="E19" s="50" t="s">
        <v>16</v>
      </c>
      <c r="F19" s="169">
        <v>10</v>
      </c>
      <c r="G19" s="216">
        <v>10</v>
      </c>
      <c r="H19" s="39">
        <v>10</v>
      </c>
      <c r="I19" s="84">
        <f t="shared" si="0"/>
        <v>10</v>
      </c>
      <c r="J19" s="130">
        <v>10</v>
      </c>
      <c r="K19" s="14">
        <v>10</v>
      </c>
      <c r="L19" s="39">
        <v>10</v>
      </c>
      <c r="M19" s="84">
        <f t="shared" si="1"/>
        <v>10</v>
      </c>
      <c r="N19" s="131">
        <v>9.1999999999999993</v>
      </c>
      <c r="O19" s="18">
        <v>9</v>
      </c>
      <c r="P19" s="92">
        <v>10</v>
      </c>
      <c r="Q19" s="84">
        <f t="shared" si="2"/>
        <v>9.4</v>
      </c>
      <c r="R19" s="131">
        <v>9.1999999999999993</v>
      </c>
      <c r="S19" s="18">
        <v>9</v>
      </c>
      <c r="T19" s="93">
        <v>9.8000000000000007</v>
      </c>
      <c r="U19" s="84">
        <f t="shared" si="3"/>
        <v>9.3333333333333339</v>
      </c>
      <c r="V19" s="131">
        <v>10</v>
      </c>
      <c r="W19" s="18">
        <v>9</v>
      </c>
      <c r="X19" s="39">
        <v>9</v>
      </c>
      <c r="Y19" s="84">
        <f t="shared" si="4"/>
        <v>9.3333333333333339</v>
      </c>
      <c r="Z19" s="131">
        <v>10</v>
      </c>
      <c r="AA19" s="18">
        <v>10</v>
      </c>
      <c r="AB19" s="92">
        <v>10</v>
      </c>
      <c r="AC19" s="84">
        <f t="shared" si="5"/>
        <v>10</v>
      </c>
      <c r="AD19" s="172">
        <v>9</v>
      </c>
      <c r="AE19" s="18">
        <v>10</v>
      </c>
      <c r="AF19" s="39">
        <v>10</v>
      </c>
      <c r="AG19" s="84">
        <f t="shared" si="6"/>
        <v>9.6666666666666661</v>
      </c>
      <c r="AH19" s="131">
        <v>10</v>
      </c>
      <c r="AI19" s="18">
        <v>10</v>
      </c>
      <c r="AJ19" s="39">
        <v>10</v>
      </c>
      <c r="AK19" s="84">
        <f t="shared" si="7"/>
        <v>10</v>
      </c>
      <c r="AL19" s="131">
        <v>8</v>
      </c>
      <c r="AM19" s="18">
        <v>10</v>
      </c>
      <c r="AN19" s="39">
        <v>10</v>
      </c>
      <c r="AO19" s="84">
        <f t="shared" si="8"/>
        <v>9.3333333333333339</v>
      </c>
      <c r="AP19" s="131">
        <v>10</v>
      </c>
      <c r="AQ19" s="18">
        <v>9</v>
      </c>
      <c r="AR19" s="39">
        <v>9</v>
      </c>
      <c r="AS19" s="84">
        <f t="shared" si="9"/>
        <v>9.3333333333333339</v>
      </c>
      <c r="AT19" s="143">
        <v>10</v>
      </c>
      <c r="AU19" s="18">
        <v>9</v>
      </c>
      <c r="AV19" s="39">
        <v>10</v>
      </c>
      <c r="AW19" s="84">
        <f t="shared" si="10"/>
        <v>9.6666666666666661</v>
      </c>
      <c r="AX19" s="144">
        <v>9</v>
      </c>
      <c r="AY19" s="18">
        <v>9</v>
      </c>
      <c r="AZ19" s="39">
        <v>10</v>
      </c>
      <c r="BA19" s="84">
        <f t="shared" si="11"/>
        <v>9.3333333333333339</v>
      </c>
      <c r="BB19" s="137">
        <v>10</v>
      </c>
      <c r="BC19" s="18">
        <v>10</v>
      </c>
      <c r="BD19" s="39">
        <v>10</v>
      </c>
      <c r="BE19" s="84">
        <f t="shared" si="12"/>
        <v>10</v>
      </c>
      <c r="BF19" s="149">
        <v>10</v>
      </c>
      <c r="BG19" s="18">
        <v>10</v>
      </c>
      <c r="BH19" s="39">
        <v>10</v>
      </c>
      <c r="BI19" s="84">
        <f t="shared" si="13"/>
        <v>10</v>
      </c>
      <c r="BJ19" s="64">
        <f t="shared" si="14"/>
        <v>9.671428571428569</v>
      </c>
    </row>
    <row r="20" spans="1:62" ht="15.75" customHeight="1" x14ac:dyDescent="0.25">
      <c r="A20" s="1" t="s">
        <v>717</v>
      </c>
      <c r="B20" s="5" t="s">
        <v>718</v>
      </c>
      <c r="C20" s="24" t="s">
        <v>15</v>
      </c>
      <c r="D20" s="50">
        <v>3</v>
      </c>
      <c r="E20" s="50" t="s">
        <v>16</v>
      </c>
      <c r="F20" s="169">
        <v>10</v>
      </c>
      <c r="G20" s="216">
        <v>10</v>
      </c>
      <c r="H20" s="39">
        <v>10</v>
      </c>
      <c r="I20" s="84">
        <f t="shared" si="0"/>
        <v>10</v>
      </c>
      <c r="J20" s="130">
        <v>10</v>
      </c>
      <c r="K20" s="14">
        <v>10</v>
      </c>
      <c r="L20" s="39">
        <v>10</v>
      </c>
      <c r="M20" s="84">
        <f t="shared" si="1"/>
        <v>10</v>
      </c>
      <c r="N20" s="131">
        <v>9.5</v>
      </c>
      <c r="O20" s="18">
        <v>10</v>
      </c>
      <c r="P20" s="92">
        <v>9.8000000000000007</v>
      </c>
      <c r="Q20" s="84">
        <f t="shared" si="2"/>
        <v>9.7666666666666675</v>
      </c>
      <c r="R20" s="131">
        <v>9.5</v>
      </c>
      <c r="S20" s="18">
        <v>10</v>
      </c>
      <c r="T20" s="93">
        <v>9.8000000000000007</v>
      </c>
      <c r="U20" s="84">
        <f t="shared" si="3"/>
        <v>9.7666666666666675</v>
      </c>
      <c r="V20" s="131">
        <v>10</v>
      </c>
      <c r="W20" s="18">
        <v>9.5</v>
      </c>
      <c r="X20" s="39">
        <v>10</v>
      </c>
      <c r="Y20" s="84">
        <f t="shared" si="4"/>
        <v>9.8333333333333339</v>
      </c>
      <c r="Z20" s="131">
        <v>10</v>
      </c>
      <c r="AA20" s="18">
        <v>9.8000000000000007</v>
      </c>
      <c r="AB20" s="92">
        <v>10</v>
      </c>
      <c r="AC20" s="84">
        <f t="shared" si="5"/>
        <v>9.9333333333333336</v>
      </c>
      <c r="AD20" s="172">
        <v>9</v>
      </c>
      <c r="AE20" s="18">
        <v>10</v>
      </c>
      <c r="AF20" s="39">
        <v>10</v>
      </c>
      <c r="AG20" s="84">
        <f t="shared" si="6"/>
        <v>9.6666666666666661</v>
      </c>
      <c r="AH20" s="131">
        <v>10</v>
      </c>
      <c r="AI20" s="18">
        <v>10</v>
      </c>
      <c r="AJ20" s="39">
        <v>10</v>
      </c>
      <c r="AK20" s="84">
        <f t="shared" si="7"/>
        <v>10</v>
      </c>
      <c r="AL20" s="131">
        <v>9</v>
      </c>
      <c r="AM20" s="18">
        <v>9</v>
      </c>
      <c r="AN20" s="39">
        <v>10</v>
      </c>
      <c r="AO20" s="84">
        <f t="shared" si="8"/>
        <v>9.3333333333333339</v>
      </c>
      <c r="AP20" s="131">
        <v>9.5</v>
      </c>
      <c r="AQ20" s="18">
        <v>9</v>
      </c>
      <c r="AR20" s="39">
        <v>10</v>
      </c>
      <c r="AS20" s="84">
        <f t="shared" si="9"/>
        <v>9.5</v>
      </c>
      <c r="AT20" s="143">
        <v>10</v>
      </c>
      <c r="AU20" s="18">
        <v>9</v>
      </c>
      <c r="AV20" s="39">
        <v>10</v>
      </c>
      <c r="AW20" s="84">
        <f t="shared" si="10"/>
        <v>9.6666666666666661</v>
      </c>
      <c r="AX20" s="144">
        <v>10</v>
      </c>
      <c r="AY20" s="18">
        <v>9</v>
      </c>
      <c r="AZ20" s="39">
        <v>10</v>
      </c>
      <c r="BA20" s="84">
        <f t="shared" si="11"/>
        <v>9.6666666666666661</v>
      </c>
      <c r="BB20" s="137">
        <v>10</v>
      </c>
      <c r="BC20" s="18">
        <v>10</v>
      </c>
      <c r="BD20" s="39">
        <v>10</v>
      </c>
      <c r="BE20" s="84">
        <f t="shared" si="12"/>
        <v>10</v>
      </c>
      <c r="BF20" s="149">
        <v>10</v>
      </c>
      <c r="BG20" s="18">
        <v>9</v>
      </c>
      <c r="BH20" s="39">
        <v>10</v>
      </c>
      <c r="BI20" s="84">
        <f t="shared" si="13"/>
        <v>9.6666666666666661</v>
      </c>
      <c r="BJ20" s="64">
        <f t="shared" si="14"/>
        <v>9.7714285714285722</v>
      </c>
    </row>
    <row r="21" spans="1:62" ht="15.75" customHeight="1" x14ac:dyDescent="0.25">
      <c r="A21" s="1" t="s">
        <v>721</v>
      </c>
      <c r="B21" s="5" t="s">
        <v>722</v>
      </c>
      <c r="C21" s="24" t="s">
        <v>15</v>
      </c>
      <c r="D21" s="50">
        <v>3</v>
      </c>
      <c r="E21" s="50" t="s">
        <v>16</v>
      </c>
      <c r="F21" s="169">
        <v>10</v>
      </c>
      <c r="G21" s="216">
        <v>10</v>
      </c>
      <c r="H21" s="39">
        <v>10</v>
      </c>
      <c r="I21" s="84">
        <f t="shared" si="0"/>
        <v>10</v>
      </c>
      <c r="J21" s="130">
        <v>10</v>
      </c>
      <c r="K21" s="14">
        <v>9</v>
      </c>
      <c r="L21" s="39">
        <v>9</v>
      </c>
      <c r="M21" s="84">
        <f t="shared" si="1"/>
        <v>9.3333333333333339</v>
      </c>
      <c r="N21" s="131">
        <v>9.5</v>
      </c>
      <c r="O21" s="18">
        <v>9</v>
      </c>
      <c r="P21" s="92">
        <v>9.5</v>
      </c>
      <c r="Q21" s="84">
        <f t="shared" si="2"/>
        <v>9.3333333333333339</v>
      </c>
      <c r="R21" s="131">
        <v>9.5</v>
      </c>
      <c r="S21" s="18">
        <v>9</v>
      </c>
      <c r="T21" s="93">
        <v>9</v>
      </c>
      <c r="U21" s="84">
        <f t="shared" si="3"/>
        <v>9.1666666666666661</v>
      </c>
      <c r="V21" s="131">
        <v>10</v>
      </c>
      <c r="W21" s="18">
        <v>8.5</v>
      </c>
      <c r="X21" s="39">
        <v>10</v>
      </c>
      <c r="Y21" s="84">
        <f t="shared" si="4"/>
        <v>9.5</v>
      </c>
      <c r="Z21" s="131">
        <v>10</v>
      </c>
      <c r="AA21" s="18">
        <v>10</v>
      </c>
      <c r="AB21" s="92">
        <v>10</v>
      </c>
      <c r="AC21" s="84">
        <f t="shared" si="5"/>
        <v>10</v>
      </c>
      <c r="AD21" s="172">
        <v>10</v>
      </c>
      <c r="AE21" s="18">
        <v>9</v>
      </c>
      <c r="AF21" s="39">
        <v>10</v>
      </c>
      <c r="AG21" s="84">
        <f t="shared" si="6"/>
        <v>9.6666666666666661</v>
      </c>
      <c r="AH21" s="131">
        <v>10</v>
      </c>
      <c r="AI21" s="18">
        <v>9</v>
      </c>
      <c r="AJ21" s="39">
        <v>10</v>
      </c>
      <c r="AK21" s="84">
        <f t="shared" si="7"/>
        <v>9.6666666666666661</v>
      </c>
      <c r="AL21" s="131">
        <v>9</v>
      </c>
      <c r="AM21" s="18">
        <v>9</v>
      </c>
      <c r="AN21" s="39">
        <v>10</v>
      </c>
      <c r="AO21" s="84">
        <f t="shared" si="8"/>
        <v>9.3333333333333339</v>
      </c>
      <c r="AP21" s="131">
        <v>9</v>
      </c>
      <c r="AQ21" s="18">
        <v>9</v>
      </c>
      <c r="AR21" s="39">
        <v>10</v>
      </c>
      <c r="AS21" s="84">
        <f t="shared" si="9"/>
        <v>9.3333333333333339</v>
      </c>
      <c r="AT21" s="143">
        <v>10</v>
      </c>
      <c r="AU21" s="18">
        <v>9</v>
      </c>
      <c r="AV21" s="39">
        <v>10</v>
      </c>
      <c r="AW21" s="84">
        <f t="shared" si="10"/>
        <v>9.6666666666666661</v>
      </c>
      <c r="AX21" s="144">
        <v>9</v>
      </c>
      <c r="AY21" s="18">
        <v>9</v>
      </c>
      <c r="AZ21" s="39">
        <v>10</v>
      </c>
      <c r="BA21" s="84">
        <f t="shared" si="11"/>
        <v>9.3333333333333339</v>
      </c>
      <c r="BB21" s="137">
        <v>9</v>
      </c>
      <c r="BC21" s="18">
        <v>10</v>
      </c>
      <c r="BD21" s="39">
        <v>10</v>
      </c>
      <c r="BE21" s="84">
        <f t="shared" si="12"/>
        <v>9.6666666666666661</v>
      </c>
      <c r="BF21" s="149">
        <v>10</v>
      </c>
      <c r="BG21" s="18">
        <v>9</v>
      </c>
      <c r="BH21" s="39">
        <v>10</v>
      </c>
      <c r="BI21" s="84">
        <f t="shared" si="13"/>
        <v>9.6666666666666661</v>
      </c>
      <c r="BJ21" s="64">
        <f t="shared" si="14"/>
        <v>9.5476190476190474</v>
      </c>
    </row>
    <row r="22" spans="1:62" ht="15.75" customHeight="1" x14ac:dyDescent="0.25">
      <c r="A22" s="1" t="s">
        <v>689</v>
      </c>
      <c r="B22" s="5" t="s">
        <v>690</v>
      </c>
      <c r="C22" s="24" t="s">
        <v>15</v>
      </c>
      <c r="D22" s="50">
        <v>3</v>
      </c>
      <c r="E22" s="50" t="s">
        <v>16</v>
      </c>
      <c r="F22" s="171">
        <v>8</v>
      </c>
      <c r="G22" s="218">
        <v>8</v>
      </c>
      <c r="H22" s="39">
        <v>10</v>
      </c>
      <c r="I22" s="84">
        <f t="shared" si="0"/>
        <v>8.6666666666666661</v>
      </c>
      <c r="J22" s="130">
        <v>10</v>
      </c>
      <c r="K22" s="14">
        <v>8</v>
      </c>
      <c r="L22" s="39">
        <v>8</v>
      </c>
      <c r="M22" s="84">
        <f t="shared" si="1"/>
        <v>8.6666666666666661</v>
      </c>
      <c r="N22" s="131">
        <v>8.8000000000000007</v>
      </c>
      <c r="O22" s="18">
        <v>8.5</v>
      </c>
      <c r="P22" s="92">
        <v>9.5</v>
      </c>
      <c r="Q22" s="84">
        <f t="shared" si="2"/>
        <v>8.9333333333333336</v>
      </c>
      <c r="R22" s="131">
        <v>8.8000000000000007</v>
      </c>
      <c r="S22" s="18">
        <v>8.5</v>
      </c>
      <c r="T22" s="93">
        <v>8.8000000000000007</v>
      </c>
      <c r="U22" s="84">
        <f t="shared" si="3"/>
        <v>8.7000000000000011</v>
      </c>
      <c r="V22" s="131">
        <v>9</v>
      </c>
      <c r="W22" s="18">
        <v>9</v>
      </c>
      <c r="X22" s="39">
        <v>8</v>
      </c>
      <c r="Y22" s="84">
        <f t="shared" si="4"/>
        <v>8.6666666666666661</v>
      </c>
      <c r="Z22" s="131">
        <v>9</v>
      </c>
      <c r="AA22" s="18">
        <v>10</v>
      </c>
      <c r="AB22" s="92">
        <v>9.5</v>
      </c>
      <c r="AC22" s="84">
        <f t="shared" si="5"/>
        <v>9.5</v>
      </c>
      <c r="AD22" s="172">
        <v>8</v>
      </c>
      <c r="AE22" s="18">
        <v>8</v>
      </c>
      <c r="AF22" s="39">
        <v>10</v>
      </c>
      <c r="AG22" s="84">
        <f t="shared" si="6"/>
        <v>8.6666666666666661</v>
      </c>
      <c r="AH22" s="131">
        <v>10</v>
      </c>
      <c r="AI22" s="18">
        <v>9</v>
      </c>
      <c r="AJ22" s="39">
        <v>8</v>
      </c>
      <c r="AK22" s="84">
        <f t="shared" si="7"/>
        <v>9</v>
      </c>
      <c r="AL22" s="154">
        <v>8</v>
      </c>
      <c r="AM22" s="18">
        <v>8</v>
      </c>
      <c r="AN22" s="39">
        <v>9</v>
      </c>
      <c r="AO22" s="84">
        <f t="shared" si="8"/>
        <v>8.3333333333333339</v>
      </c>
      <c r="AP22" s="142">
        <v>8</v>
      </c>
      <c r="AQ22" s="18">
        <v>8</v>
      </c>
      <c r="AR22" s="39">
        <v>8</v>
      </c>
      <c r="AS22" s="84">
        <f t="shared" si="9"/>
        <v>8</v>
      </c>
      <c r="AT22" s="143">
        <v>10</v>
      </c>
      <c r="AU22" s="18">
        <v>8</v>
      </c>
      <c r="AV22" s="39">
        <v>10</v>
      </c>
      <c r="AW22" s="84">
        <f t="shared" si="10"/>
        <v>9.3333333333333339</v>
      </c>
      <c r="AX22" s="144">
        <v>9</v>
      </c>
      <c r="AY22" s="18">
        <v>9</v>
      </c>
      <c r="AZ22" s="39">
        <v>10</v>
      </c>
      <c r="BA22" s="84">
        <f t="shared" si="11"/>
        <v>9.3333333333333339</v>
      </c>
      <c r="BB22" s="137">
        <v>10</v>
      </c>
      <c r="BC22" s="18">
        <v>10</v>
      </c>
      <c r="BD22" s="39">
        <v>10</v>
      </c>
      <c r="BE22" s="84">
        <f t="shared" si="12"/>
        <v>10</v>
      </c>
      <c r="BF22" s="149">
        <v>10</v>
      </c>
      <c r="BG22" s="18">
        <v>8</v>
      </c>
      <c r="BH22" s="39">
        <v>10</v>
      </c>
      <c r="BI22" s="84">
        <f t="shared" si="13"/>
        <v>9.3333333333333339</v>
      </c>
      <c r="BJ22" s="64">
        <f t="shared" si="14"/>
        <v>8.9380952380952365</v>
      </c>
    </row>
    <row r="23" spans="1:62" ht="15.75" customHeight="1" x14ac:dyDescent="0.25">
      <c r="A23" s="1" t="s">
        <v>772</v>
      </c>
      <c r="B23" s="5" t="s">
        <v>773</v>
      </c>
      <c r="C23" s="24" t="s">
        <v>15</v>
      </c>
      <c r="D23" s="50">
        <v>3</v>
      </c>
      <c r="E23" s="50" t="s">
        <v>16</v>
      </c>
      <c r="F23" s="169">
        <v>10</v>
      </c>
      <c r="G23" s="216">
        <v>6</v>
      </c>
      <c r="H23" s="39">
        <v>10</v>
      </c>
      <c r="I23" s="84">
        <f t="shared" si="0"/>
        <v>8.6666666666666661</v>
      </c>
      <c r="J23" s="130">
        <v>10</v>
      </c>
      <c r="K23" s="14">
        <v>10</v>
      </c>
      <c r="L23" s="39">
        <v>10</v>
      </c>
      <c r="M23" s="84">
        <f t="shared" si="1"/>
        <v>10</v>
      </c>
      <c r="N23" s="131">
        <v>9.5</v>
      </c>
      <c r="O23" s="18">
        <v>9</v>
      </c>
      <c r="P23" s="92">
        <v>10</v>
      </c>
      <c r="Q23" s="84">
        <f t="shared" si="2"/>
        <v>9.5</v>
      </c>
      <c r="R23" s="131">
        <v>9.5</v>
      </c>
      <c r="S23" s="18">
        <v>8</v>
      </c>
      <c r="T23" s="93">
        <v>9</v>
      </c>
      <c r="U23" s="84">
        <f t="shared" si="3"/>
        <v>8.8333333333333339</v>
      </c>
      <c r="V23" s="131">
        <v>8</v>
      </c>
      <c r="W23" s="18">
        <v>8.5</v>
      </c>
      <c r="X23" s="39">
        <v>9</v>
      </c>
      <c r="Y23" s="84">
        <f t="shared" si="4"/>
        <v>8.5</v>
      </c>
      <c r="Z23" s="131">
        <v>8</v>
      </c>
      <c r="AA23" s="18">
        <v>9.1</v>
      </c>
      <c r="AB23" s="92">
        <v>9.1999999999999993</v>
      </c>
      <c r="AC23" s="84">
        <f t="shared" si="5"/>
        <v>8.7666666666666675</v>
      </c>
      <c r="AD23" s="172">
        <v>9</v>
      </c>
      <c r="AE23" s="18">
        <v>10</v>
      </c>
      <c r="AF23" s="39">
        <v>10</v>
      </c>
      <c r="AG23" s="84">
        <f t="shared" si="6"/>
        <v>9.6666666666666661</v>
      </c>
      <c r="AH23" s="131">
        <v>10</v>
      </c>
      <c r="AI23" s="18">
        <v>9</v>
      </c>
      <c r="AJ23" s="39">
        <v>8</v>
      </c>
      <c r="AK23" s="84">
        <f t="shared" si="7"/>
        <v>9</v>
      </c>
      <c r="AL23" s="131">
        <v>8</v>
      </c>
      <c r="AM23" s="18">
        <v>8</v>
      </c>
      <c r="AN23" s="39">
        <v>8</v>
      </c>
      <c r="AO23" s="84">
        <f t="shared" si="8"/>
        <v>8</v>
      </c>
      <c r="AP23" s="154">
        <v>8</v>
      </c>
      <c r="AQ23" s="18">
        <v>8</v>
      </c>
      <c r="AR23" s="94">
        <v>8</v>
      </c>
      <c r="AS23" s="84">
        <f t="shared" si="9"/>
        <v>8</v>
      </c>
      <c r="AT23" s="143">
        <v>10</v>
      </c>
      <c r="AU23" s="18">
        <v>10</v>
      </c>
      <c r="AV23" s="39">
        <v>10</v>
      </c>
      <c r="AW23" s="84">
        <f t="shared" si="10"/>
        <v>10</v>
      </c>
      <c r="AX23" s="144">
        <v>10</v>
      </c>
      <c r="AY23" s="18">
        <v>9</v>
      </c>
      <c r="AZ23" s="39">
        <v>10</v>
      </c>
      <c r="BA23" s="84">
        <f t="shared" si="11"/>
        <v>9.6666666666666661</v>
      </c>
      <c r="BB23" s="137">
        <v>10</v>
      </c>
      <c r="BC23" s="18">
        <v>10</v>
      </c>
      <c r="BD23" s="39">
        <v>10</v>
      </c>
      <c r="BE23" s="84">
        <f t="shared" si="12"/>
        <v>10</v>
      </c>
      <c r="BF23" s="149">
        <v>10</v>
      </c>
      <c r="BG23" s="18">
        <v>10</v>
      </c>
      <c r="BH23" s="39">
        <v>10</v>
      </c>
      <c r="BI23" s="84">
        <f t="shared" si="13"/>
        <v>10</v>
      </c>
      <c r="BJ23" s="64">
        <f t="shared" si="14"/>
        <v>9.1857142857142868</v>
      </c>
    </row>
    <row r="24" spans="1:62" x14ac:dyDescent="0.25">
      <c r="A24" s="1" t="s">
        <v>766</v>
      </c>
      <c r="B24" s="5" t="s">
        <v>767</v>
      </c>
      <c r="C24" s="24" t="s">
        <v>15</v>
      </c>
      <c r="D24" s="50">
        <v>3</v>
      </c>
      <c r="E24" s="50" t="s">
        <v>16</v>
      </c>
      <c r="F24" s="169">
        <v>8</v>
      </c>
      <c r="G24" s="216">
        <v>10</v>
      </c>
      <c r="H24" s="39">
        <v>10</v>
      </c>
      <c r="I24" s="84">
        <f t="shared" si="0"/>
        <v>9.3333333333333339</v>
      </c>
      <c r="J24" s="130">
        <v>10</v>
      </c>
      <c r="K24" s="14">
        <v>10</v>
      </c>
      <c r="L24" s="39">
        <v>9</v>
      </c>
      <c r="M24" s="84">
        <f t="shared" si="1"/>
        <v>9.6666666666666661</v>
      </c>
      <c r="N24" s="131">
        <v>8.8000000000000007</v>
      </c>
      <c r="O24" s="18">
        <v>8</v>
      </c>
      <c r="P24" s="92">
        <v>10</v>
      </c>
      <c r="Q24" s="84">
        <f t="shared" si="2"/>
        <v>8.9333333333333336</v>
      </c>
      <c r="R24" s="131">
        <v>8.8000000000000007</v>
      </c>
      <c r="S24" s="18">
        <v>8</v>
      </c>
      <c r="T24" s="93">
        <v>8.3000000000000007</v>
      </c>
      <c r="U24" s="84">
        <f t="shared" si="3"/>
        <v>8.3666666666666671</v>
      </c>
      <c r="V24" s="131">
        <v>8.8000000000000007</v>
      </c>
      <c r="W24" s="18">
        <v>8.5</v>
      </c>
      <c r="X24" s="39">
        <v>9</v>
      </c>
      <c r="Y24" s="84">
        <f t="shared" si="4"/>
        <v>8.7666666666666675</v>
      </c>
      <c r="Z24" s="131">
        <v>8.8000000000000007</v>
      </c>
      <c r="AA24" s="18">
        <v>5.3</v>
      </c>
      <c r="AB24" s="92">
        <v>9.1999999999999993</v>
      </c>
      <c r="AC24" s="84">
        <f t="shared" si="5"/>
        <v>7.7666666666666666</v>
      </c>
      <c r="AD24" s="172">
        <v>9</v>
      </c>
      <c r="AE24" s="18">
        <v>8</v>
      </c>
      <c r="AF24" s="39">
        <v>10</v>
      </c>
      <c r="AG24" s="84">
        <f t="shared" si="6"/>
        <v>9</v>
      </c>
      <c r="AH24" s="131">
        <v>10</v>
      </c>
      <c r="AI24" s="18">
        <v>9</v>
      </c>
      <c r="AJ24" s="39">
        <v>9</v>
      </c>
      <c r="AK24" s="84">
        <f t="shared" si="7"/>
        <v>9.3333333333333339</v>
      </c>
      <c r="AL24" s="131">
        <v>8</v>
      </c>
      <c r="AM24" s="18">
        <v>9</v>
      </c>
      <c r="AN24" s="39">
        <v>9</v>
      </c>
      <c r="AO24" s="84">
        <f t="shared" si="8"/>
        <v>8.6666666666666661</v>
      </c>
      <c r="AP24" s="154">
        <v>8</v>
      </c>
      <c r="AQ24" s="18">
        <v>8</v>
      </c>
      <c r="AR24" s="39">
        <v>9</v>
      </c>
      <c r="AS24" s="84">
        <f t="shared" si="9"/>
        <v>8.3333333333333339</v>
      </c>
      <c r="AT24" s="143">
        <v>10</v>
      </c>
      <c r="AU24" s="18">
        <v>9</v>
      </c>
      <c r="AV24" s="39">
        <v>10</v>
      </c>
      <c r="AW24" s="84">
        <f t="shared" si="10"/>
        <v>9.6666666666666661</v>
      </c>
      <c r="AX24" s="173">
        <v>10</v>
      </c>
      <c r="AY24" s="18">
        <v>9</v>
      </c>
      <c r="AZ24" s="39">
        <v>10</v>
      </c>
      <c r="BA24" s="84">
        <f t="shared" si="11"/>
        <v>9.6666666666666661</v>
      </c>
      <c r="BB24" s="174">
        <v>9</v>
      </c>
      <c r="BC24" s="18">
        <v>10</v>
      </c>
      <c r="BD24" s="39">
        <v>10</v>
      </c>
      <c r="BE24" s="84">
        <f t="shared" si="12"/>
        <v>9.6666666666666661</v>
      </c>
      <c r="BF24" s="149">
        <v>10</v>
      </c>
      <c r="BG24" s="18">
        <v>10</v>
      </c>
      <c r="BH24" s="39">
        <v>10</v>
      </c>
      <c r="BI24" s="84">
        <f t="shared" si="13"/>
        <v>10</v>
      </c>
      <c r="BJ24" s="64">
        <f t="shared" si="14"/>
        <v>9.0833333333333339</v>
      </c>
    </row>
    <row r="25" spans="1:62" s="87" customFormat="1" ht="16.5" x14ac:dyDescent="0.25">
      <c r="A25" s="90" t="s">
        <v>744</v>
      </c>
      <c r="B25" s="91" t="s">
        <v>745</v>
      </c>
      <c r="C25" s="100" t="s">
        <v>15</v>
      </c>
      <c r="D25" s="101">
        <v>3</v>
      </c>
      <c r="E25" s="101" t="s">
        <v>41</v>
      </c>
      <c r="F25" s="169">
        <v>9</v>
      </c>
      <c r="G25" s="216">
        <v>8</v>
      </c>
      <c r="H25" s="122">
        <v>10</v>
      </c>
      <c r="I25" s="103">
        <f t="shared" si="0"/>
        <v>9</v>
      </c>
      <c r="J25" s="130">
        <v>10</v>
      </c>
      <c r="K25" s="14">
        <v>10</v>
      </c>
      <c r="L25" s="105">
        <v>10</v>
      </c>
      <c r="M25" s="103">
        <f t="shared" si="1"/>
        <v>10</v>
      </c>
      <c r="N25" s="179">
        <v>10</v>
      </c>
      <c r="O25" s="220">
        <v>9</v>
      </c>
      <c r="P25" s="102">
        <v>8.3000000000000007</v>
      </c>
      <c r="Q25" s="103">
        <f t="shared" si="2"/>
        <v>9.1</v>
      </c>
      <c r="R25" s="131">
        <v>10</v>
      </c>
      <c r="S25" s="220">
        <v>8</v>
      </c>
      <c r="T25" s="102">
        <v>8.3000000000000007</v>
      </c>
      <c r="U25" s="103">
        <f t="shared" si="3"/>
        <v>8.7666666666666675</v>
      </c>
      <c r="V25" s="131">
        <v>10</v>
      </c>
      <c r="W25" s="220">
        <v>8.5</v>
      </c>
      <c r="X25" s="104">
        <v>10</v>
      </c>
      <c r="Y25" s="103">
        <f t="shared" si="4"/>
        <v>9.5</v>
      </c>
      <c r="Z25" s="131">
        <v>10</v>
      </c>
      <c r="AA25" s="220">
        <v>9.8000000000000007</v>
      </c>
      <c r="AB25" s="102">
        <v>9.8000000000000007</v>
      </c>
      <c r="AC25" s="103">
        <f t="shared" si="5"/>
        <v>9.8666666666666671</v>
      </c>
      <c r="AD25" s="131">
        <v>10</v>
      </c>
      <c r="AE25" s="220">
        <v>9</v>
      </c>
      <c r="AF25" s="105">
        <v>10</v>
      </c>
      <c r="AG25" s="103">
        <f t="shared" si="6"/>
        <v>9.6666666666666661</v>
      </c>
      <c r="AH25" s="131">
        <v>10</v>
      </c>
      <c r="AI25" s="220">
        <v>10</v>
      </c>
      <c r="AJ25" s="104">
        <v>10</v>
      </c>
      <c r="AK25" s="103">
        <f t="shared" si="7"/>
        <v>10</v>
      </c>
      <c r="AL25" s="131">
        <v>9</v>
      </c>
      <c r="AM25" s="220">
        <v>8</v>
      </c>
      <c r="AN25" s="104">
        <v>9</v>
      </c>
      <c r="AO25" s="103">
        <f t="shared" si="8"/>
        <v>8.6666666666666661</v>
      </c>
      <c r="AP25" s="142">
        <v>9</v>
      </c>
      <c r="AQ25" s="220">
        <v>9</v>
      </c>
      <c r="AR25" s="104">
        <v>8</v>
      </c>
      <c r="AS25" s="103">
        <f t="shared" si="9"/>
        <v>8.6666666666666661</v>
      </c>
      <c r="AT25" s="143">
        <v>10</v>
      </c>
      <c r="AU25" s="220">
        <v>8</v>
      </c>
      <c r="AV25" s="104">
        <v>10</v>
      </c>
      <c r="AW25" s="103">
        <f t="shared" si="10"/>
        <v>9.3333333333333339</v>
      </c>
      <c r="AX25" s="143">
        <v>9</v>
      </c>
      <c r="AY25" s="220">
        <v>9</v>
      </c>
      <c r="AZ25" s="104">
        <v>10</v>
      </c>
      <c r="BA25" s="103">
        <f t="shared" si="11"/>
        <v>9.3333333333333339</v>
      </c>
      <c r="BB25" s="131">
        <v>9</v>
      </c>
      <c r="BC25" s="220">
        <v>10</v>
      </c>
      <c r="BD25" s="104">
        <v>10</v>
      </c>
      <c r="BE25" s="103">
        <f t="shared" si="12"/>
        <v>9.6666666666666661</v>
      </c>
      <c r="BF25" s="149">
        <v>10</v>
      </c>
      <c r="BG25" s="220">
        <v>10</v>
      </c>
      <c r="BH25" s="104">
        <v>10</v>
      </c>
      <c r="BI25" s="103">
        <f t="shared" si="13"/>
        <v>10</v>
      </c>
      <c r="BJ25" s="64">
        <f t="shared" si="14"/>
        <v>9.3976190476190471</v>
      </c>
    </row>
    <row r="26" spans="1:62" ht="16.5" x14ac:dyDescent="0.25">
      <c r="A26" s="1" t="s">
        <v>756</v>
      </c>
      <c r="B26" s="5" t="s">
        <v>757</v>
      </c>
      <c r="C26" s="24" t="s">
        <v>15</v>
      </c>
      <c r="D26" s="50">
        <v>3</v>
      </c>
      <c r="E26" s="50" t="s">
        <v>41</v>
      </c>
      <c r="F26" s="109">
        <v>8</v>
      </c>
      <c r="G26" s="14">
        <v>8</v>
      </c>
      <c r="H26" s="121">
        <v>10</v>
      </c>
      <c r="I26" s="84">
        <f t="shared" si="0"/>
        <v>8.6666666666666661</v>
      </c>
      <c r="J26" s="177">
        <v>10</v>
      </c>
      <c r="K26" s="14">
        <v>9</v>
      </c>
      <c r="L26" s="39">
        <v>9</v>
      </c>
      <c r="M26" s="84">
        <f t="shared" si="1"/>
        <v>9.3333333333333339</v>
      </c>
      <c r="N26" s="180">
        <v>9.3000000000000007</v>
      </c>
      <c r="O26" s="220">
        <v>9</v>
      </c>
      <c r="P26" s="95">
        <v>10</v>
      </c>
      <c r="Q26" s="84">
        <f t="shared" si="2"/>
        <v>9.4333333333333336</v>
      </c>
      <c r="R26" s="180">
        <v>9.3000000000000007</v>
      </c>
      <c r="S26" s="220">
        <v>8</v>
      </c>
      <c r="T26" s="95">
        <v>9.5</v>
      </c>
      <c r="U26" s="84">
        <f t="shared" si="3"/>
        <v>8.9333333333333336</v>
      </c>
      <c r="V26" s="180">
        <v>10</v>
      </c>
      <c r="W26" s="220">
        <v>9.6999999999999993</v>
      </c>
      <c r="X26" s="97">
        <v>9</v>
      </c>
      <c r="Y26" s="84">
        <f t="shared" si="4"/>
        <v>9.5666666666666664</v>
      </c>
      <c r="Z26" s="180">
        <v>10</v>
      </c>
      <c r="AA26" s="220">
        <v>9.5</v>
      </c>
      <c r="AB26" s="95">
        <v>8</v>
      </c>
      <c r="AC26" s="84">
        <f t="shared" si="5"/>
        <v>9.1666666666666661</v>
      </c>
      <c r="AD26" s="131">
        <v>10</v>
      </c>
      <c r="AE26" s="220">
        <v>9</v>
      </c>
      <c r="AF26" s="39">
        <v>10</v>
      </c>
      <c r="AG26" s="84">
        <f t="shared" si="6"/>
        <v>9.6666666666666661</v>
      </c>
      <c r="AH26" s="180">
        <v>10</v>
      </c>
      <c r="AI26" s="220">
        <v>9</v>
      </c>
      <c r="AJ26" s="97">
        <v>10</v>
      </c>
      <c r="AK26" s="84">
        <f t="shared" si="7"/>
        <v>9.6666666666666661</v>
      </c>
      <c r="AL26" s="180">
        <v>8</v>
      </c>
      <c r="AM26" s="220">
        <v>9</v>
      </c>
      <c r="AN26" s="97">
        <v>9</v>
      </c>
      <c r="AO26" s="84">
        <f t="shared" si="8"/>
        <v>8.6666666666666661</v>
      </c>
      <c r="AP26" s="186">
        <v>8</v>
      </c>
      <c r="AQ26" s="220">
        <v>8</v>
      </c>
      <c r="AR26" s="97">
        <v>10</v>
      </c>
      <c r="AS26" s="84">
        <f t="shared" si="9"/>
        <v>8.6666666666666661</v>
      </c>
      <c r="AT26" s="143">
        <v>10</v>
      </c>
      <c r="AU26" s="220">
        <v>10</v>
      </c>
      <c r="AV26" s="97">
        <v>10</v>
      </c>
      <c r="AW26" s="84">
        <f t="shared" si="10"/>
        <v>10</v>
      </c>
      <c r="AX26" s="144">
        <v>9</v>
      </c>
      <c r="AY26" s="220">
        <v>9</v>
      </c>
      <c r="AZ26" s="97">
        <v>10</v>
      </c>
      <c r="BA26" s="84">
        <f t="shared" si="11"/>
        <v>9.3333333333333339</v>
      </c>
      <c r="BB26" s="180">
        <v>10</v>
      </c>
      <c r="BC26" s="220">
        <v>10</v>
      </c>
      <c r="BD26" s="97">
        <v>10</v>
      </c>
      <c r="BE26" s="84">
        <f t="shared" si="12"/>
        <v>10</v>
      </c>
      <c r="BF26" s="191">
        <v>10</v>
      </c>
      <c r="BG26" s="220">
        <v>10</v>
      </c>
      <c r="BH26" s="97">
        <v>10</v>
      </c>
      <c r="BI26" s="84">
        <f t="shared" si="13"/>
        <v>10</v>
      </c>
      <c r="BJ26" s="64">
        <f t="shared" si="14"/>
        <v>9.3642857142857157</v>
      </c>
    </row>
    <row r="27" spans="1:62" ht="16.5" x14ac:dyDescent="0.25">
      <c r="A27" s="1" t="s">
        <v>754</v>
      </c>
      <c r="B27" s="5" t="s">
        <v>755</v>
      </c>
      <c r="C27" s="24" t="s">
        <v>15</v>
      </c>
      <c r="D27" s="50">
        <v>3</v>
      </c>
      <c r="E27" s="50" t="s">
        <v>41</v>
      </c>
      <c r="F27" s="109">
        <v>8</v>
      </c>
      <c r="G27" s="14">
        <v>9</v>
      </c>
      <c r="H27" s="121">
        <v>10</v>
      </c>
      <c r="I27" s="84">
        <f t="shared" si="0"/>
        <v>9</v>
      </c>
      <c r="J27" s="177">
        <v>10</v>
      </c>
      <c r="K27" s="14">
        <v>9</v>
      </c>
      <c r="L27" s="39">
        <v>8</v>
      </c>
      <c r="M27" s="84">
        <f t="shared" si="1"/>
        <v>9</v>
      </c>
      <c r="N27" s="180">
        <v>9.6999999999999993</v>
      </c>
      <c r="O27" s="220">
        <v>9</v>
      </c>
      <c r="P27" s="95">
        <v>10</v>
      </c>
      <c r="Q27" s="84">
        <f t="shared" si="2"/>
        <v>9.5666666666666664</v>
      </c>
      <c r="R27" s="180">
        <v>9.6999999999999993</v>
      </c>
      <c r="S27" s="220">
        <v>9</v>
      </c>
      <c r="T27" s="95">
        <v>8.5</v>
      </c>
      <c r="U27" s="84">
        <f t="shared" si="3"/>
        <v>9.0666666666666664</v>
      </c>
      <c r="V27" s="180">
        <v>8</v>
      </c>
      <c r="W27" s="220">
        <v>9</v>
      </c>
      <c r="X27" s="97">
        <v>9</v>
      </c>
      <c r="Y27" s="84">
        <f t="shared" si="4"/>
        <v>8.6666666666666661</v>
      </c>
      <c r="Z27" s="180">
        <v>8</v>
      </c>
      <c r="AA27" s="220">
        <v>5.5</v>
      </c>
      <c r="AB27" s="96">
        <v>9</v>
      </c>
      <c r="AC27" s="84">
        <f t="shared" si="5"/>
        <v>7.5</v>
      </c>
      <c r="AD27" s="131">
        <v>10</v>
      </c>
      <c r="AE27" s="220">
        <v>8</v>
      </c>
      <c r="AF27" s="39">
        <v>10</v>
      </c>
      <c r="AG27" s="84">
        <f t="shared" si="6"/>
        <v>9.3333333333333339</v>
      </c>
      <c r="AH27" s="180">
        <v>10</v>
      </c>
      <c r="AI27" s="220">
        <v>8</v>
      </c>
      <c r="AJ27" s="97">
        <v>8</v>
      </c>
      <c r="AK27" s="84">
        <f t="shared" si="7"/>
        <v>8.6666666666666661</v>
      </c>
      <c r="AL27" s="180">
        <v>9</v>
      </c>
      <c r="AM27" s="220">
        <v>5</v>
      </c>
      <c r="AN27" s="97">
        <v>7.5</v>
      </c>
      <c r="AO27" s="84">
        <f t="shared" si="8"/>
        <v>7.166666666666667</v>
      </c>
      <c r="AP27" s="186">
        <v>8</v>
      </c>
      <c r="AQ27" s="220">
        <v>9</v>
      </c>
      <c r="AR27" s="97">
        <v>9</v>
      </c>
      <c r="AS27" s="84">
        <f t="shared" si="9"/>
        <v>8.6666666666666661</v>
      </c>
      <c r="AT27" s="143">
        <v>10</v>
      </c>
      <c r="AU27" s="220">
        <v>9</v>
      </c>
      <c r="AV27" s="97">
        <v>10</v>
      </c>
      <c r="AW27" s="84">
        <f t="shared" si="10"/>
        <v>9.6666666666666661</v>
      </c>
      <c r="AX27" s="144">
        <v>9</v>
      </c>
      <c r="AY27" s="220">
        <v>9</v>
      </c>
      <c r="AZ27" s="97">
        <v>10</v>
      </c>
      <c r="BA27" s="84">
        <f t="shared" si="11"/>
        <v>9.3333333333333339</v>
      </c>
      <c r="BB27" s="180">
        <v>8</v>
      </c>
      <c r="BC27" s="220">
        <v>8</v>
      </c>
      <c r="BD27" s="97">
        <v>8</v>
      </c>
      <c r="BE27" s="84">
        <f t="shared" si="12"/>
        <v>8</v>
      </c>
      <c r="BF27" s="191">
        <v>10</v>
      </c>
      <c r="BG27" s="220">
        <v>9</v>
      </c>
      <c r="BH27" s="97">
        <v>10</v>
      </c>
      <c r="BI27" s="84">
        <f t="shared" si="13"/>
        <v>9.6666666666666661</v>
      </c>
      <c r="BJ27" s="64">
        <f t="shared" si="14"/>
        <v>8.8071428571428587</v>
      </c>
    </row>
    <row r="28" spans="1:62" ht="16.5" x14ac:dyDescent="0.25">
      <c r="A28" s="1" t="s">
        <v>739</v>
      </c>
      <c r="B28" s="5" t="s">
        <v>740</v>
      </c>
      <c r="C28" s="24" t="s">
        <v>15</v>
      </c>
      <c r="D28" s="50">
        <v>3</v>
      </c>
      <c r="E28" s="50" t="s">
        <v>41</v>
      </c>
      <c r="F28" s="175">
        <v>9</v>
      </c>
      <c r="G28" s="19">
        <v>10</v>
      </c>
      <c r="H28" s="121">
        <v>10</v>
      </c>
      <c r="I28" s="84">
        <f t="shared" si="0"/>
        <v>9.6666666666666661</v>
      </c>
      <c r="J28" s="177">
        <v>10</v>
      </c>
      <c r="K28" s="14">
        <v>9</v>
      </c>
      <c r="L28" s="39">
        <v>10</v>
      </c>
      <c r="M28" s="84">
        <f t="shared" si="1"/>
        <v>9.6666666666666661</v>
      </c>
      <c r="N28" s="180">
        <v>9.8000000000000007</v>
      </c>
      <c r="O28" s="220">
        <v>10</v>
      </c>
      <c r="P28" s="95">
        <v>10</v>
      </c>
      <c r="Q28" s="84">
        <f t="shared" si="2"/>
        <v>9.9333333333333336</v>
      </c>
      <c r="R28" s="180">
        <v>9.8000000000000007</v>
      </c>
      <c r="S28" s="220">
        <v>10</v>
      </c>
      <c r="T28" s="95">
        <v>9.8000000000000007</v>
      </c>
      <c r="U28" s="84">
        <f t="shared" si="3"/>
        <v>9.8666666666666671</v>
      </c>
      <c r="V28" s="180">
        <v>10</v>
      </c>
      <c r="W28" s="220">
        <v>9.1999999999999993</v>
      </c>
      <c r="X28" s="97">
        <v>9</v>
      </c>
      <c r="Y28" s="84">
        <f t="shared" si="4"/>
        <v>9.4</v>
      </c>
      <c r="Z28" s="180">
        <v>10</v>
      </c>
      <c r="AA28" s="220">
        <v>10</v>
      </c>
      <c r="AB28" s="96">
        <v>9</v>
      </c>
      <c r="AC28" s="84">
        <f t="shared" si="5"/>
        <v>9.6666666666666661</v>
      </c>
      <c r="AD28" s="131">
        <v>10</v>
      </c>
      <c r="AE28" s="220">
        <v>10</v>
      </c>
      <c r="AF28" s="39">
        <v>10</v>
      </c>
      <c r="AG28" s="84">
        <f t="shared" si="6"/>
        <v>10</v>
      </c>
      <c r="AH28" s="180">
        <v>10</v>
      </c>
      <c r="AI28" s="220">
        <v>10</v>
      </c>
      <c r="AJ28" s="97">
        <v>10</v>
      </c>
      <c r="AK28" s="84">
        <f t="shared" si="7"/>
        <v>10</v>
      </c>
      <c r="AL28" s="180">
        <v>9</v>
      </c>
      <c r="AM28" s="220">
        <v>9</v>
      </c>
      <c r="AN28" s="97">
        <v>9</v>
      </c>
      <c r="AO28" s="84">
        <f t="shared" si="8"/>
        <v>9</v>
      </c>
      <c r="AP28" s="149">
        <v>10</v>
      </c>
      <c r="AQ28" s="220">
        <v>10</v>
      </c>
      <c r="AR28" s="97">
        <v>10</v>
      </c>
      <c r="AS28" s="84">
        <f t="shared" si="9"/>
        <v>10</v>
      </c>
      <c r="AT28" s="143">
        <v>10</v>
      </c>
      <c r="AU28" s="220">
        <v>9</v>
      </c>
      <c r="AV28" s="97">
        <v>10</v>
      </c>
      <c r="AW28" s="84">
        <f t="shared" si="10"/>
        <v>9.6666666666666661</v>
      </c>
      <c r="AX28" s="144">
        <v>10</v>
      </c>
      <c r="AY28" s="220">
        <v>8</v>
      </c>
      <c r="AZ28" s="97">
        <v>10</v>
      </c>
      <c r="BA28" s="84">
        <f t="shared" si="11"/>
        <v>9.3333333333333339</v>
      </c>
      <c r="BB28" s="180">
        <v>10</v>
      </c>
      <c r="BC28" s="220">
        <v>10</v>
      </c>
      <c r="BD28" s="97">
        <v>10</v>
      </c>
      <c r="BE28" s="84">
        <f t="shared" si="12"/>
        <v>10</v>
      </c>
      <c r="BF28" s="191">
        <v>10</v>
      </c>
      <c r="BG28" s="220">
        <v>10</v>
      </c>
      <c r="BH28" s="97">
        <v>10</v>
      </c>
      <c r="BI28" s="84">
        <f t="shared" si="13"/>
        <v>10</v>
      </c>
      <c r="BJ28" s="64">
        <f t="shared" si="14"/>
        <v>9.7285714285714278</v>
      </c>
    </row>
    <row r="29" spans="1:62" ht="16.5" x14ac:dyDescent="0.25">
      <c r="A29" s="1" t="s">
        <v>758</v>
      </c>
      <c r="B29" s="5" t="s">
        <v>759</v>
      </c>
      <c r="C29" s="24" t="s">
        <v>15</v>
      </c>
      <c r="D29" s="50">
        <v>3</v>
      </c>
      <c r="E29" s="50" t="s">
        <v>41</v>
      </c>
      <c r="F29" s="109">
        <v>8</v>
      </c>
      <c r="G29" s="14">
        <v>10</v>
      </c>
      <c r="H29" s="121">
        <v>10</v>
      </c>
      <c r="I29" s="84">
        <f t="shared" si="0"/>
        <v>9.3333333333333339</v>
      </c>
      <c r="J29" s="177">
        <v>10</v>
      </c>
      <c r="K29" s="14">
        <v>9</v>
      </c>
      <c r="L29" s="39">
        <v>9</v>
      </c>
      <c r="M29" s="84">
        <f t="shared" si="1"/>
        <v>9.3333333333333339</v>
      </c>
      <c r="N29" s="180">
        <v>9.5</v>
      </c>
      <c r="O29" s="220">
        <v>9</v>
      </c>
      <c r="P29" s="95">
        <v>10</v>
      </c>
      <c r="Q29" s="84">
        <f t="shared" si="2"/>
        <v>9.5</v>
      </c>
      <c r="R29" s="180">
        <v>9.5</v>
      </c>
      <c r="S29" s="220">
        <v>9</v>
      </c>
      <c r="T29" s="95">
        <v>9.3000000000000007</v>
      </c>
      <c r="U29" s="84">
        <f t="shared" si="3"/>
        <v>9.2666666666666675</v>
      </c>
      <c r="V29" s="180">
        <v>9</v>
      </c>
      <c r="W29" s="220">
        <v>9.5</v>
      </c>
      <c r="X29" s="97">
        <v>9</v>
      </c>
      <c r="Y29" s="84">
        <f t="shared" si="4"/>
        <v>9.1666666666666661</v>
      </c>
      <c r="Z29" s="180">
        <v>9</v>
      </c>
      <c r="AA29" s="220">
        <v>8</v>
      </c>
      <c r="AB29" s="95">
        <v>8</v>
      </c>
      <c r="AC29" s="84">
        <f t="shared" si="5"/>
        <v>8.3333333333333339</v>
      </c>
      <c r="AD29" s="131">
        <v>9</v>
      </c>
      <c r="AE29" s="220">
        <v>9</v>
      </c>
      <c r="AF29" s="39">
        <v>10</v>
      </c>
      <c r="AG29" s="84">
        <f t="shared" si="6"/>
        <v>9.3333333333333339</v>
      </c>
      <c r="AH29" s="180">
        <v>10</v>
      </c>
      <c r="AI29" s="220">
        <v>9</v>
      </c>
      <c r="AJ29" s="97">
        <v>10</v>
      </c>
      <c r="AK29" s="84">
        <f t="shared" si="7"/>
        <v>9.6666666666666661</v>
      </c>
      <c r="AL29" s="180">
        <v>9</v>
      </c>
      <c r="AM29" s="220">
        <v>8</v>
      </c>
      <c r="AN29" s="97">
        <v>10</v>
      </c>
      <c r="AO29" s="84">
        <f t="shared" si="8"/>
        <v>9</v>
      </c>
      <c r="AP29" s="149">
        <v>8</v>
      </c>
      <c r="AQ29" s="220">
        <v>9</v>
      </c>
      <c r="AR29" s="97">
        <v>9</v>
      </c>
      <c r="AS29" s="84">
        <f t="shared" si="9"/>
        <v>8.6666666666666661</v>
      </c>
      <c r="AT29" s="143">
        <v>10</v>
      </c>
      <c r="AU29" s="220">
        <v>9</v>
      </c>
      <c r="AV29" s="97">
        <v>10</v>
      </c>
      <c r="AW29" s="84">
        <f t="shared" si="10"/>
        <v>9.6666666666666661</v>
      </c>
      <c r="AX29" s="144">
        <v>10</v>
      </c>
      <c r="AY29" s="220">
        <v>9</v>
      </c>
      <c r="AZ29" s="97">
        <v>10</v>
      </c>
      <c r="BA29" s="84">
        <f t="shared" si="11"/>
        <v>9.6666666666666661</v>
      </c>
      <c r="BB29" s="180">
        <v>8</v>
      </c>
      <c r="BC29" s="220">
        <v>10</v>
      </c>
      <c r="BD29" s="97">
        <v>10</v>
      </c>
      <c r="BE29" s="84">
        <f t="shared" si="12"/>
        <v>9.3333333333333339</v>
      </c>
      <c r="BF29" s="191">
        <v>10</v>
      </c>
      <c r="BG29" s="220">
        <v>10</v>
      </c>
      <c r="BH29" s="97">
        <v>10</v>
      </c>
      <c r="BI29" s="84">
        <f t="shared" si="13"/>
        <v>10</v>
      </c>
      <c r="BJ29" s="64">
        <f t="shared" si="14"/>
        <v>9.3047619047619055</v>
      </c>
    </row>
    <row r="30" spans="1:62" ht="16.5" x14ac:dyDescent="0.25">
      <c r="A30" s="1" t="s">
        <v>737</v>
      </c>
      <c r="B30" s="5" t="s">
        <v>738</v>
      </c>
      <c r="C30" s="24" t="s">
        <v>15</v>
      </c>
      <c r="D30" s="50">
        <v>3</v>
      </c>
      <c r="E30" s="50" t="s">
        <v>41</v>
      </c>
      <c r="F30" s="109">
        <v>8</v>
      </c>
      <c r="G30" s="14">
        <v>10</v>
      </c>
      <c r="H30" s="121">
        <v>10</v>
      </c>
      <c r="I30" s="84">
        <f t="shared" si="0"/>
        <v>9.3333333333333339</v>
      </c>
      <c r="J30" s="177">
        <v>10</v>
      </c>
      <c r="K30" s="14">
        <v>9</v>
      </c>
      <c r="L30" s="94">
        <v>9.5</v>
      </c>
      <c r="M30" s="84">
        <f t="shared" si="1"/>
        <v>9.5</v>
      </c>
      <c r="N30" s="180">
        <v>9.6999999999999993</v>
      </c>
      <c r="O30" s="220">
        <v>10</v>
      </c>
      <c r="P30" s="95">
        <v>10</v>
      </c>
      <c r="Q30" s="84">
        <f t="shared" si="2"/>
        <v>9.9</v>
      </c>
      <c r="R30" s="180">
        <v>9.6999999999999993</v>
      </c>
      <c r="S30" s="220">
        <v>9</v>
      </c>
      <c r="T30" s="95">
        <v>9.5</v>
      </c>
      <c r="U30" s="84">
        <f t="shared" si="3"/>
        <v>9.4</v>
      </c>
      <c r="V30" s="180">
        <v>10</v>
      </c>
      <c r="W30" s="220">
        <v>9.5</v>
      </c>
      <c r="X30" s="98">
        <v>10</v>
      </c>
      <c r="Y30" s="84">
        <f t="shared" si="4"/>
        <v>9.8333333333333339</v>
      </c>
      <c r="Z30" s="180">
        <v>10</v>
      </c>
      <c r="AA30" s="220">
        <v>10</v>
      </c>
      <c r="AB30" s="95">
        <v>10</v>
      </c>
      <c r="AC30" s="84">
        <f t="shared" si="5"/>
        <v>10</v>
      </c>
      <c r="AD30" s="131">
        <v>10</v>
      </c>
      <c r="AE30" s="220">
        <v>10</v>
      </c>
      <c r="AF30" s="39">
        <v>10</v>
      </c>
      <c r="AG30" s="84">
        <f t="shared" si="6"/>
        <v>10</v>
      </c>
      <c r="AH30" s="180">
        <v>10</v>
      </c>
      <c r="AI30" s="220">
        <v>10</v>
      </c>
      <c r="AJ30" s="97">
        <v>10</v>
      </c>
      <c r="AK30" s="84">
        <f t="shared" si="7"/>
        <v>10</v>
      </c>
      <c r="AL30" s="180">
        <v>9</v>
      </c>
      <c r="AM30" s="220">
        <v>9</v>
      </c>
      <c r="AN30" s="97">
        <v>10</v>
      </c>
      <c r="AO30" s="84">
        <f t="shared" si="8"/>
        <v>9.3333333333333339</v>
      </c>
      <c r="AP30" s="149">
        <v>9</v>
      </c>
      <c r="AQ30" s="220">
        <v>10</v>
      </c>
      <c r="AR30" s="97">
        <v>10</v>
      </c>
      <c r="AS30" s="84">
        <f t="shared" si="9"/>
        <v>9.6666666666666661</v>
      </c>
      <c r="AT30" s="143">
        <v>10</v>
      </c>
      <c r="AU30" s="220">
        <v>9</v>
      </c>
      <c r="AV30" s="97">
        <v>10</v>
      </c>
      <c r="AW30" s="84">
        <f t="shared" si="10"/>
        <v>9.6666666666666661</v>
      </c>
      <c r="AX30" s="144">
        <v>9</v>
      </c>
      <c r="AY30" s="220">
        <v>8</v>
      </c>
      <c r="AZ30" s="97">
        <v>10</v>
      </c>
      <c r="BA30" s="84">
        <f t="shared" si="11"/>
        <v>9</v>
      </c>
      <c r="BB30" s="180">
        <v>8</v>
      </c>
      <c r="BC30" s="220">
        <v>10</v>
      </c>
      <c r="BD30" s="97">
        <v>10</v>
      </c>
      <c r="BE30" s="84">
        <f t="shared" si="12"/>
        <v>9.3333333333333339</v>
      </c>
      <c r="BF30" s="191">
        <v>10</v>
      </c>
      <c r="BG30" s="220">
        <v>9</v>
      </c>
      <c r="BH30" s="97">
        <v>10</v>
      </c>
      <c r="BI30" s="84">
        <f t="shared" si="13"/>
        <v>9.6666666666666661</v>
      </c>
      <c r="BJ30" s="64">
        <f t="shared" si="14"/>
        <v>9.6166666666666654</v>
      </c>
    </row>
    <row r="31" spans="1:62" ht="16.5" x14ac:dyDescent="0.25">
      <c r="A31" s="1" t="s">
        <v>760</v>
      </c>
      <c r="B31" s="5" t="s">
        <v>761</v>
      </c>
      <c r="C31" s="24" t="s">
        <v>15</v>
      </c>
      <c r="D31" s="50">
        <v>3</v>
      </c>
      <c r="E31" s="50" t="s">
        <v>41</v>
      </c>
      <c r="F31" s="109">
        <v>8</v>
      </c>
      <c r="G31" s="14">
        <v>10</v>
      </c>
      <c r="H31" s="121">
        <v>10</v>
      </c>
      <c r="I31" s="84">
        <f t="shared" si="0"/>
        <v>9.3333333333333339</v>
      </c>
      <c r="J31" s="177">
        <v>10</v>
      </c>
      <c r="K31" s="14">
        <v>9</v>
      </c>
      <c r="L31" s="39">
        <v>8</v>
      </c>
      <c r="M31" s="84">
        <f t="shared" si="1"/>
        <v>9</v>
      </c>
      <c r="N31" s="180">
        <v>9.8000000000000007</v>
      </c>
      <c r="O31" s="220">
        <v>8</v>
      </c>
      <c r="P31" s="95">
        <v>10</v>
      </c>
      <c r="Q31" s="84">
        <f t="shared" si="2"/>
        <v>9.2666666666666675</v>
      </c>
      <c r="R31" s="180">
        <v>9.8000000000000007</v>
      </c>
      <c r="S31" s="220">
        <v>8</v>
      </c>
      <c r="T31" s="95">
        <v>9.3000000000000007</v>
      </c>
      <c r="U31" s="84">
        <f t="shared" si="3"/>
        <v>9.0333333333333332</v>
      </c>
      <c r="V31" s="180">
        <v>10</v>
      </c>
      <c r="W31" s="220">
        <v>9.5</v>
      </c>
      <c r="X31" s="97">
        <v>9</v>
      </c>
      <c r="Y31" s="84">
        <f t="shared" si="4"/>
        <v>9.5</v>
      </c>
      <c r="Z31" s="180">
        <v>10</v>
      </c>
      <c r="AA31" s="220">
        <v>8</v>
      </c>
      <c r="AB31" s="95">
        <v>8.4</v>
      </c>
      <c r="AC31" s="84">
        <f t="shared" si="5"/>
        <v>8.7999999999999989</v>
      </c>
      <c r="AD31" s="131">
        <v>9</v>
      </c>
      <c r="AE31" s="220">
        <v>9</v>
      </c>
      <c r="AF31" s="39">
        <v>10</v>
      </c>
      <c r="AG31" s="84">
        <f t="shared" si="6"/>
        <v>9.3333333333333339</v>
      </c>
      <c r="AH31" s="180">
        <v>10</v>
      </c>
      <c r="AI31" s="220">
        <v>9</v>
      </c>
      <c r="AJ31" s="97">
        <v>10</v>
      </c>
      <c r="AK31" s="84">
        <f t="shared" si="7"/>
        <v>9.6666666666666661</v>
      </c>
      <c r="AL31" s="180">
        <v>9</v>
      </c>
      <c r="AM31" s="220">
        <v>8</v>
      </c>
      <c r="AN31" s="97">
        <v>9</v>
      </c>
      <c r="AO31" s="84">
        <f t="shared" si="8"/>
        <v>8.6666666666666661</v>
      </c>
      <c r="AP31" s="186">
        <v>8</v>
      </c>
      <c r="AQ31" s="220">
        <v>8</v>
      </c>
      <c r="AR31" s="97">
        <v>9</v>
      </c>
      <c r="AS31" s="84">
        <f t="shared" si="9"/>
        <v>8.3333333333333339</v>
      </c>
      <c r="AT31" s="143">
        <v>10</v>
      </c>
      <c r="AU31" s="220">
        <v>9</v>
      </c>
      <c r="AV31" s="97">
        <v>10</v>
      </c>
      <c r="AW31" s="84">
        <f t="shared" si="10"/>
        <v>9.6666666666666661</v>
      </c>
      <c r="AX31" s="144">
        <v>9</v>
      </c>
      <c r="AY31" s="220">
        <v>9</v>
      </c>
      <c r="AZ31" s="97">
        <v>10</v>
      </c>
      <c r="BA31" s="84">
        <f t="shared" si="11"/>
        <v>9.3333333333333339</v>
      </c>
      <c r="BB31" s="180">
        <v>8</v>
      </c>
      <c r="BC31" s="220">
        <v>9</v>
      </c>
      <c r="BD31" s="97">
        <v>9</v>
      </c>
      <c r="BE31" s="84">
        <f t="shared" si="12"/>
        <v>8.6666666666666661</v>
      </c>
      <c r="BF31" s="191">
        <v>10</v>
      </c>
      <c r="BG31" s="220">
        <v>9</v>
      </c>
      <c r="BH31" s="97">
        <v>10</v>
      </c>
      <c r="BI31" s="84">
        <f t="shared" si="13"/>
        <v>9.6666666666666661</v>
      </c>
      <c r="BJ31" s="64">
        <f t="shared" si="14"/>
        <v>9.1619047619047631</v>
      </c>
    </row>
    <row r="32" spans="1:62" ht="16.5" x14ac:dyDescent="0.25">
      <c r="A32" s="1" t="s">
        <v>746</v>
      </c>
      <c r="B32" s="5" t="s">
        <v>747</v>
      </c>
      <c r="C32" s="24" t="s">
        <v>15</v>
      </c>
      <c r="D32" s="50">
        <v>3</v>
      </c>
      <c r="E32" s="50" t="s">
        <v>41</v>
      </c>
      <c r="F32" s="109">
        <v>8</v>
      </c>
      <c r="G32" s="14">
        <v>10</v>
      </c>
      <c r="H32" s="121">
        <v>10</v>
      </c>
      <c r="I32" s="84">
        <f t="shared" si="0"/>
        <v>9.3333333333333339</v>
      </c>
      <c r="J32" s="177">
        <v>10</v>
      </c>
      <c r="K32" s="14">
        <v>9</v>
      </c>
      <c r="L32" s="39">
        <v>9</v>
      </c>
      <c r="M32" s="84">
        <f t="shared" si="1"/>
        <v>9.3333333333333339</v>
      </c>
      <c r="N32" s="180">
        <v>9.8000000000000007</v>
      </c>
      <c r="O32" s="220">
        <v>10</v>
      </c>
      <c r="P32" s="95">
        <v>10</v>
      </c>
      <c r="Q32" s="84">
        <f t="shared" si="2"/>
        <v>9.9333333333333336</v>
      </c>
      <c r="R32" s="180">
        <v>9.8000000000000007</v>
      </c>
      <c r="S32" s="220">
        <v>9</v>
      </c>
      <c r="T32" s="95">
        <v>9.5</v>
      </c>
      <c r="U32" s="84">
        <f t="shared" si="3"/>
        <v>9.4333333333333336</v>
      </c>
      <c r="V32" s="180">
        <v>9</v>
      </c>
      <c r="W32" s="220">
        <v>9.5</v>
      </c>
      <c r="X32" s="97">
        <v>9</v>
      </c>
      <c r="Y32" s="84">
        <f t="shared" si="4"/>
        <v>9.1666666666666661</v>
      </c>
      <c r="Z32" s="180">
        <v>9</v>
      </c>
      <c r="AA32" s="220">
        <v>8</v>
      </c>
      <c r="AB32" s="95">
        <v>8.1999999999999993</v>
      </c>
      <c r="AC32" s="84">
        <f t="shared" si="5"/>
        <v>8.4</v>
      </c>
      <c r="AD32" s="131">
        <v>10</v>
      </c>
      <c r="AE32" s="220">
        <v>9</v>
      </c>
      <c r="AF32" s="39">
        <v>10</v>
      </c>
      <c r="AG32" s="84">
        <f t="shared" si="6"/>
        <v>9.6666666666666661</v>
      </c>
      <c r="AH32" s="180">
        <v>10</v>
      </c>
      <c r="AI32" s="220">
        <v>9</v>
      </c>
      <c r="AJ32" s="97">
        <v>10</v>
      </c>
      <c r="AK32" s="84">
        <f t="shared" si="7"/>
        <v>9.6666666666666661</v>
      </c>
      <c r="AL32" s="180">
        <v>9</v>
      </c>
      <c r="AM32" s="220">
        <v>8</v>
      </c>
      <c r="AN32" s="97">
        <v>10</v>
      </c>
      <c r="AO32" s="84">
        <f t="shared" si="8"/>
        <v>9</v>
      </c>
      <c r="AP32" s="149">
        <v>8.5</v>
      </c>
      <c r="AQ32" s="220">
        <v>9</v>
      </c>
      <c r="AR32" s="97">
        <v>9</v>
      </c>
      <c r="AS32" s="84">
        <f t="shared" si="9"/>
        <v>8.8333333333333339</v>
      </c>
      <c r="AT32" s="143">
        <v>10</v>
      </c>
      <c r="AU32" s="220">
        <v>9</v>
      </c>
      <c r="AV32" s="97">
        <v>10</v>
      </c>
      <c r="AW32" s="84">
        <f t="shared" si="10"/>
        <v>9.6666666666666661</v>
      </c>
      <c r="AX32" s="144">
        <v>9</v>
      </c>
      <c r="AY32" s="220">
        <v>9</v>
      </c>
      <c r="AZ32" s="97">
        <v>10</v>
      </c>
      <c r="BA32" s="84">
        <f t="shared" si="11"/>
        <v>9.3333333333333339</v>
      </c>
      <c r="BB32" s="180">
        <v>8</v>
      </c>
      <c r="BC32" s="220">
        <v>9</v>
      </c>
      <c r="BD32" s="97">
        <v>9</v>
      </c>
      <c r="BE32" s="84">
        <f t="shared" si="12"/>
        <v>8.6666666666666661</v>
      </c>
      <c r="BF32" s="191">
        <v>10</v>
      </c>
      <c r="BG32" s="220">
        <v>8</v>
      </c>
      <c r="BH32" s="97">
        <v>10</v>
      </c>
      <c r="BI32" s="84">
        <f t="shared" si="13"/>
        <v>9.3333333333333339</v>
      </c>
      <c r="BJ32" s="64">
        <f t="shared" si="14"/>
        <v>9.2690476190476208</v>
      </c>
    </row>
    <row r="33" spans="1:62" ht="16.5" x14ac:dyDescent="0.25">
      <c r="A33" s="1" t="s">
        <v>750</v>
      </c>
      <c r="B33" s="5" t="s">
        <v>751</v>
      </c>
      <c r="C33" s="24" t="s">
        <v>15</v>
      </c>
      <c r="D33" s="50">
        <v>3</v>
      </c>
      <c r="E33" s="50" t="s">
        <v>41</v>
      </c>
      <c r="F33" s="109">
        <v>8</v>
      </c>
      <c r="G33" s="14">
        <v>10</v>
      </c>
      <c r="H33" s="121">
        <v>10</v>
      </c>
      <c r="I33" s="84">
        <f t="shared" si="0"/>
        <v>9.3333333333333339</v>
      </c>
      <c r="J33" s="177">
        <v>9</v>
      </c>
      <c r="K33" s="14">
        <v>9</v>
      </c>
      <c r="L33" s="39">
        <v>9</v>
      </c>
      <c r="M33" s="84">
        <f t="shared" si="1"/>
        <v>9</v>
      </c>
      <c r="N33" s="180">
        <v>9.6999999999999993</v>
      </c>
      <c r="O33" s="220">
        <v>10</v>
      </c>
      <c r="P33" s="95">
        <v>10</v>
      </c>
      <c r="Q33" s="84">
        <f t="shared" si="2"/>
        <v>9.9</v>
      </c>
      <c r="R33" s="180">
        <v>9.6999999999999993</v>
      </c>
      <c r="S33" s="220">
        <v>9</v>
      </c>
      <c r="T33" s="95">
        <v>9</v>
      </c>
      <c r="U33" s="84">
        <f t="shared" si="3"/>
        <v>9.2333333333333325</v>
      </c>
      <c r="V33" s="180">
        <v>10</v>
      </c>
      <c r="W33" s="220">
        <v>9</v>
      </c>
      <c r="X33" s="97">
        <v>9</v>
      </c>
      <c r="Y33" s="84">
        <f t="shared" si="4"/>
        <v>9.3333333333333339</v>
      </c>
      <c r="Z33" s="180">
        <v>10</v>
      </c>
      <c r="AA33" s="220">
        <v>8</v>
      </c>
      <c r="AB33" s="95">
        <v>8</v>
      </c>
      <c r="AC33" s="84">
        <f t="shared" si="5"/>
        <v>8.6666666666666661</v>
      </c>
      <c r="AD33" s="131">
        <v>8</v>
      </c>
      <c r="AE33" s="220">
        <v>9</v>
      </c>
      <c r="AF33" s="39">
        <v>10</v>
      </c>
      <c r="AG33" s="84">
        <f t="shared" si="6"/>
        <v>9</v>
      </c>
      <c r="AH33" s="180">
        <v>10</v>
      </c>
      <c r="AI33" s="220">
        <v>9</v>
      </c>
      <c r="AJ33" s="97">
        <v>10</v>
      </c>
      <c r="AK33" s="84">
        <f t="shared" si="7"/>
        <v>9.6666666666666661</v>
      </c>
      <c r="AL33" s="184">
        <v>8</v>
      </c>
      <c r="AM33" s="220">
        <v>9</v>
      </c>
      <c r="AN33" s="97">
        <v>9</v>
      </c>
      <c r="AO33" s="84">
        <f t="shared" si="8"/>
        <v>8.6666666666666661</v>
      </c>
      <c r="AP33" s="187">
        <v>7</v>
      </c>
      <c r="AQ33" s="220">
        <v>9</v>
      </c>
      <c r="AR33" s="97">
        <v>10</v>
      </c>
      <c r="AS33" s="84">
        <f t="shared" si="9"/>
        <v>8.6666666666666661</v>
      </c>
      <c r="AT33" s="143">
        <v>10</v>
      </c>
      <c r="AU33" s="220">
        <v>9</v>
      </c>
      <c r="AV33" s="97">
        <v>10</v>
      </c>
      <c r="AW33" s="84">
        <f t="shared" si="10"/>
        <v>9.6666666666666661</v>
      </c>
      <c r="AX33" s="144">
        <v>10</v>
      </c>
      <c r="AY33" s="220">
        <v>9</v>
      </c>
      <c r="AZ33" s="97">
        <v>10</v>
      </c>
      <c r="BA33" s="84">
        <f t="shared" si="11"/>
        <v>9.6666666666666661</v>
      </c>
      <c r="BB33" s="180">
        <v>8</v>
      </c>
      <c r="BC33" s="220">
        <v>10</v>
      </c>
      <c r="BD33" s="97">
        <v>10</v>
      </c>
      <c r="BE33" s="84">
        <f t="shared" si="12"/>
        <v>9.3333333333333339</v>
      </c>
      <c r="BF33" s="191">
        <v>10</v>
      </c>
      <c r="BG33" s="220">
        <v>9</v>
      </c>
      <c r="BH33" s="97">
        <v>10</v>
      </c>
      <c r="BI33" s="84">
        <f t="shared" si="13"/>
        <v>9.6666666666666661</v>
      </c>
      <c r="BJ33" s="64">
        <f t="shared" si="14"/>
        <v>9.2714285714285722</v>
      </c>
    </row>
    <row r="34" spans="1:62" ht="16.5" x14ac:dyDescent="0.25">
      <c r="A34" s="1" t="s">
        <v>742</v>
      </c>
      <c r="B34" s="5" t="s">
        <v>743</v>
      </c>
      <c r="C34" s="24" t="s">
        <v>15</v>
      </c>
      <c r="D34" s="50">
        <v>3</v>
      </c>
      <c r="E34" s="50" t="s">
        <v>41</v>
      </c>
      <c r="F34" s="175">
        <v>8</v>
      </c>
      <c r="G34" s="19">
        <v>8</v>
      </c>
      <c r="H34" s="121">
        <v>10</v>
      </c>
      <c r="I34" s="84">
        <f t="shared" si="0"/>
        <v>8.6666666666666661</v>
      </c>
      <c r="J34" s="177">
        <v>10</v>
      </c>
      <c r="K34" s="14">
        <v>10</v>
      </c>
      <c r="L34" s="39">
        <v>8</v>
      </c>
      <c r="M34" s="84">
        <f t="shared" si="1"/>
        <v>9.3333333333333339</v>
      </c>
      <c r="N34" s="180">
        <v>9.4</v>
      </c>
      <c r="O34" s="220">
        <v>8</v>
      </c>
      <c r="P34" s="95">
        <v>9.1</v>
      </c>
      <c r="Q34" s="84">
        <f t="shared" si="2"/>
        <v>8.8333333333333339</v>
      </c>
      <c r="R34" s="180">
        <v>9.4</v>
      </c>
      <c r="S34" s="220">
        <v>8</v>
      </c>
      <c r="T34" s="95">
        <v>9.3000000000000007</v>
      </c>
      <c r="U34" s="84">
        <f t="shared" si="3"/>
        <v>8.9</v>
      </c>
      <c r="V34" s="180">
        <v>10</v>
      </c>
      <c r="W34" s="220">
        <v>8.1999999999999993</v>
      </c>
      <c r="X34" s="97">
        <v>9</v>
      </c>
      <c r="Y34" s="84">
        <f t="shared" si="4"/>
        <v>9.0666666666666664</v>
      </c>
      <c r="Z34" s="180">
        <v>10</v>
      </c>
      <c r="AA34" s="220">
        <v>8.8000000000000007</v>
      </c>
      <c r="AB34" s="95">
        <v>8</v>
      </c>
      <c r="AC34" s="84">
        <f t="shared" si="5"/>
        <v>8.9333333333333336</v>
      </c>
      <c r="AD34" s="131">
        <v>9</v>
      </c>
      <c r="AE34" s="220">
        <v>8</v>
      </c>
      <c r="AF34" s="39">
        <v>10</v>
      </c>
      <c r="AG34" s="84">
        <f t="shared" si="6"/>
        <v>9</v>
      </c>
      <c r="AH34" s="180">
        <v>10</v>
      </c>
      <c r="AI34" s="220">
        <v>8</v>
      </c>
      <c r="AJ34" s="97">
        <v>9</v>
      </c>
      <c r="AK34" s="84">
        <f t="shared" si="7"/>
        <v>9</v>
      </c>
      <c r="AL34" s="180">
        <v>8</v>
      </c>
      <c r="AM34" s="220">
        <v>7</v>
      </c>
      <c r="AN34" s="97">
        <v>10</v>
      </c>
      <c r="AO34" s="84">
        <f t="shared" si="8"/>
        <v>8.3333333333333339</v>
      </c>
      <c r="AP34" s="157">
        <v>9</v>
      </c>
      <c r="AQ34" s="220">
        <v>9</v>
      </c>
      <c r="AR34" s="97">
        <v>9</v>
      </c>
      <c r="AS34" s="84">
        <f t="shared" si="9"/>
        <v>9</v>
      </c>
      <c r="AT34" s="143">
        <v>10</v>
      </c>
      <c r="AU34" s="220">
        <v>9</v>
      </c>
      <c r="AV34" s="97">
        <v>10</v>
      </c>
      <c r="AW34" s="84">
        <f t="shared" si="10"/>
        <v>9.6666666666666661</v>
      </c>
      <c r="AX34" s="144">
        <v>10</v>
      </c>
      <c r="AY34" s="220">
        <v>9</v>
      </c>
      <c r="AZ34" s="97">
        <v>10</v>
      </c>
      <c r="BA34" s="84">
        <f t="shared" si="11"/>
        <v>9.6666666666666661</v>
      </c>
      <c r="BB34" s="180">
        <v>8</v>
      </c>
      <c r="BC34" s="220">
        <v>10</v>
      </c>
      <c r="BD34" s="97">
        <v>10</v>
      </c>
      <c r="BE34" s="84">
        <f t="shared" si="12"/>
        <v>9.3333333333333339</v>
      </c>
      <c r="BF34" s="191">
        <v>10</v>
      </c>
      <c r="BG34" s="220">
        <v>9</v>
      </c>
      <c r="BH34" s="97">
        <v>10</v>
      </c>
      <c r="BI34" s="84">
        <f t="shared" si="13"/>
        <v>9.6666666666666661</v>
      </c>
      <c r="BJ34" s="64">
        <f t="shared" si="14"/>
        <v>9.1</v>
      </c>
    </row>
    <row r="35" spans="1:62" ht="16.5" x14ac:dyDescent="0.25">
      <c r="A35" s="1" t="s">
        <v>705</v>
      </c>
      <c r="B35" s="8" t="s">
        <v>706</v>
      </c>
      <c r="C35" s="24" t="s">
        <v>15</v>
      </c>
      <c r="D35" s="50">
        <v>3</v>
      </c>
      <c r="E35" s="50" t="s">
        <v>41</v>
      </c>
      <c r="F35" s="141">
        <v>8</v>
      </c>
      <c r="G35" s="19">
        <v>8</v>
      </c>
      <c r="H35" s="121">
        <v>10</v>
      </c>
      <c r="I35" s="84">
        <f t="shared" si="0"/>
        <v>8.6666666666666661</v>
      </c>
      <c r="J35" s="177">
        <v>10</v>
      </c>
      <c r="K35" s="14">
        <v>10</v>
      </c>
      <c r="L35" s="39">
        <v>10</v>
      </c>
      <c r="M35" s="84">
        <f t="shared" si="1"/>
        <v>10</v>
      </c>
      <c r="N35" s="180">
        <v>9.8000000000000007</v>
      </c>
      <c r="O35" s="220">
        <v>8</v>
      </c>
      <c r="P35" s="95">
        <v>10</v>
      </c>
      <c r="Q35" s="84">
        <f t="shared" si="2"/>
        <v>9.2666666666666675</v>
      </c>
      <c r="R35" s="180">
        <v>9.8000000000000007</v>
      </c>
      <c r="S35" s="220">
        <v>9</v>
      </c>
      <c r="T35" s="95">
        <v>9</v>
      </c>
      <c r="U35" s="84">
        <f t="shared" si="3"/>
        <v>9.2666666666666675</v>
      </c>
      <c r="V35" s="180">
        <v>8</v>
      </c>
      <c r="W35" s="220">
        <v>8</v>
      </c>
      <c r="X35" s="97">
        <v>9</v>
      </c>
      <c r="Y35" s="84">
        <f t="shared" si="4"/>
        <v>8.3333333333333339</v>
      </c>
      <c r="Z35" s="180">
        <v>8</v>
      </c>
      <c r="AA35" s="220">
        <v>6</v>
      </c>
      <c r="AB35" s="95">
        <v>8.4</v>
      </c>
      <c r="AC35" s="84">
        <f t="shared" si="5"/>
        <v>7.4666666666666659</v>
      </c>
      <c r="AD35" s="154">
        <v>9</v>
      </c>
      <c r="AE35" s="220">
        <v>8</v>
      </c>
      <c r="AF35" s="39">
        <v>10</v>
      </c>
      <c r="AG35" s="84">
        <f t="shared" si="6"/>
        <v>9</v>
      </c>
      <c r="AH35" s="180">
        <v>10</v>
      </c>
      <c r="AI35" s="220">
        <v>9</v>
      </c>
      <c r="AJ35" s="97">
        <v>10</v>
      </c>
      <c r="AK35" s="84">
        <f t="shared" si="7"/>
        <v>9.6666666666666661</v>
      </c>
      <c r="AL35" s="185">
        <v>8</v>
      </c>
      <c r="AM35" s="220">
        <v>9</v>
      </c>
      <c r="AN35" s="97">
        <v>9</v>
      </c>
      <c r="AO35" s="84">
        <f t="shared" si="8"/>
        <v>8.6666666666666661</v>
      </c>
      <c r="AP35" s="149">
        <v>10</v>
      </c>
      <c r="AQ35" s="220">
        <v>2</v>
      </c>
      <c r="AR35" s="97">
        <v>9</v>
      </c>
      <c r="AS35" s="84">
        <f t="shared" si="9"/>
        <v>7</v>
      </c>
      <c r="AT35" s="143">
        <v>10</v>
      </c>
      <c r="AU35" s="220">
        <v>9</v>
      </c>
      <c r="AV35" s="97">
        <v>10</v>
      </c>
      <c r="AW35" s="84">
        <f t="shared" si="10"/>
        <v>9.6666666666666661</v>
      </c>
      <c r="AX35" s="144">
        <v>9</v>
      </c>
      <c r="AY35" s="220">
        <v>8</v>
      </c>
      <c r="AZ35" s="97">
        <v>10</v>
      </c>
      <c r="BA35" s="84">
        <f t="shared" si="11"/>
        <v>9</v>
      </c>
      <c r="BB35" s="180">
        <v>8</v>
      </c>
      <c r="BC35" s="220">
        <v>9</v>
      </c>
      <c r="BD35" s="97">
        <v>8</v>
      </c>
      <c r="BE35" s="84">
        <f t="shared" si="12"/>
        <v>8.3333333333333339</v>
      </c>
      <c r="BF35" s="191">
        <v>10</v>
      </c>
      <c r="BG35" s="220">
        <v>9</v>
      </c>
      <c r="BH35" s="97">
        <v>10</v>
      </c>
      <c r="BI35" s="84">
        <f t="shared" si="13"/>
        <v>9.6666666666666661</v>
      </c>
      <c r="BJ35" s="64">
        <f t="shared" si="14"/>
        <v>8.8571428571428577</v>
      </c>
    </row>
    <row r="36" spans="1:62" ht="16.5" x14ac:dyDescent="0.25">
      <c r="A36" s="1" t="s">
        <v>701</v>
      </c>
      <c r="B36" s="5" t="s">
        <v>702</v>
      </c>
      <c r="C36" s="24" t="s">
        <v>15</v>
      </c>
      <c r="D36" s="50">
        <v>3</v>
      </c>
      <c r="E36" s="50" t="s">
        <v>41</v>
      </c>
      <c r="F36" s="109">
        <v>8</v>
      </c>
      <c r="G36" s="14">
        <v>9</v>
      </c>
      <c r="H36" s="121">
        <v>10</v>
      </c>
      <c r="I36" s="84">
        <f t="shared" si="0"/>
        <v>9</v>
      </c>
      <c r="J36" s="177">
        <v>10</v>
      </c>
      <c r="K36" s="14">
        <v>10</v>
      </c>
      <c r="L36" s="39">
        <v>10</v>
      </c>
      <c r="M36" s="84">
        <f t="shared" si="1"/>
        <v>10</v>
      </c>
      <c r="N36" s="181">
        <v>9.8000000000000007</v>
      </c>
      <c r="O36" s="220">
        <v>9</v>
      </c>
      <c r="P36" s="95">
        <v>10</v>
      </c>
      <c r="Q36" s="84">
        <f t="shared" si="2"/>
        <v>9.6</v>
      </c>
      <c r="R36" s="180">
        <v>9.6999999999999993</v>
      </c>
      <c r="S36" s="220">
        <v>9</v>
      </c>
      <c r="T36" s="95">
        <v>9.3000000000000007</v>
      </c>
      <c r="U36" s="84">
        <f t="shared" si="3"/>
        <v>9.3333333333333339</v>
      </c>
      <c r="V36" s="180">
        <v>9</v>
      </c>
      <c r="W36" s="220">
        <v>9.5</v>
      </c>
      <c r="X36" s="97">
        <v>9</v>
      </c>
      <c r="Y36" s="84">
        <f t="shared" si="4"/>
        <v>9.1666666666666661</v>
      </c>
      <c r="Z36" s="180">
        <v>9</v>
      </c>
      <c r="AA36" s="220">
        <v>9.3000000000000007</v>
      </c>
      <c r="AB36" s="95">
        <v>8.4</v>
      </c>
      <c r="AC36" s="84">
        <f t="shared" si="5"/>
        <v>8.9</v>
      </c>
      <c r="AD36" s="131">
        <v>9</v>
      </c>
      <c r="AE36" s="220">
        <v>9</v>
      </c>
      <c r="AF36" s="39">
        <v>10</v>
      </c>
      <c r="AG36" s="84">
        <f t="shared" si="6"/>
        <v>9.3333333333333339</v>
      </c>
      <c r="AH36" s="180">
        <v>10</v>
      </c>
      <c r="AI36" s="220">
        <v>10</v>
      </c>
      <c r="AJ36" s="97">
        <v>10</v>
      </c>
      <c r="AK36" s="84">
        <f t="shared" si="7"/>
        <v>10</v>
      </c>
      <c r="AL36" s="180">
        <v>8</v>
      </c>
      <c r="AM36" s="220">
        <v>7</v>
      </c>
      <c r="AN36" s="97">
        <v>9</v>
      </c>
      <c r="AO36" s="84">
        <f t="shared" si="8"/>
        <v>8</v>
      </c>
      <c r="AP36" s="149">
        <v>9.5</v>
      </c>
      <c r="AQ36" s="220">
        <v>9</v>
      </c>
      <c r="AR36" s="97">
        <v>9</v>
      </c>
      <c r="AS36" s="84">
        <f t="shared" si="9"/>
        <v>9.1666666666666661</v>
      </c>
      <c r="AT36" s="143">
        <v>10</v>
      </c>
      <c r="AU36" s="220">
        <v>9</v>
      </c>
      <c r="AV36" s="97">
        <v>10</v>
      </c>
      <c r="AW36" s="84">
        <f t="shared" si="10"/>
        <v>9.6666666666666661</v>
      </c>
      <c r="AX36" s="144">
        <v>9</v>
      </c>
      <c r="AY36" s="220">
        <v>9</v>
      </c>
      <c r="AZ36" s="97">
        <v>10</v>
      </c>
      <c r="BA36" s="84">
        <f t="shared" si="11"/>
        <v>9.3333333333333339</v>
      </c>
      <c r="BB36" s="180">
        <v>8</v>
      </c>
      <c r="BC36" s="220">
        <v>10</v>
      </c>
      <c r="BD36" s="97">
        <v>10</v>
      </c>
      <c r="BE36" s="84">
        <f t="shared" si="12"/>
        <v>9.3333333333333339</v>
      </c>
      <c r="BF36" s="191">
        <v>10</v>
      </c>
      <c r="BG36" s="220">
        <v>10</v>
      </c>
      <c r="BH36" s="97">
        <v>10</v>
      </c>
      <c r="BI36" s="84">
        <f t="shared" si="13"/>
        <v>10</v>
      </c>
      <c r="BJ36" s="64">
        <f t="shared" si="14"/>
        <v>9.3452380952380931</v>
      </c>
    </row>
    <row r="37" spans="1:62" ht="16.5" x14ac:dyDescent="0.25">
      <c r="A37" s="1" t="s">
        <v>715</v>
      </c>
      <c r="B37" s="5" t="s">
        <v>716</v>
      </c>
      <c r="C37" s="24" t="s">
        <v>15</v>
      </c>
      <c r="D37" s="50">
        <v>3</v>
      </c>
      <c r="E37" s="50" t="s">
        <v>41</v>
      </c>
      <c r="F37" s="109">
        <v>8</v>
      </c>
      <c r="G37" s="14">
        <v>9</v>
      </c>
      <c r="H37" s="121">
        <v>10</v>
      </c>
      <c r="I37" s="84">
        <f t="shared" si="0"/>
        <v>9</v>
      </c>
      <c r="J37" s="177">
        <v>10</v>
      </c>
      <c r="K37" s="14">
        <v>9</v>
      </c>
      <c r="L37" s="39">
        <v>9</v>
      </c>
      <c r="M37" s="84">
        <f t="shared" si="1"/>
        <v>9.3333333333333339</v>
      </c>
      <c r="N37" s="180">
        <v>9.8000000000000007</v>
      </c>
      <c r="O37" s="220">
        <v>9</v>
      </c>
      <c r="P37" s="95">
        <v>10</v>
      </c>
      <c r="Q37" s="84">
        <f t="shared" si="2"/>
        <v>9.6</v>
      </c>
      <c r="R37" s="180">
        <v>9.8000000000000007</v>
      </c>
      <c r="S37" s="220">
        <v>8</v>
      </c>
      <c r="T37" s="95">
        <v>9.3000000000000007</v>
      </c>
      <c r="U37" s="84">
        <f t="shared" si="3"/>
        <v>9.0333333333333332</v>
      </c>
      <c r="V37" s="180">
        <v>10</v>
      </c>
      <c r="W37" s="220">
        <v>9.6999999999999993</v>
      </c>
      <c r="X37" s="97">
        <v>8</v>
      </c>
      <c r="Y37" s="84">
        <f t="shared" si="4"/>
        <v>9.2333333333333325</v>
      </c>
      <c r="Z37" s="180">
        <v>10</v>
      </c>
      <c r="AA37" s="220">
        <v>8.6</v>
      </c>
      <c r="AB37" s="95">
        <v>8</v>
      </c>
      <c r="AC37" s="84">
        <f t="shared" si="5"/>
        <v>8.8666666666666671</v>
      </c>
      <c r="AD37" s="131">
        <v>10</v>
      </c>
      <c r="AE37" s="220">
        <v>10</v>
      </c>
      <c r="AF37" s="39">
        <v>10</v>
      </c>
      <c r="AG37" s="84">
        <f t="shared" si="6"/>
        <v>10</v>
      </c>
      <c r="AH37" s="180">
        <v>10</v>
      </c>
      <c r="AI37" s="220">
        <v>9</v>
      </c>
      <c r="AJ37" s="97">
        <v>10</v>
      </c>
      <c r="AK37" s="84">
        <f t="shared" si="7"/>
        <v>9.6666666666666661</v>
      </c>
      <c r="AL37" s="180">
        <v>8</v>
      </c>
      <c r="AM37" s="220">
        <v>9</v>
      </c>
      <c r="AN37" s="97">
        <v>9</v>
      </c>
      <c r="AO37" s="84">
        <f t="shared" si="8"/>
        <v>8.6666666666666661</v>
      </c>
      <c r="AP37" s="157">
        <v>9</v>
      </c>
      <c r="AQ37" s="220">
        <v>8</v>
      </c>
      <c r="AR37" s="97">
        <v>10</v>
      </c>
      <c r="AS37" s="84">
        <f t="shared" si="9"/>
        <v>9</v>
      </c>
      <c r="AT37" s="143">
        <v>10</v>
      </c>
      <c r="AU37" s="220">
        <v>9</v>
      </c>
      <c r="AV37" s="97">
        <v>10</v>
      </c>
      <c r="AW37" s="84">
        <f t="shared" si="10"/>
        <v>9.6666666666666661</v>
      </c>
      <c r="AX37" s="144">
        <v>10</v>
      </c>
      <c r="AY37" s="220">
        <v>9</v>
      </c>
      <c r="AZ37" s="97">
        <v>10</v>
      </c>
      <c r="BA37" s="84">
        <f t="shared" si="11"/>
        <v>9.6666666666666661</v>
      </c>
      <c r="BB37" s="180">
        <v>10</v>
      </c>
      <c r="BC37" s="220">
        <v>10</v>
      </c>
      <c r="BD37" s="97">
        <v>10</v>
      </c>
      <c r="BE37" s="84">
        <f t="shared" si="12"/>
        <v>10</v>
      </c>
      <c r="BF37" s="191">
        <v>10</v>
      </c>
      <c r="BG37" s="220">
        <v>10</v>
      </c>
      <c r="BH37" s="97">
        <v>10</v>
      </c>
      <c r="BI37" s="84">
        <f t="shared" si="13"/>
        <v>10</v>
      </c>
      <c r="BJ37" s="64">
        <f t="shared" si="14"/>
        <v>9.4095238095238098</v>
      </c>
    </row>
    <row r="38" spans="1:62" ht="16.5" x14ac:dyDescent="0.25">
      <c r="A38" s="1" t="s">
        <v>713</v>
      </c>
      <c r="B38" s="5" t="s">
        <v>714</v>
      </c>
      <c r="C38" s="24" t="s">
        <v>15</v>
      </c>
      <c r="D38" s="50">
        <v>3</v>
      </c>
      <c r="E38" s="50" t="s">
        <v>41</v>
      </c>
      <c r="F38" s="175">
        <v>9</v>
      </c>
      <c r="G38" s="19">
        <v>10</v>
      </c>
      <c r="H38" s="121">
        <v>10</v>
      </c>
      <c r="I38" s="84">
        <f t="shared" si="0"/>
        <v>9.6666666666666661</v>
      </c>
      <c r="J38" s="177">
        <v>10</v>
      </c>
      <c r="K38" s="14">
        <v>10</v>
      </c>
      <c r="L38" s="39">
        <v>10</v>
      </c>
      <c r="M38" s="84">
        <f t="shared" si="1"/>
        <v>10</v>
      </c>
      <c r="N38" s="180">
        <v>9.6999999999999993</v>
      </c>
      <c r="O38" s="220">
        <v>9</v>
      </c>
      <c r="P38" s="95">
        <v>10</v>
      </c>
      <c r="Q38" s="84">
        <f t="shared" si="2"/>
        <v>9.5666666666666664</v>
      </c>
      <c r="R38" s="180">
        <v>9.6999999999999993</v>
      </c>
      <c r="S38" s="220">
        <v>8</v>
      </c>
      <c r="T38" s="96">
        <v>9.5</v>
      </c>
      <c r="U38" s="84">
        <f t="shared" si="3"/>
        <v>9.0666666666666664</v>
      </c>
      <c r="V38" s="180">
        <v>10</v>
      </c>
      <c r="W38" s="220">
        <v>9.5</v>
      </c>
      <c r="X38" s="97">
        <v>10</v>
      </c>
      <c r="Y38" s="84">
        <f t="shared" si="4"/>
        <v>9.8333333333333339</v>
      </c>
      <c r="Z38" s="180">
        <v>10</v>
      </c>
      <c r="AA38" s="220">
        <v>10</v>
      </c>
      <c r="AB38" s="95">
        <v>10</v>
      </c>
      <c r="AC38" s="84">
        <f t="shared" si="5"/>
        <v>10</v>
      </c>
      <c r="AD38" s="131">
        <v>10</v>
      </c>
      <c r="AE38" s="220">
        <v>10</v>
      </c>
      <c r="AF38" s="39">
        <v>10</v>
      </c>
      <c r="AG38" s="84">
        <f t="shared" si="6"/>
        <v>10</v>
      </c>
      <c r="AH38" s="180">
        <v>10</v>
      </c>
      <c r="AI38" s="220">
        <v>10</v>
      </c>
      <c r="AJ38" s="97">
        <v>10</v>
      </c>
      <c r="AK38" s="84">
        <f t="shared" si="7"/>
        <v>10</v>
      </c>
      <c r="AL38" s="181">
        <v>8.5</v>
      </c>
      <c r="AM38" s="220">
        <v>9</v>
      </c>
      <c r="AN38" s="97">
        <v>10</v>
      </c>
      <c r="AO38" s="84">
        <f t="shared" si="8"/>
        <v>9.1666666666666661</v>
      </c>
      <c r="AP38" s="149">
        <v>9.5</v>
      </c>
      <c r="AQ38" s="220">
        <v>10</v>
      </c>
      <c r="AR38" s="97">
        <v>10</v>
      </c>
      <c r="AS38" s="84">
        <f t="shared" si="9"/>
        <v>9.8333333333333339</v>
      </c>
      <c r="AT38" s="143">
        <v>10</v>
      </c>
      <c r="AU38" s="220">
        <v>9</v>
      </c>
      <c r="AV38" s="97">
        <v>10</v>
      </c>
      <c r="AW38" s="84">
        <f t="shared" si="10"/>
        <v>9.6666666666666661</v>
      </c>
      <c r="AX38" s="144">
        <v>10</v>
      </c>
      <c r="AY38" s="220">
        <v>8</v>
      </c>
      <c r="AZ38" s="97">
        <v>10</v>
      </c>
      <c r="BA38" s="84">
        <f t="shared" si="11"/>
        <v>9.3333333333333339</v>
      </c>
      <c r="BB38" s="180">
        <v>8</v>
      </c>
      <c r="BC38" s="220">
        <v>10</v>
      </c>
      <c r="BD38" s="97">
        <v>10</v>
      </c>
      <c r="BE38" s="84">
        <f t="shared" si="12"/>
        <v>9.3333333333333339</v>
      </c>
      <c r="BF38" s="191">
        <v>10</v>
      </c>
      <c r="BG38" s="220">
        <v>9</v>
      </c>
      <c r="BH38" s="97">
        <v>10</v>
      </c>
      <c r="BI38" s="84">
        <f t="shared" si="13"/>
        <v>9.6666666666666661</v>
      </c>
      <c r="BJ38" s="64">
        <f t="shared" si="14"/>
        <v>9.6523809523809518</v>
      </c>
    </row>
    <row r="39" spans="1:62" ht="16.5" x14ac:dyDescent="0.25">
      <c r="A39" s="1" t="s">
        <v>735</v>
      </c>
      <c r="B39" s="5" t="s">
        <v>736</v>
      </c>
      <c r="C39" s="24" t="s">
        <v>15</v>
      </c>
      <c r="D39" s="50">
        <v>3</v>
      </c>
      <c r="E39" s="50" t="s">
        <v>41</v>
      </c>
      <c r="F39" s="109">
        <v>8</v>
      </c>
      <c r="G39" s="14">
        <v>10</v>
      </c>
      <c r="H39" s="121">
        <v>10</v>
      </c>
      <c r="I39" s="84">
        <f t="shared" si="0"/>
        <v>9.3333333333333339</v>
      </c>
      <c r="J39" s="177">
        <v>10</v>
      </c>
      <c r="K39" s="14">
        <v>10</v>
      </c>
      <c r="L39" s="39">
        <v>10</v>
      </c>
      <c r="M39" s="84">
        <f t="shared" si="1"/>
        <v>10</v>
      </c>
      <c r="N39" s="180">
        <v>9.8000000000000007</v>
      </c>
      <c r="O39" s="220">
        <v>9</v>
      </c>
      <c r="P39" s="95">
        <v>10</v>
      </c>
      <c r="Q39" s="84">
        <f t="shared" si="2"/>
        <v>9.6</v>
      </c>
      <c r="R39" s="180">
        <v>9.8000000000000007</v>
      </c>
      <c r="S39" s="220">
        <v>9</v>
      </c>
      <c r="T39" s="95">
        <v>9.3000000000000007</v>
      </c>
      <c r="U39" s="84">
        <f t="shared" si="3"/>
        <v>9.3666666666666671</v>
      </c>
      <c r="V39" s="180">
        <v>9</v>
      </c>
      <c r="W39" s="220">
        <v>8</v>
      </c>
      <c r="X39" s="97">
        <v>9</v>
      </c>
      <c r="Y39" s="84">
        <f t="shared" si="4"/>
        <v>8.6666666666666661</v>
      </c>
      <c r="Z39" s="180">
        <v>9</v>
      </c>
      <c r="AA39" s="220">
        <v>9.8000000000000007</v>
      </c>
      <c r="AB39" s="95">
        <v>8.4</v>
      </c>
      <c r="AC39" s="84">
        <f t="shared" si="5"/>
        <v>9.0666666666666682</v>
      </c>
      <c r="AD39" s="131">
        <v>8</v>
      </c>
      <c r="AE39" s="220">
        <v>9</v>
      </c>
      <c r="AF39" s="39">
        <v>10</v>
      </c>
      <c r="AG39" s="84">
        <f t="shared" si="6"/>
        <v>9</v>
      </c>
      <c r="AH39" s="180">
        <v>10</v>
      </c>
      <c r="AI39" s="220">
        <v>10</v>
      </c>
      <c r="AJ39" s="97">
        <v>10</v>
      </c>
      <c r="AK39" s="84">
        <f t="shared" si="7"/>
        <v>10</v>
      </c>
      <c r="AL39" s="180">
        <v>9</v>
      </c>
      <c r="AM39" s="220">
        <v>8</v>
      </c>
      <c r="AN39" s="97">
        <v>9</v>
      </c>
      <c r="AO39" s="84">
        <f t="shared" si="8"/>
        <v>8.6666666666666661</v>
      </c>
      <c r="AP39" s="157">
        <v>9</v>
      </c>
      <c r="AQ39" s="220">
        <v>9</v>
      </c>
      <c r="AR39" s="97">
        <v>9</v>
      </c>
      <c r="AS39" s="84">
        <f t="shared" si="9"/>
        <v>9</v>
      </c>
      <c r="AT39" s="143">
        <v>10</v>
      </c>
      <c r="AU39" s="220">
        <v>9</v>
      </c>
      <c r="AV39" s="97">
        <v>10</v>
      </c>
      <c r="AW39" s="84">
        <f t="shared" si="10"/>
        <v>9.6666666666666661</v>
      </c>
      <c r="AX39" s="144">
        <v>9</v>
      </c>
      <c r="AY39" s="220">
        <v>9</v>
      </c>
      <c r="AZ39" s="97">
        <v>10</v>
      </c>
      <c r="BA39" s="84">
        <f t="shared" si="11"/>
        <v>9.3333333333333339</v>
      </c>
      <c r="BB39" s="180">
        <v>8</v>
      </c>
      <c r="BC39" s="220">
        <v>10</v>
      </c>
      <c r="BD39" s="97">
        <v>10</v>
      </c>
      <c r="BE39" s="84">
        <f t="shared" si="12"/>
        <v>9.3333333333333339</v>
      </c>
      <c r="BF39" s="191">
        <v>10</v>
      </c>
      <c r="BG39" s="220">
        <v>10</v>
      </c>
      <c r="BH39" s="97">
        <v>10</v>
      </c>
      <c r="BI39" s="84">
        <f t="shared" si="13"/>
        <v>10</v>
      </c>
      <c r="BJ39" s="64">
        <f t="shared" si="14"/>
        <v>9.3595238095238091</v>
      </c>
    </row>
    <row r="40" spans="1:62" ht="16.5" x14ac:dyDescent="0.25">
      <c r="A40" s="1" t="s">
        <v>764</v>
      </c>
      <c r="B40" s="5" t="s">
        <v>765</v>
      </c>
      <c r="C40" s="24" t="s">
        <v>15</v>
      </c>
      <c r="D40" s="50">
        <v>3</v>
      </c>
      <c r="E40" s="50" t="s">
        <v>41</v>
      </c>
      <c r="F40" s="109">
        <v>8</v>
      </c>
      <c r="G40" s="14">
        <v>8</v>
      </c>
      <c r="H40" s="121">
        <v>10</v>
      </c>
      <c r="I40" s="84">
        <f t="shared" si="0"/>
        <v>8.6666666666666661</v>
      </c>
      <c r="J40" s="177">
        <v>9</v>
      </c>
      <c r="K40" s="14">
        <v>9</v>
      </c>
      <c r="L40" s="39">
        <v>8</v>
      </c>
      <c r="M40" s="84">
        <f t="shared" si="1"/>
        <v>8.6666666666666661</v>
      </c>
      <c r="N40" s="180">
        <v>9.6</v>
      </c>
      <c r="O40" s="220">
        <v>9</v>
      </c>
      <c r="P40" s="95">
        <v>10</v>
      </c>
      <c r="Q40" s="84">
        <f t="shared" si="2"/>
        <v>9.5333333333333332</v>
      </c>
      <c r="R40" s="180">
        <v>9.6</v>
      </c>
      <c r="S40" s="220">
        <v>8</v>
      </c>
      <c r="T40" s="95">
        <v>9.3000000000000007</v>
      </c>
      <c r="U40" s="84">
        <f t="shared" si="3"/>
        <v>8.9666666666666668</v>
      </c>
      <c r="V40" s="180">
        <v>10</v>
      </c>
      <c r="W40" s="220">
        <v>8</v>
      </c>
      <c r="X40" s="97">
        <v>8</v>
      </c>
      <c r="Y40" s="84">
        <f t="shared" si="4"/>
        <v>8.6666666666666661</v>
      </c>
      <c r="Z40" s="180">
        <v>10</v>
      </c>
      <c r="AA40" s="220">
        <v>8</v>
      </c>
      <c r="AB40" s="95">
        <v>8.9</v>
      </c>
      <c r="AC40" s="84">
        <f t="shared" si="5"/>
        <v>8.9666666666666668</v>
      </c>
      <c r="AD40" s="131">
        <v>9</v>
      </c>
      <c r="AE40" s="220">
        <v>9</v>
      </c>
      <c r="AF40" s="39">
        <v>10</v>
      </c>
      <c r="AG40" s="84">
        <f t="shared" si="6"/>
        <v>9.3333333333333339</v>
      </c>
      <c r="AH40" s="180">
        <v>10</v>
      </c>
      <c r="AI40" s="220">
        <v>8</v>
      </c>
      <c r="AJ40" s="97">
        <v>9</v>
      </c>
      <c r="AK40" s="84">
        <f t="shared" si="7"/>
        <v>9</v>
      </c>
      <c r="AL40" s="180">
        <v>9</v>
      </c>
      <c r="AM40" s="220">
        <v>8</v>
      </c>
      <c r="AN40" s="97">
        <v>8</v>
      </c>
      <c r="AO40" s="84">
        <f t="shared" si="8"/>
        <v>8.3333333333333339</v>
      </c>
      <c r="AP40" s="149">
        <v>9</v>
      </c>
      <c r="AQ40" s="220">
        <v>8</v>
      </c>
      <c r="AR40" s="97">
        <v>9</v>
      </c>
      <c r="AS40" s="84">
        <f t="shared" si="9"/>
        <v>8.6666666666666661</v>
      </c>
      <c r="AT40" s="143">
        <v>10</v>
      </c>
      <c r="AU40" s="220">
        <v>9</v>
      </c>
      <c r="AV40" s="97">
        <v>10</v>
      </c>
      <c r="AW40" s="84">
        <f t="shared" si="10"/>
        <v>9.6666666666666661</v>
      </c>
      <c r="AX40" s="144">
        <v>9</v>
      </c>
      <c r="AY40" s="220">
        <v>9</v>
      </c>
      <c r="AZ40" s="97">
        <v>10</v>
      </c>
      <c r="BA40" s="84">
        <f t="shared" si="11"/>
        <v>9.3333333333333339</v>
      </c>
      <c r="BB40" s="180">
        <v>8</v>
      </c>
      <c r="BC40" s="220">
        <v>10</v>
      </c>
      <c r="BD40" s="97">
        <v>10</v>
      </c>
      <c r="BE40" s="84">
        <f t="shared" si="12"/>
        <v>9.3333333333333339</v>
      </c>
      <c r="BF40" s="191">
        <v>10</v>
      </c>
      <c r="BG40" s="220">
        <v>8</v>
      </c>
      <c r="BH40" s="97">
        <v>10</v>
      </c>
      <c r="BI40" s="84">
        <f t="shared" si="13"/>
        <v>9.3333333333333339</v>
      </c>
      <c r="BJ40" s="64">
        <f t="shared" si="14"/>
        <v>9.0333333333333332</v>
      </c>
    </row>
    <row r="41" spans="1:62" ht="16.5" x14ac:dyDescent="0.25">
      <c r="A41" t="s">
        <v>729</v>
      </c>
      <c r="B41" s="5" t="s">
        <v>730</v>
      </c>
      <c r="C41" s="24" t="s">
        <v>15</v>
      </c>
      <c r="D41" s="50">
        <v>3</v>
      </c>
      <c r="E41" s="50" t="s">
        <v>41</v>
      </c>
      <c r="F41" s="169">
        <v>8</v>
      </c>
      <c r="G41" s="216">
        <v>8</v>
      </c>
      <c r="H41" s="121">
        <v>10</v>
      </c>
      <c r="I41" s="84">
        <f t="shared" si="0"/>
        <v>8.6666666666666661</v>
      </c>
      <c r="J41" s="130">
        <v>10</v>
      </c>
      <c r="K41" s="14">
        <v>9</v>
      </c>
      <c r="L41" s="39">
        <v>8</v>
      </c>
      <c r="M41" s="84">
        <f t="shared" si="1"/>
        <v>9</v>
      </c>
      <c r="N41" s="131">
        <v>8.8000000000000007</v>
      </c>
      <c r="O41" s="220">
        <v>10</v>
      </c>
      <c r="P41" s="95">
        <v>10</v>
      </c>
      <c r="Q41" s="84">
        <f t="shared" si="2"/>
        <v>9.6</v>
      </c>
      <c r="R41" s="131">
        <v>8.8000000000000007</v>
      </c>
      <c r="S41" s="220">
        <v>9</v>
      </c>
      <c r="T41" s="95">
        <v>9.3000000000000007</v>
      </c>
      <c r="U41" s="84">
        <f t="shared" si="3"/>
        <v>9.0333333333333332</v>
      </c>
      <c r="V41" s="131">
        <v>9</v>
      </c>
      <c r="W41" s="220">
        <v>8</v>
      </c>
      <c r="X41" s="97">
        <v>9</v>
      </c>
      <c r="Y41" s="84">
        <f t="shared" si="4"/>
        <v>8.6666666666666661</v>
      </c>
      <c r="Z41" s="131">
        <v>9</v>
      </c>
      <c r="AA41" s="220">
        <v>8</v>
      </c>
      <c r="AB41" s="95">
        <v>8</v>
      </c>
      <c r="AC41" s="84">
        <f t="shared" si="5"/>
        <v>8.3333333333333339</v>
      </c>
      <c r="AD41" s="172">
        <v>9</v>
      </c>
      <c r="AE41" s="220">
        <v>8</v>
      </c>
      <c r="AF41" s="39">
        <v>10</v>
      </c>
      <c r="AG41" s="84">
        <f t="shared" si="6"/>
        <v>9</v>
      </c>
      <c r="AH41" s="131">
        <v>10</v>
      </c>
      <c r="AI41" s="220">
        <v>10</v>
      </c>
      <c r="AJ41" s="97">
        <v>10</v>
      </c>
      <c r="AK41" s="84">
        <f t="shared" si="7"/>
        <v>10</v>
      </c>
      <c r="AL41" s="154">
        <v>7</v>
      </c>
      <c r="AM41" s="220">
        <v>8</v>
      </c>
      <c r="AN41" s="97">
        <v>9</v>
      </c>
      <c r="AO41" s="84">
        <f t="shared" si="8"/>
        <v>8</v>
      </c>
      <c r="AP41" s="154">
        <v>8</v>
      </c>
      <c r="AQ41" s="220">
        <v>8</v>
      </c>
      <c r="AR41" s="97">
        <v>9</v>
      </c>
      <c r="AS41" s="84">
        <f t="shared" si="9"/>
        <v>8.3333333333333339</v>
      </c>
      <c r="AT41" s="143">
        <v>10</v>
      </c>
      <c r="AU41" s="220">
        <v>9</v>
      </c>
      <c r="AV41" s="97">
        <v>10</v>
      </c>
      <c r="AW41" s="84">
        <f t="shared" si="10"/>
        <v>9.6666666666666661</v>
      </c>
      <c r="AX41" s="144">
        <v>9</v>
      </c>
      <c r="AY41" s="220">
        <v>9</v>
      </c>
      <c r="AZ41" s="97">
        <v>10</v>
      </c>
      <c r="BA41" s="84">
        <f t="shared" si="11"/>
        <v>9.3333333333333339</v>
      </c>
      <c r="BB41" s="137">
        <v>9</v>
      </c>
      <c r="BC41" s="220">
        <v>9</v>
      </c>
      <c r="BD41" s="97">
        <v>9</v>
      </c>
      <c r="BE41" s="84">
        <f t="shared" si="12"/>
        <v>9</v>
      </c>
      <c r="BF41" s="149">
        <v>10</v>
      </c>
      <c r="BG41" s="220">
        <v>10</v>
      </c>
      <c r="BH41" s="97">
        <v>10</v>
      </c>
      <c r="BI41" s="84">
        <f t="shared" si="13"/>
        <v>10</v>
      </c>
      <c r="BJ41" s="64">
        <f t="shared" si="14"/>
        <v>9.0452380952380942</v>
      </c>
    </row>
    <row r="42" spans="1:62" ht="16.5" x14ac:dyDescent="0.25">
      <c r="A42" s="1" t="s">
        <v>711</v>
      </c>
      <c r="B42" s="5" t="s">
        <v>712</v>
      </c>
      <c r="C42" s="24" t="s">
        <v>15</v>
      </c>
      <c r="D42" s="50">
        <v>3</v>
      </c>
      <c r="E42" s="50" t="s">
        <v>41</v>
      </c>
      <c r="F42" s="109">
        <v>9</v>
      </c>
      <c r="G42" s="14">
        <v>10</v>
      </c>
      <c r="H42" s="121">
        <v>10</v>
      </c>
      <c r="I42" s="84">
        <f t="shared" si="0"/>
        <v>9.6666666666666661</v>
      </c>
      <c r="J42" s="177">
        <v>10</v>
      </c>
      <c r="K42" s="14">
        <v>9</v>
      </c>
      <c r="L42" s="39">
        <v>9</v>
      </c>
      <c r="M42" s="84">
        <f t="shared" si="1"/>
        <v>9.3333333333333339</v>
      </c>
      <c r="N42" s="180">
        <v>9.6999999999999993</v>
      </c>
      <c r="O42" s="220">
        <v>8</v>
      </c>
      <c r="P42" s="95">
        <v>10</v>
      </c>
      <c r="Q42" s="84">
        <f t="shared" si="2"/>
        <v>9.2333333333333325</v>
      </c>
      <c r="R42" s="180">
        <v>9.6999999999999993</v>
      </c>
      <c r="S42" s="220">
        <v>8</v>
      </c>
      <c r="T42" s="95">
        <v>9.5</v>
      </c>
      <c r="U42" s="84">
        <f t="shared" si="3"/>
        <v>9.0666666666666664</v>
      </c>
      <c r="V42" s="180">
        <v>9</v>
      </c>
      <c r="W42" s="220">
        <v>9</v>
      </c>
      <c r="X42" s="97">
        <v>9</v>
      </c>
      <c r="Y42" s="84">
        <f t="shared" si="4"/>
        <v>9</v>
      </c>
      <c r="Z42" s="180">
        <v>9</v>
      </c>
      <c r="AA42" s="220">
        <v>8</v>
      </c>
      <c r="AB42" s="95">
        <v>5.9</v>
      </c>
      <c r="AC42" s="84">
        <f t="shared" si="5"/>
        <v>7.6333333333333329</v>
      </c>
      <c r="AD42" s="131">
        <v>10</v>
      </c>
      <c r="AE42" s="220">
        <v>8</v>
      </c>
      <c r="AF42" s="39">
        <v>10</v>
      </c>
      <c r="AG42" s="84">
        <f t="shared" si="6"/>
        <v>9.3333333333333339</v>
      </c>
      <c r="AH42" s="180">
        <v>10</v>
      </c>
      <c r="AI42" s="220">
        <v>9</v>
      </c>
      <c r="AJ42" s="97">
        <v>10</v>
      </c>
      <c r="AK42" s="84">
        <f t="shared" si="7"/>
        <v>9.6666666666666661</v>
      </c>
      <c r="AL42" s="180">
        <v>9</v>
      </c>
      <c r="AM42" s="220">
        <v>8</v>
      </c>
      <c r="AN42" s="97">
        <v>9</v>
      </c>
      <c r="AO42" s="84">
        <f t="shared" si="8"/>
        <v>8.6666666666666661</v>
      </c>
      <c r="AP42" s="149">
        <v>9</v>
      </c>
      <c r="AQ42" s="220">
        <v>9</v>
      </c>
      <c r="AR42" s="97">
        <v>9</v>
      </c>
      <c r="AS42" s="84">
        <f t="shared" si="9"/>
        <v>9</v>
      </c>
      <c r="AT42" s="143">
        <v>10</v>
      </c>
      <c r="AU42" s="220">
        <v>9</v>
      </c>
      <c r="AV42" s="97">
        <v>10</v>
      </c>
      <c r="AW42" s="84">
        <f t="shared" si="10"/>
        <v>9.6666666666666661</v>
      </c>
      <c r="AX42" s="144">
        <v>9</v>
      </c>
      <c r="AY42" s="220">
        <v>9</v>
      </c>
      <c r="AZ42" s="97">
        <v>10</v>
      </c>
      <c r="BA42" s="84">
        <f t="shared" si="11"/>
        <v>9.3333333333333339</v>
      </c>
      <c r="BB42" s="180">
        <v>8</v>
      </c>
      <c r="BC42" s="220">
        <v>9</v>
      </c>
      <c r="BD42" s="97">
        <v>8</v>
      </c>
      <c r="BE42" s="84">
        <f t="shared" si="12"/>
        <v>8.3333333333333339</v>
      </c>
      <c r="BF42" s="191">
        <v>10</v>
      </c>
      <c r="BG42" s="220">
        <v>8</v>
      </c>
      <c r="BH42" s="97">
        <v>10</v>
      </c>
      <c r="BI42" s="84">
        <f t="shared" si="13"/>
        <v>9.3333333333333339</v>
      </c>
      <c r="BJ42" s="64">
        <f t="shared" si="14"/>
        <v>9.0904761904761902</v>
      </c>
    </row>
    <row r="43" spans="1:62" ht="16.5" x14ac:dyDescent="0.25">
      <c r="A43" s="1" t="s">
        <v>699</v>
      </c>
      <c r="B43" s="5" t="s">
        <v>700</v>
      </c>
      <c r="C43" s="24" t="s">
        <v>15</v>
      </c>
      <c r="D43" s="50">
        <v>3</v>
      </c>
      <c r="E43" s="50" t="s">
        <v>41</v>
      </c>
      <c r="F43" s="109">
        <v>9</v>
      </c>
      <c r="G43" s="14">
        <v>10</v>
      </c>
      <c r="H43" s="121">
        <v>10</v>
      </c>
      <c r="I43" s="84">
        <f t="shared" si="0"/>
        <v>9.6666666666666661</v>
      </c>
      <c r="J43" s="177">
        <v>10</v>
      </c>
      <c r="K43" s="14">
        <v>9</v>
      </c>
      <c r="L43" s="39">
        <v>9</v>
      </c>
      <c r="M43" s="84">
        <f t="shared" si="1"/>
        <v>9.3333333333333339</v>
      </c>
      <c r="N43" s="180">
        <v>9.6999999999999993</v>
      </c>
      <c r="O43" s="220">
        <v>8</v>
      </c>
      <c r="P43" s="95">
        <v>10</v>
      </c>
      <c r="Q43" s="84">
        <f t="shared" si="2"/>
        <v>9.2333333333333325</v>
      </c>
      <c r="R43" s="180">
        <v>9.6999999999999993</v>
      </c>
      <c r="S43" s="220">
        <v>8</v>
      </c>
      <c r="T43" s="95">
        <v>9.5</v>
      </c>
      <c r="U43" s="84">
        <f t="shared" si="3"/>
        <v>9.0666666666666664</v>
      </c>
      <c r="V43" s="180">
        <v>9</v>
      </c>
      <c r="W43" s="220">
        <v>8.5</v>
      </c>
      <c r="X43" s="97">
        <v>9</v>
      </c>
      <c r="Y43" s="84">
        <f t="shared" si="4"/>
        <v>8.8333333333333339</v>
      </c>
      <c r="Z43" s="180">
        <v>9</v>
      </c>
      <c r="AA43" s="220">
        <v>5.5</v>
      </c>
      <c r="AB43" s="96">
        <v>8</v>
      </c>
      <c r="AC43" s="84">
        <f t="shared" si="5"/>
        <v>7.5</v>
      </c>
      <c r="AD43" s="172">
        <v>10</v>
      </c>
      <c r="AE43" s="220">
        <v>10</v>
      </c>
      <c r="AF43" s="39">
        <v>10</v>
      </c>
      <c r="AG43" s="84">
        <f t="shared" si="6"/>
        <v>10</v>
      </c>
      <c r="AH43" s="180">
        <v>10</v>
      </c>
      <c r="AI43" s="220">
        <v>9</v>
      </c>
      <c r="AJ43" s="97">
        <v>10</v>
      </c>
      <c r="AK43" s="84">
        <f t="shared" si="7"/>
        <v>9.6666666666666661</v>
      </c>
      <c r="AL43" s="185">
        <v>9</v>
      </c>
      <c r="AM43" s="220">
        <v>9</v>
      </c>
      <c r="AN43" s="97">
        <v>9</v>
      </c>
      <c r="AO43" s="84">
        <f t="shared" si="8"/>
        <v>9</v>
      </c>
      <c r="AP43" s="186">
        <v>9</v>
      </c>
      <c r="AQ43" s="220">
        <v>9</v>
      </c>
      <c r="AR43" s="97">
        <v>9</v>
      </c>
      <c r="AS43" s="84">
        <f t="shared" si="9"/>
        <v>9</v>
      </c>
      <c r="AT43" s="143">
        <v>10</v>
      </c>
      <c r="AU43" s="220">
        <v>10</v>
      </c>
      <c r="AV43" s="97">
        <v>10</v>
      </c>
      <c r="AW43" s="84">
        <f t="shared" si="10"/>
        <v>10</v>
      </c>
      <c r="AX43" s="144">
        <v>9</v>
      </c>
      <c r="AY43" s="220">
        <v>9</v>
      </c>
      <c r="AZ43" s="97">
        <v>10</v>
      </c>
      <c r="BA43" s="84">
        <f t="shared" si="11"/>
        <v>9.3333333333333339</v>
      </c>
      <c r="BB43" s="180">
        <v>8</v>
      </c>
      <c r="BC43" s="220">
        <v>10</v>
      </c>
      <c r="BD43" s="97">
        <v>10</v>
      </c>
      <c r="BE43" s="84">
        <f t="shared" si="12"/>
        <v>9.3333333333333339</v>
      </c>
      <c r="BF43" s="191">
        <v>10</v>
      </c>
      <c r="BG43" s="220">
        <v>9</v>
      </c>
      <c r="BH43" s="97">
        <v>10</v>
      </c>
      <c r="BI43" s="84">
        <f t="shared" si="13"/>
        <v>9.6666666666666661</v>
      </c>
      <c r="BJ43" s="64">
        <f t="shared" si="14"/>
        <v>9.2595238095238095</v>
      </c>
    </row>
    <row r="44" spans="1:62" ht="16.5" x14ac:dyDescent="0.25">
      <c r="A44" s="1" t="s">
        <v>733</v>
      </c>
      <c r="B44" s="5" t="s">
        <v>734</v>
      </c>
      <c r="C44" s="24" t="s">
        <v>15</v>
      </c>
      <c r="D44" s="50">
        <v>3</v>
      </c>
      <c r="E44" s="50" t="s">
        <v>41</v>
      </c>
      <c r="F44" s="109">
        <v>8</v>
      </c>
      <c r="G44" s="14">
        <v>8</v>
      </c>
      <c r="H44" s="121">
        <v>10</v>
      </c>
      <c r="I44" s="84">
        <f t="shared" si="0"/>
        <v>8.6666666666666661</v>
      </c>
      <c r="J44" s="177">
        <v>10</v>
      </c>
      <c r="K44" s="14">
        <v>9</v>
      </c>
      <c r="L44" s="39">
        <v>8</v>
      </c>
      <c r="M44" s="84">
        <f t="shared" si="1"/>
        <v>9</v>
      </c>
      <c r="N44" s="180">
        <v>9.8000000000000007</v>
      </c>
      <c r="O44" s="220">
        <v>9</v>
      </c>
      <c r="P44" s="95">
        <v>9</v>
      </c>
      <c r="Q44" s="84">
        <f t="shared" si="2"/>
        <v>9.2666666666666675</v>
      </c>
      <c r="R44" s="180">
        <v>9.8000000000000007</v>
      </c>
      <c r="S44" s="220">
        <v>8</v>
      </c>
      <c r="T44" s="95">
        <v>8</v>
      </c>
      <c r="U44" s="84">
        <f t="shared" si="3"/>
        <v>8.6</v>
      </c>
      <c r="V44" s="180">
        <v>9</v>
      </c>
      <c r="W44" s="220">
        <v>9.6999999999999993</v>
      </c>
      <c r="X44" s="97">
        <v>9</v>
      </c>
      <c r="Y44" s="84">
        <f t="shared" si="4"/>
        <v>9.2333333333333325</v>
      </c>
      <c r="Z44" s="180">
        <v>9</v>
      </c>
      <c r="AA44" s="220">
        <v>9.1999999999999993</v>
      </c>
      <c r="AB44" s="95">
        <v>7.7</v>
      </c>
      <c r="AC44" s="84">
        <f t="shared" si="5"/>
        <v>8.6333333333333329</v>
      </c>
      <c r="AD44" s="172">
        <v>10</v>
      </c>
      <c r="AE44" s="220">
        <v>9</v>
      </c>
      <c r="AF44" s="39">
        <v>10</v>
      </c>
      <c r="AG44" s="84">
        <f t="shared" si="6"/>
        <v>9.6666666666666661</v>
      </c>
      <c r="AH44" s="180">
        <v>10</v>
      </c>
      <c r="AI44" s="220">
        <v>9</v>
      </c>
      <c r="AJ44" s="97">
        <v>10</v>
      </c>
      <c r="AK44" s="84">
        <f t="shared" si="7"/>
        <v>9.6666666666666661</v>
      </c>
      <c r="AL44" s="180">
        <v>9</v>
      </c>
      <c r="AM44" s="220">
        <v>9</v>
      </c>
      <c r="AN44" s="97">
        <v>9</v>
      </c>
      <c r="AO44" s="84">
        <f t="shared" si="8"/>
        <v>9</v>
      </c>
      <c r="AP44" s="149">
        <v>8.5</v>
      </c>
      <c r="AQ44" s="220">
        <v>8</v>
      </c>
      <c r="AR44" s="97">
        <v>10</v>
      </c>
      <c r="AS44" s="84">
        <f t="shared" si="9"/>
        <v>8.8333333333333339</v>
      </c>
      <c r="AT44" s="143">
        <v>10</v>
      </c>
      <c r="AU44" s="220">
        <v>9</v>
      </c>
      <c r="AV44" s="97">
        <v>10</v>
      </c>
      <c r="AW44" s="84">
        <f t="shared" si="10"/>
        <v>9.6666666666666661</v>
      </c>
      <c r="AX44" s="144">
        <v>10</v>
      </c>
      <c r="AY44" s="220">
        <v>9</v>
      </c>
      <c r="AZ44" s="97">
        <v>10</v>
      </c>
      <c r="BA44" s="84">
        <f t="shared" si="11"/>
        <v>9.6666666666666661</v>
      </c>
      <c r="BB44" s="180">
        <v>10</v>
      </c>
      <c r="BC44" s="220">
        <v>10</v>
      </c>
      <c r="BD44" s="97">
        <v>10</v>
      </c>
      <c r="BE44" s="84">
        <f t="shared" si="12"/>
        <v>10</v>
      </c>
      <c r="BF44" s="191">
        <v>10</v>
      </c>
      <c r="BG44" s="220">
        <v>10</v>
      </c>
      <c r="BH44" s="97">
        <v>10</v>
      </c>
      <c r="BI44" s="84">
        <f t="shared" si="13"/>
        <v>10</v>
      </c>
      <c r="BJ44" s="64">
        <f t="shared" si="14"/>
        <v>9.2785714285714285</v>
      </c>
    </row>
    <row r="45" spans="1:62" ht="15.75" customHeight="1" x14ac:dyDescent="0.25">
      <c r="A45" s="1" t="s">
        <v>770</v>
      </c>
      <c r="B45" s="5" t="s">
        <v>771</v>
      </c>
      <c r="C45" s="24" t="s">
        <v>15</v>
      </c>
      <c r="D45" s="50">
        <v>3</v>
      </c>
      <c r="E45" s="50" t="s">
        <v>41</v>
      </c>
      <c r="F45" s="109">
        <v>9</v>
      </c>
      <c r="G45" s="14">
        <v>9</v>
      </c>
      <c r="H45" s="121">
        <v>10</v>
      </c>
      <c r="I45" s="84">
        <f t="shared" si="0"/>
        <v>9.3333333333333339</v>
      </c>
      <c r="J45" s="177">
        <v>10</v>
      </c>
      <c r="K45" s="14">
        <v>10</v>
      </c>
      <c r="L45" s="39">
        <v>10</v>
      </c>
      <c r="M45" s="84">
        <f t="shared" si="1"/>
        <v>10</v>
      </c>
      <c r="N45" s="180">
        <v>9.6</v>
      </c>
      <c r="O45" s="220">
        <v>9</v>
      </c>
      <c r="P45" s="95">
        <v>10</v>
      </c>
      <c r="Q45" s="84">
        <f t="shared" si="2"/>
        <v>9.5333333333333332</v>
      </c>
      <c r="R45" s="180">
        <v>9.6</v>
      </c>
      <c r="S45" s="220">
        <v>9</v>
      </c>
      <c r="T45" s="95">
        <v>8.5</v>
      </c>
      <c r="U45" s="84">
        <f t="shared" si="3"/>
        <v>9.0333333333333332</v>
      </c>
      <c r="V45" s="180">
        <v>10</v>
      </c>
      <c r="W45" s="220">
        <v>8.5</v>
      </c>
      <c r="X45" s="97">
        <v>9</v>
      </c>
      <c r="Y45" s="84">
        <f t="shared" si="4"/>
        <v>9.1666666666666661</v>
      </c>
      <c r="Z45" s="180">
        <v>10</v>
      </c>
      <c r="AA45" s="220">
        <v>9.8000000000000007</v>
      </c>
      <c r="AB45" s="95">
        <v>8</v>
      </c>
      <c r="AC45" s="84">
        <f t="shared" si="5"/>
        <v>9.2666666666666675</v>
      </c>
      <c r="AD45" s="172">
        <v>10</v>
      </c>
      <c r="AE45" s="220">
        <v>9</v>
      </c>
      <c r="AF45" s="39">
        <v>10</v>
      </c>
      <c r="AG45" s="84">
        <f t="shared" si="6"/>
        <v>9.6666666666666661</v>
      </c>
      <c r="AH45" s="180">
        <v>10</v>
      </c>
      <c r="AI45" s="220">
        <v>10</v>
      </c>
      <c r="AJ45" s="97">
        <v>10</v>
      </c>
      <c r="AK45" s="84">
        <f t="shared" si="7"/>
        <v>10</v>
      </c>
      <c r="AL45" s="180">
        <v>9</v>
      </c>
      <c r="AM45" s="220">
        <v>9</v>
      </c>
      <c r="AN45" s="97">
        <v>10</v>
      </c>
      <c r="AO45" s="84">
        <f t="shared" si="8"/>
        <v>9.3333333333333339</v>
      </c>
      <c r="AP45" s="186">
        <v>8</v>
      </c>
      <c r="AQ45" s="220">
        <v>9</v>
      </c>
      <c r="AR45" s="97">
        <v>9</v>
      </c>
      <c r="AS45" s="84">
        <f t="shared" si="9"/>
        <v>8.6666666666666661</v>
      </c>
      <c r="AT45" s="143">
        <v>10</v>
      </c>
      <c r="AU45" s="220">
        <v>9</v>
      </c>
      <c r="AV45" s="97">
        <v>10</v>
      </c>
      <c r="AW45" s="84">
        <f t="shared" si="10"/>
        <v>9.6666666666666661</v>
      </c>
      <c r="AX45" s="144">
        <v>10</v>
      </c>
      <c r="AY45" s="220">
        <v>9</v>
      </c>
      <c r="AZ45" s="97">
        <v>10</v>
      </c>
      <c r="BA45" s="84">
        <f t="shared" si="11"/>
        <v>9.6666666666666661</v>
      </c>
      <c r="BB45" s="180">
        <v>8</v>
      </c>
      <c r="BC45" s="220">
        <v>10</v>
      </c>
      <c r="BD45" s="97">
        <v>10</v>
      </c>
      <c r="BE45" s="84">
        <f t="shared" si="12"/>
        <v>9.3333333333333339</v>
      </c>
      <c r="BF45" s="191">
        <v>10</v>
      </c>
      <c r="BG45" s="220">
        <v>10</v>
      </c>
      <c r="BH45" s="97">
        <v>10</v>
      </c>
      <c r="BI45" s="84">
        <f t="shared" si="13"/>
        <v>10</v>
      </c>
      <c r="BJ45" s="64">
        <f t="shared" si="14"/>
        <v>9.4761904761904781</v>
      </c>
    </row>
    <row r="46" spans="1:62" ht="15.75" customHeight="1" x14ac:dyDescent="0.25">
      <c r="A46" s="1" t="s">
        <v>719</v>
      </c>
      <c r="B46" s="5" t="s">
        <v>720</v>
      </c>
      <c r="C46" s="24" t="s">
        <v>15</v>
      </c>
      <c r="D46" s="50">
        <v>3</v>
      </c>
      <c r="E46" s="50" t="s">
        <v>41</v>
      </c>
      <c r="F46" s="176">
        <v>9</v>
      </c>
      <c r="G46" s="219">
        <v>9</v>
      </c>
      <c r="H46" s="121">
        <v>10</v>
      </c>
      <c r="I46" s="84">
        <f t="shared" si="0"/>
        <v>9.3333333333333339</v>
      </c>
      <c r="J46" s="178">
        <v>9</v>
      </c>
      <c r="K46" s="14">
        <v>9</v>
      </c>
      <c r="L46" s="39">
        <v>8</v>
      </c>
      <c r="M46" s="84">
        <f t="shared" si="1"/>
        <v>8.6666666666666661</v>
      </c>
      <c r="N46" s="182">
        <v>9.6</v>
      </c>
      <c r="O46" s="220">
        <v>8</v>
      </c>
      <c r="P46" s="95">
        <v>9.1</v>
      </c>
      <c r="Q46" s="84">
        <f t="shared" si="2"/>
        <v>8.9</v>
      </c>
      <c r="R46" s="182">
        <v>9.6</v>
      </c>
      <c r="S46" s="220">
        <v>8</v>
      </c>
      <c r="T46" s="95">
        <v>8.3000000000000007</v>
      </c>
      <c r="U46" s="84">
        <f t="shared" si="3"/>
        <v>8.6333333333333346</v>
      </c>
      <c r="V46" s="182">
        <v>8</v>
      </c>
      <c r="W46" s="220">
        <v>8</v>
      </c>
      <c r="X46" s="97">
        <v>9</v>
      </c>
      <c r="Y46" s="84">
        <f t="shared" si="4"/>
        <v>8.3333333333333339</v>
      </c>
      <c r="Z46" s="182">
        <v>8</v>
      </c>
      <c r="AA46" s="220">
        <v>6.8</v>
      </c>
      <c r="AB46" s="99">
        <v>5.9</v>
      </c>
      <c r="AC46" s="84">
        <f t="shared" si="5"/>
        <v>6.9000000000000012</v>
      </c>
      <c r="AD46" s="183">
        <v>10</v>
      </c>
      <c r="AE46" s="220">
        <v>8</v>
      </c>
      <c r="AF46" s="39">
        <v>10</v>
      </c>
      <c r="AG46" s="84">
        <f t="shared" si="6"/>
        <v>9.3333333333333339</v>
      </c>
      <c r="AH46" s="182">
        <v>10</v>
      </c>
      <c r="AI46" s="220">
        <v>9</v>
      </c>
      <c r="AJ46" s="97">
        <v>10</v>
      </c>
      <c r="AK46" s="84">
        <f t="shared" si="7"/>
        <v>9.6666666666666661</v>
      </c>
      <c r="AL46" s="182">
        <v>8</v>
      </c>
      <c r="AM46" s="220">
        <v>8</v>
      </c>
      <c r="AN46" s="97">
        <v>9</v>
      </c>
      <c r="AO46" s="84">
        <f t="shared" si="8"/>
        <v>8.3333333333333339</v>
      </c>
      <c r="AP46" s="188">
        <v>8</v>
      </c>
      <c r="AQ46" s="220">
        <v>8</v>
      </c>
      <c r="AR46" s="97">
        <v>9</v>
      </c>
      <c r="AS46" s="84">
        <f t="shared" si="9"/>
        <v>8.3333333333333339</v>
      </c>
      <c r="AT46" s="189">
        <v>10</v>
      </c>
      <c r="AU46" s="220">
        <v>9</v>
      </c>
      <c r="AV46" s="97">
        <v>10</v>
      </c>
      <c r="AW46" s="84">
        <f t="shared" si="10"/>
        <v>9.6666666666666661</v>
      </c>
      <c r="AX46" s="190">
        <v>9</v>
      </c>
      <c r="AY46" s="220">
        <v>9</v>
      </c>
      <c r="AZ46" s="97">
        <v>10</v>
      </c>
      <c r="BA46" s="84">
        <f t="shared" si="11"/>
        <v>9.3333333333333339</v>
      </c>
      <c r="BB46" s="182">
        <v>8</v>
      </c>
      <c r="BC46" s="220">
        <v>9</v>
      </c>
      <c r="BD46" s="97">
        <v>8</v>
      </c>
      <c r="BE46" s="84">
        <f t="shared" si="12"/>
        <v>8.3333333333333339</v>
      </c>
      <c r="BF46" s="192">
        <v>10</v>
      </c>
      <c r="BG46" s="220">
        <v>9</v>
      </c>
      <c r="BH46" s="97">
        <v>10</v>
      </c>
      <c r="BI46" s="84">
        <f t="shared" si="13"/>
        <v>9.6666666666666661</v>
      </c>
      <c r="BJ46" s="64">
        <f t="shared" si="14"/>
        <v>8.8166666666666664</v>
      </c>
    </row>
  </sheetData>
  <mergeCells count="14">
    <mergeCell ref="F1:I1"/>
    <mergeCell ref="AX1:BA1"/>
    <mergeCell ref="AH1:AK1"/>
    <mergeCell ref="AL1:AO1"/>
    <mergeCell ref="AP1:AS1"/>
    <mergeCell ref="AT1:AW1"/>
    <mergeCell ref="BB1:BE1"/>
    <mergeCell ref="BF1:BI1"/>
    <mergeCell ref="Z1:AC1"/>
    <mergeCell ref="AD1:AG1"/>
    <mergeCell ref="J1:M1"/>
    <mergeCell ref="N1:Q1"/>
    <mergeCell ref="R1:U1"/>
    <mergeCell ref="V1:Y1"/>
  </mergeCells>
  <phoneticPr fontId="16" type="noConversion"/>
  <conditionalFormatting sqref="F3:F46">
    <cfRule type="cellIs" dxfId="1207" priority="212" operator="lessThan">
      <formula>7.4</formula>
    </cfRule>
  </conditionalFormatting>
  <conditionalFormatting sqref="F3:F46 H3:I46">
    <cfRule type="cellIs" dxfId="1206" priority="211" operator="lessThan">
      <formula>7.9</formula>
    </cfRule>
  </conditionalFormatting>
  <conditionalFormatting sqref="I3:I46">
    <cfRule type="cellIs" dxfId="1205" priority="1758" operator="lessThan">
      <formula>7.4</formula>
    </cfRule>
    <cfRule type="cellIs" dxfId="1204" priority="1764" operator="lessThan">
      <formula>7.9</formula>
    </cfRule>
  </conditionalFormatting>
  <conditionalFormatting sqref="H3:H46">
    <cfRule type="cellIs" dxfId="1203" priority="249" operator="lessThan">
      <formula>7.9</formula>
    </cfRule>
    <cfRule type="cellIs" dxfId="1202" priority="250" operator="lessThan">
      <formula>7.4</formula>
    </cfRule>
  </conditionalFormatting>
  <conditionalFormatting sqref="I3:I46">
    <cfRule type="cellIs" dxfId="1201" priority="1757" operator="lessThan">
      <formula>6.9</formula>
    </cfRule>
  </conditionalFormatting>
  <conditionalFormatting sqref="I3:I46">
    <cfRule type="cellIs" dxfId="1200" priority="757" operator="lessThan">
      <formula>7.4</formula>
    </cfRule>
    <cfRule type="cellIs" dxfId="1199" priority="758" operator="lessThan">
      <formula>7.9</formula>
    </cfRule>
  </conditionalFormatting>
  <conditionalFormatting sqref="I3:I46">
    <cfRule type="cellIs" dxfId="1198" priority="1737" operator="lessThan">
      <formula>6.9</formula>
    </cfRule>
    <cfRule type="cellIs" dxfId="1197" priority="1738" operator="lessThan">
      <formula>7.9</formula>
    </cfRule>
    <cfRule type="cellIs" dxfId="1196" priority="1739" operator="lessThan">
      <formula>7.4</formula>
    </cfRule>
    <cfRule type="cellIs" dxfId="1195" priority="1740" operator="lessThan">
      <formula>6.9</formula>
    </cfRule>
    <cfRule type="cellIs" dxfId="1194" priority="1742" operator="lessThan">
      <formula>7.9</formula>
    </cfRule>
    <cfRule type="cellIs" dxfId="1193" priority="1743" operator="lessThan">
      <formula>6.9</formula>
    </cfRule>
    <cfRule type="cellIs" dxfId="1192" priority="1756" operator="lessThan">
      <formula>7.4</formula>
    </cfRule>
  </conditionalFormatting>
  <conditionalFormatting sqref="J3:J25 J41">
    <cfRule type="cellIs" dxfId="1191" priority="210" stopIfTrue="1" operator="lessThan">
      <formula>7.4</formula>
    </cfRule>
  </conditionalFormatting>
  <conditionalFormatting sqref="J3:J46">
    <cfRule type="cellIs" dxfId="1190" priority="209" stopIfTrue="1" operator="lessThan">
      <formula>7.9</formula>
    </cfRule>
  </conditionalFormatting>
  <conditionalFormatting sqref="I3:I46">
    <cfRule type="cellIs" dxfId="1189" priority="756" operator="lessThan">
      <formula>6.9</formula>
    </cfRule>
  </conditionalFormatting>
  <conditionalFormatting sqref="L3:M46 P3:Q46">
    <cfRule type="cellIs" dxfId="1188" priority="248" operator="lessThan">
      <formula>7.9</formula>
    </cfRule>
  </conditionalFormatting>
  <conditionalFormatting sqref="L3:L46">
    <cfRule type="cellIs" dxfId="1187" priority="254" operator="lessThan">
      <formula>7.9</formula>
    </cfRule>
    <cfRule type="cellIs" dxfId="1186" priority="255" operator="lessThan">
      <formula>7.4</formula>
    </cfRule>
  </conditionalFormatting>
  <conditionalFormatting sqref="M3:M46 Q3:Q46">
    <cfRule type="cellIs" dxfId="1185" priority="275" operator="lessThan">
      <formula>7.4</formula>
    </cfRule>
    <cfRule type="cellIs" dxfId="1184" priority="276" operator="lessThan">
      <formula>7.9</formula>
    </cfRule>
  </conditionalFormatting>
  <conditionalFormatting sqref="M3:M46">
    <cfRule type="cellIs" dxfId="1183" priority="274" operator="lessThan">
      <formula>6.9</formula>
    </cfRule>
  </conditionalFormatting>
  <conditionalFormatting sqref="M3:M46">
    <cfRule type="cellIs" dxfId="1182" priority="897" operator="lessThan">
      <formula>6.9</formula>
    </cfRule>
    <cfRule type="cellIs" dxfId="1181" priority="898" operator="lessThan">
      <formula>7.9</formula>
    </cfRule>
    <cfRule type="cellIs" dxfId="1180" priority="899" operator="lessThan">
      <formula>7.4</formula>
    </cfRule>
    <cfRule type="cellIs" dxfId="1179" priority="900" operator="lessThan">
      <formula>6.9</formula>
    </cfRule>
    <cfRule type="cellIs" dxfId="1178" priority="901" operator="lessThan">
      <formula>7.9</formula>
    </cfRule>
    <cfRule type="cellIs" dxfId="1177" priority="902" operator="lessThan">
      <formula>6.9</formula>
    </cfRule>
    <cfRule type="cellIs" dxfId="1176" priority="904" operator="lessThan">
      <formula>7.4</formula>
    </cfRule>
    <cfRule type="cellIs" dxfId="1175" priority="905" operator="lessThan">
      <formula>7.9</formula>
    </cfRule>
  </conditionalFormatting>
  <conditionalFormatting sqref="N3:N11 N13:N24">
    <cfRule type="cellIs" dxfId="1174" priority="240" operator="lessThan">
      <formula>7.4</formula>
    </cfRule>
    <cfRule type="cellIs" dxfId="1173" priority="241" operator="lessThan">
      <formula>7.9</formula>
    </cfRule>
    <cfRule type="cellIs" dxfId="1172" priority="242" operator="lessThan">
      <formula>7.9</formula>
    </cfRule>
    <cfRule type="cellIs" dxfId="1171" priority="243" operator="lessThan">
      <formula>7.4</formula>
    </cfRule>
  </conditionalFormatting>
  <conditionalFormatting sqref="N26:N40 N42:N46">
    <cfRule type="cellIs" dxfId="1170" priority="205" operator="equal">
      <formula>"f"</formula>
    </cfRule>
    <cfRule type="cellIs" dxfId="1169" priority="206" operator="lessThan">
      <formula>7.4</formula>
    </cfRule>
    <cfRule type="cellIs" dxfId="1168" priority="207" operator="lessThan">
      <formula>7.9</formula>
    </cfRule>
    <cfRule type="cellIs" dxfId="1167" priority="208" operator="equal">
      <formula>"f"</formula>
    </cfRule>
  </conditionalFormatting>
  <conditionalFormatting sqref="N26:N46">
    <cfRule type="cellIs" dxfId="1166" priority="199" operator="lessThan">
      <formula>7.9</formula>
    </cfRule>
    <cfRule type="cellIs" dxfId="1165" priority="200" operator="lessThan">
      <formula>7.4</formula>
    </cfRule>
  </conditionalFormatting>
  <conditionalFormatting sqref="N41">
    <cfRule type="cellIs" dxfId="1164" priority="201" operator="lessThan">
      <formula>7.4</formula>
    </cfRule>
    <cfRule type="cellIs" dxfId="1163" priority="202" operator="lessThan">
      <formula>7.9</formula>
    </cfRule>
  </conditionalFormatting>
  <conditionalFormatting sqref="Q3:Q46">
    <cfRule type="cellIs" dxfId="1162" priority="273" operator="lessThan">
      <formula>6.9</formula>
    </cfRule>
  </conditionalFormatting>
  <conditionalFormatting sqref="Q3:Q46">
    <cfRule type="cellIs" dxfId="1161" priority="265" operator="lessThan">
      <formula>6.9</formula>
    </cfRule>
    <cfRule type="cellIs" dxfId="1160" priority="266" operator="lessThan">
      <formula>7.4</formula>
    </cfRule>
    <cfRule type="cellIs" dxfId="1159" priority="267" operator="lessThan">
      <formula>7.9</formula>
    </cfRule>
    <cfRule type="cellIs" dxfId="1158" priority="268" operator="lessThan">
      <formula>6.9</formula>
    </cfRule>
    <cfRule type="cellIs" dxfId="1157" priority="269" operator="lessThan">
      <formula>7.9</formula>
    </cfRule>
    <cfRule type="cellIs" dxfId="1156" priority="270" operator="lessThan">
      <formula>7.4</formula>
    </cfRule>
    <cfRule type="cellIs" dxfId="1155" priority="271" operator="lessThan">
      <formula>6.9</formula>
    </cfRule>
    <cfRule type="cellIs" dxfId="1154" priority="272" operator="lessThan">
      <formula>7.9</formula>
    </cfRule>
  </conditionalFormatting>
  <conditionalFormatting sqref="R4:R11">
    <cfRule type="cellIs" dxfId="1153" priority="236" operator="lessThan">
      <formula>7.4</formula>
    </cfRule>
    <cfRule type="cellIs" dxfId="1152" priority="237" operator="lessThan">
      <formula>7.9</formula>
    </cfRule>
    <cfRule type="cellIs" dxfId="1151" priority="238" operator="lessThan">
      <formula>7.9</formula>
    </cfRule>
    <cfRule type="cellIs" dxfId="1150" priority="239" operator="lessThan">
      <formula>7.4</formula>
    </cfRule>
  </conditionalFormatting>
  <conditionalFormatting sqref="R13:R25">
    <cfRule type="cellIs" dxfId="1149" priority="193" operator="lessThan">
      <formula>7.4</formula>
    </cfRule>
    <cfRule type="cellIs" dxfId="1148" priority="194" operator="lessThan">
      <formula>7.9</formula>
    </cfRule>
  </conditionalFormatting>
  <conditionalFormatting sqref="R13:R46">
    <cfRule type="cellIs" dxfId="1147" priority="185" operator="lessThan">
      <formula>7.9</formula>
    </cfRule>
    <cfRule type="cellIs" dxfId="1146" priority="186" operator="lessThan">
      <formula>7.4</formula>
    </cfRule>
  </conditionalFormatting>
  <conditionalFormatting sqref="R26:R40 R42:R46">
    <cfRule type="cellIs" dxfId="1145" priority="195" operator="equal">
      <formula>"f"</formula>
    </cfRule>
    <cfRule type="cellIs" dxfId="1144" priority="196" operator="lessThan">
      <formula>7.4</formula>
    </cfRule>
    <cfRule type="cellIs" dxfId="1143" priority="197" operator="lessThan">
      <formula>7.9</formula>
    </cfRule>
    <cfRule type="cellIs" dxfId="1142" priority="198" operator="equal">
      <formula>"f"</formula>
    </cfRule>
  </conditionalFormatting>
  <conditionalFormatting sqref="R41">
    <cfRule type="cellIs" dxfId="1141" priority="187" operator="lessThan">
      <formula>7.4</formula>
    </cfRule>
    <cfRule type="cellIs" dxfId="1140" priority="188" operator="lessThan">
      <formula>7.9</formula>
    </cfRule>
  </conditionalFormatting>
  <conditionalFormatting sqref="T3:V46 X3:Z46 AB3:AC46">
    <cfRule type="cellIs" dxfId="1139" priority="171" operator="lessThan">
      <formula>7.9</formula>
    </cfRule>
  </conditionalFormatting>
  <conditionalFormatting sqref="U3:U46">
    <cfRule type="cellIs" dxfId="1138" priority="294" operator="lessThan">
      <formula>6.9</formula>
    </cfRule>
    <cfRule type="cellIs" dxfId="1137" priority="296" operator="lessThan">
      <formula>7.4</formula>
    </cfRule>
    <cfRule type="cellIs" dxfId="1136" priority="297" operator="lessThan">
      <formula>7.9</formula>
    </cfRule>
  </conditionalFormatting>
  <conditionalFormatting sqref="U3:U46">
    <cfRule type="cellIs" dxfId="1135" priority="286" operator="lessThan">
      <formula>6.9</formula>
    </cfRule>
    <cfRule type="cellIs" dxfId="1134" priority="287" operator="lessThan">
      <formula>7.4</formula>
    </cfRule>
    <cfRule type="cellIs" dxfId="1133" priority="288" operator="lessThan">
      <formula>7.9</formula>
    </cfRule>
    <cfRule type="cellIs" dxfId="1132" priority="289" operator="lessThan">
      <formula>6.9</formula>
    </cfRule>
    <cfRule type="cellIs" dxfId="1131" priority="290" operator="lessThan">
      <formula>7.9</formula>
    </cfRule>
    <cfRule type="cellIs" dxfId="1130" priority="291" operator="lessThan">
      <formula>7.4</formula>
    </cfRule>
    <cfRule type="cellIs" dxfId="1129" priority="292" operator="lessThan">
      <formula>6.9</formula>
    </cfRule>
    <cfRule type="cellIs" dxfId="1128" priority="293" operator="lessThan">
      <formula>7.9</formula>
    </cfRule>
  </conditionalFormatting>
  <conditionalFormatting sqref="V3:V46">
    <cfRule type="cellIs" dxfId="1127" priority="179" operator="lessThan">
      <formula>7.4</formula>
    </cfRule>
  </conditionalFormatting>
  <conditionalFormatting sqref="V26:V40 V42:V46">
    <cfRule type="cellIs" dxfId="1126" priority="184" operator="equal">
      <formula>"f"</formula>
    </cfRule>
  </conditionalFormatting>
  <conditionalFormatting sqref="X3:X46">
    <cfRule type="cellIs" dxfId="1125" priority="325" operator="lessThan">
      <formula>7.9</formula>
    </cfRule>
  </conditionalFormatting>
  <conditionalFormatting sqref="X25:X44">
    <cfRule type="cellIs" dxfId="1124" priority="327" operator="equal">
      <formula>"f"</formula>
    </cfRule>
  </conditionalFormatting>
  <conditionalFormatting sqref="X25:X46">
    <cfRule type="cellIs" dxfId="1123" priority="322" operator="lessThan">
      <formula>7.9</formula>
    </cfRule>
    <cfRule type="cellIs" dxfId="1122" priority="323" operator="lessThan">
      <formula>7.4</formula>
    </cfRule>
    <cfRule type="cellIs" dxfId="1121" priority="324" operator="equal">
      <formula>"f"</formula>
    </cfRule>
  </conditionalFormatting>
  <conditionalFormatting sqref="X3:Y46">
    <cfRule type="cellIs" dxfId="1120" priority="326" operator="lessThan">
      <formula>7.4</formula>
    </cfRule>
  </conditionalFormatting>
  <conditionalFormatting sqref="Y3:Y46">
    <cfRule type="cellIs" dxfId="1119" priority="317" operator="lessThan">
      <formula>6.9</formula>
    </cfRule>
    <cfRule type="cellIs" dxfId="1118" priority="320" operator="lessThan">
      <formula>7.9</formula>
    </cfRule>
  </conditionalFormatting>
  <conditionalFormatting sqref="Y3:Y46">
    <cfRule type="cellIs" dxfId="1117" priority="309" operator="lessThan">
      <formula>6.9</formula>
    </cfRule>
    <cfRule type="cellIs" dxfId="1116" priority="310" operator="lessThan">
      <formula>7.4</formula>
    </cfRule>
    <cfRule type="cellIs" dxfId="1115" priority="311" operator="lessThan">
      <formula>7.9</formula>
    </cfRule>
    <cfRule type="cellIs" dxfId="1114" priority="312" operator="lessThan">
      <formula>6.9</formula>
    </cfRule>
    <cfRule type="cellIs" dxfId="1113" priority="313" operator="lessThan">
      <formula>7.9</formula>
    </cfRule>
    <cfRule type="cellIs" dxfId="1112" priority="314" operator="lessThan">
      <formula>7.4</formula>
    </cfRule>
    <cfRule type="cellIs" dxfId="1111" priority="315" operator="lessThan">
      <formula>6.9</formula>
    </cfRule>
    <cfRule type="cellIs" dxfId="1110" priority="316" operator="lessThan">
      <formula>7.9</formula>
    </cfRule>
    <cfRule type="cellIs" dxfId="1109" priority="319" operator="lessThan">
      <formula>7.4</formula>
    </cfRule>
  </conditionalFormatting>
  <conditionalFormatting sqref="Z3:Z46">
    <cfRule type="cellIs" dxfId="1108" priority="172" operator="lessThan">
      <formula>7.4</formula>
    </cfRule>
  </conditionalFormatting>
  <conditionalFormatting sqref="Z26:Z40 Z42:Z46">
    <cfRule type="cellIs" dxfId="1107" priority="177" operator="equal">
      <formula>"f"</formula>
    </cfRule>
  </conditionalFormatting>
  <conditionalFormatting sqref="AC3:AC46">
    <cfRule type="cellIs" dxfId="1106" priority="348" operator="lessThan">
      <formula>6.9</formula>
    </cfRule>
    <cfRule type="cellIs" dxfId="1105" priority="350" operator="lessThan">
      <formula>7.4</formula>
    </cfRule>
    <cfRule type="cellIs" dxfId="1104" priority="351" operator="lessThan">
      <formula>7.9</formula>
    </cfRule>
  </conditionalFormatting>
  <conditionalFormatting sqref="AC3:AC46">
    <cfRule type="cellIs" dxfId="1103" priority="340" operator="lessThan">
      <formula>6.9</formula>
    </cfRule>
    <cfRule type="cellIs" dxfId="1102" priority="341" operator="lessThan">
      <formula>7.4</formula>
    </cfRule>
    <cfRule type="cellIs" dxfId="1101" priority="342" operator="lessThan">
      <formula>7.9</formula>
    </cfRule>
    <cfRule type="cellIs" dxfId="1100" priority="343" operator="lessThan">
      <formula>6.9</formula>
    </cfRule>
    <cfRule type="cellIs" dxfId="1099" priority="344" operator="lessThan">
      <formula>7.9</formula>
    </cfRule>
    <cfRule type="cellIs" dxfId="1098" priority="345" operator="lessThan">
      <formula>7.4</formula>
    </cfRule>
    <cfRule type="cellIs" dxfId="1097" priority="346" operator="lessThan">
      <formula>6.9</formula>
    </cfRule>
    <cfRule type="cellIs" dxfId="1096" priority="347" operator="lessThan">
      <formula>7.9</formula>
    </cfRule>
  </conditionalFormatting>
  <conditionalFormatting sqref="AD3:AD17">
    <cfRule type="cellIs" dxfId="1095" priority="230" operator="lessThan">
      <formula>7.9</formula>
    </cfRule>
    <cfRule type="cellIs" dxfId="1094" priority="231" operator="lessThan">
      <formula>7.4</formula>
    </cfRule>
  </conditionalFormatting>
  <conditionalFormatting sqref="AD25:AD40 AD42">
    <cfRule type="cellIs" dxfId="1093" priority="167" operator="lessThan">
      <formula>7.9</formula>
    </cfRule>
    <cfRule type="cellIs" dxfId="1092" priority="168" operator="lessThan">
      <formula>7.4</formula>
    </cfRule>
  </conditionalFormatting>
  <conditionalFormatting sqref="AF3:AH46 AJ3:AL46 AN3:AP46">
    <cfRule type="cellIs" dxfId="1091" priority="152" operator="lessThan">
      <formula>7.9</formula>
    </cfRule>
  </conditionalFormatting>
  <conditionalFormatting sqref="AF3:AF46">
    <cfRule type="cellIs" dxfId="1090" priority="378" operator="lessThan">
      <formula>6.9</formula>
    </cfRule>
  </conditionalFormatting>
  <conditionalFormatting sqref="AF3:AG46">
    <cfRule type="cellIs" dxfId="1089" priority="373" operator="lessThan">
      <formula>7.4</formula>
    </cfRule>
    <cfRule type="cellIs" dxfId="1088" priority="374" operator="lessThan">
      <formula>7.9</formula>
    </cfRule>
  </conditionalFormatting>
  <conditionalFormatting sqref="AG3:AG46">
    <cfRule type="cellIs" dxfId="1087" priority="371" operator="lessThan">
      <formula>6.9</formula>
    </cfRule>
  </conditionalFormatting>
  <conditionalFormatting sqref="AG3:AG46">
    <cfRule type="cellIs" dxfId="1086" priority="363" operator="lessThan">
      <formula>6.9</formula>
    </cfRule>
    <cfRule type="cellIs" dxfId="1085" priority="364" operator="lessThan">
      <formula>7.4</formula>
    </cfRule>
    <cfRule type="cellIs" dxfId="1084" priority="365" operator="lessThan">
      <formula>7.9</formula>
    </cfRule>
    <cfRule type="cellIs" dxfId="1083" priority="366" operator="lessThan">
      <formula>6.9</formula>
    </cfRule>
    <cfRule type="cellIs" dxfId="1082" priority="367" operator="lessThan">
      <formula>7.9</formula>
    </cfRule>
    <cfRule type="cellIs" dxfId="1081" priority="368" operator="lessThan">
      <formula>7.4</formula>
    </cfRule>
    <cfRule type="cellIs" dxfId="1080" priority="369" operator="lessThan">
      <formula>6.9</formula>
    </cfRule>
    <cfRule type="cellIs" dxfId="1079" priority="370" operator="lessThan">
      <formula>7.9</formula>
    </cfRule>
  </conditionalFormatting>
  <conditionalFormatting sqref="AH3:AH46">
    <cfRule type="cellIs" dxfId="1078" priority="162" operator="lessThan">
      <formula>7.4</formula>
    </cfRule>
  </conditionalFormatting>
  <conditionalFormatting sqref="AH26:AH40 AH42:AH46">
    <cfRule type="cellIs" dxfId="1077" priority="166" operator="equal">
      <formula>"f"</formula>
    </cfRule>
  </conditionalFormatting>
  <conditionalFormatting sqref="AJ3:AJ46">
    <cfRule type="cellIs" dxfId="1076" priority="408" operator="lessThan">
      <formula>7.9</formula>
    </cfRule>
  </conditionalFormatting>
  <conditionalFormatting sqref="AJ25:AJ44">
    <cfRule type="cellIs" dxfId="1075" priority="410" operator="equal">
      <formula>"f"</formula>
    </cfRule>
  </conditionalFormatting>
  <conditionalFormatting sqref="AJ25:AJ46">
    <cfRule type="cellIs" dxfId="1074" priority="405" operator="lessThan">
      <formula>7.4</formula>
    </cfRule>
    <cfRule type="cellIs" dxfId="1073" priority="406" operator="lessThan">
      <formula>7.9</formula>
    </cfRule>
    <cfRule type="cellIs" dxfId="1072" priority="407" operator="equal">
      <formula>"f"</formula>
    </cfRule>
  </conditionalFormatting>
  <conditionalFormatting sqref="AJ3:AK46">
    <cfRule type="cellIs" dxfId="1071" priority="409" operator="lessThan">
      <formula>7.4</formula>
    </cfRule>
  </conditionalFormatting>
  <conditionalFormatting sqref="AK3:AK46">
    <cfRule type="cellIs" dxfId="1070" priority="400" operator="lessThan">
      <formula>6.9</formula>
    </cfRule>
    <cfRule type="cellIs" dxfId="1069" priority="403" operator="lessThan">
      <formula>7.9</formula>
    </cfRule>
  </conditionalFormatting>
  <conditionalFormatting sqref="AK3:AK46">
    <cfRule type="cellIs" dxfId="1068" priority="392" operator="lessThan">
      <formula>6.9</formula>
    </cfRule>
    <cfRule type="cellIs" dxfId="1067" priority="393" operator="lessThan">
      <formula>7.4</formula>
    </cfRule>
    <cfRule type="cellIs" dxfId="1066" priority="394" operator="lessThan">
      <formula>7.9</formula>
    </cfRule>
    <cfRule type="cellIs" dxfId="1065" priority="395" operator="lessThan">
      <formula>6.9</formula>
    </cfRule>
    <cfRule type="cellIs" dxfId="1064" priority="396" operator="lessThan">
      <formula>7.9</formula>
    </cfRule>
    <cfRule type="cellIs" dxfId="1063" priority="397" operator="lessThan">
      <formula>7.4</formula>
    </cfRule>
    <cfRule type="cellIs" dxfId="1062" priority="398" operator="lessThan">
      <formula>6.9</formula>
    </cfRule>
    <cfRule type="cellIs" dxfId="1061" priority="399" operator="lessThan">
      <formula>7.9</formula>
    </cfRule>
    <cfRule type="cellIs" dxfId="1060" priority="402" operator="lessThan">
      <formula>7.4</formula>
    </cfRule>
  </conditionalFormatting>
  <conditionalFormatting sqref="AL3:AL46">
    <cfRule type="cellIs" dxfId="1059" priority="157" operator="lessThan">
      <formula>7.4</formula>
    </cfRule>
  </conditionalFormatting>
  <conditionalFormatting sqref="AL26:AL40 AL42:AL46">
    <cfRule type="cellIs" dxfId="1058" priority="161" operator="equal">
      <formula>"f"</formula>
    </cfRule>
  </conditionalFormatting>
  <conditionalFormatting sqref="AN3:AN46">
    <cfRule type="cellIs" dxfId="1057" priority="443" operator="lessThan">
      <formula>7.9</formula>
    </cfRule>
  </conditionalFormatting>
  <conditionalFormatting sqref="AN25:AN44">
    <cfRule type="cellIs" dxfId="1056" priority="445" operator="equal">
      <formula>"f"</formula>
    </cfRule>
  </conditionalFormatting>
  <conditionalFormatting sqref="AN25:AN46">
    <cfRule type="cellIs" dxfId="1055" priority="440" operator="lessThan">
      <formula>7.4</formula>
    </cfRule>
    <cfRule type="cellIs" dxfId="1054" priority="441" operator="lessThan">
      <formula>7.9</formula>
    </cfRule>
    <cfRule type="cellIs" dxfId="1053" priority="442" operator="equal">
      <formula>"f"</formula>
    </cfRule>
  </conditionalFormatting>
  <conditionalFormatting sqref="AN3:AO46">
    <cfRule type="cellIs" dxfId="1052" priority="444" operator="lessThan">
      <formula>7.4</formula>
    </cfRule>
  </conditionalFormatting>
  <conditionalFormatting sqref="AO3:AO46">
    <cfRule type="cellIs" dxfId="1051" priority="435" operator="lessThan">
      <formula>6.9</formula>
    </cfRule>
    <cfRule type="cellIs" dxfId="1050" priority="438" operator="lessThan">
      <formula>7.9</formula>
    </cfRule>
  </conditionalFormatting>
  <conditionalFormatting sqref="AO3:AO46">
    <cfRule type="cellIs" dxfId="1049" priority="427" operator="lessThan">
      <formula>6.9</formula>
    </cfRule>
    <cfRule type="cellIs" dxfId="1048" priority="428" operator="lessThan">
      <formula>7.4</formula>
    </cfRule>
    <cfRule type="cellIs" dxfId="1047" priority="429" operator="lessThan">
      <formula>7.9</formula>
    </cfRule>
    <cfRule type="cellIs" dxfId="1046" priority="430" operator="lessThan">
      <formula>6.9</formula>
    </cfRule>
    <cfRule type="cellIs" dxfId="1045" priority="431" operator="lessThan">
      <formula>7.9</formula>
    </cfRule>
    <cfRule type="cellIs" dxfId="1044" priority="432" operator="lessThan">
      <formula>7.4</formula>
    </cfRule>
    <cfRule type="cellIs" dxfId="1043" priority="433" operator="lessThan">
      <formula>6.9</formula>
    </cfRule>
    <cfRule type="cellIs" dxfId="1042" priority="434" operator="lessThan">
      <formula>7.9</formula>
    </cfRule>
    <cfRule type="cellIs" dxfId="1041" priority="437" operator="lessThan">
      <formula>7.4</formula>
    </cfRule>
  </conditionalFormatting>
  <conditionalFormatting sqref="AP3:AP4 AP6:AP9 AP11:AP12 AP14 AP16:AP23">
    <cfRule type="cellIs" dxfId="1040" priority="225" operator="lessThan">
      <formula>6.9</formula>
    </cfRule>
  </conditionalFormatting>
  <conditionalFormatting sqref="AP3:AP46">
    <cfRule type="cellIs" dxfId="1039" priority="151" operator="lessThan">
      <formula>7.4</formula>
    </cfRule>
  </conditionalFormatting>
  <conditionalFormatting sqref="AP29">
    <cfRule type="cellIs" dxfId="1038" priority="156" operator="lessThan">
      <formula>6.9</formula>
    </cfRule>
  </conditionalFormatting>
  <conditionalFormatting sqref="AP41">
    <cfRule type="cellIs" dxfId="1037" priority="153" operator="lessThan">
      <formula>6.9</formula>
    </cfRule>
  </conditionalFormatting>
  <conditionalFormatting sqref="AR3:AR4 AR7:AR10 AR12:AR13 AR15 AR17:AR24">
    <cfRule type="cellIs" dxfId="1036" priority="482" operator="lessThan">
      <formula>6.9</formula>
    </cfRule>
  </conditionalFormatting>
  <conditionalFormatting sqref="AR3:AR24">
    <cfRule type="cellIs" dxfId="1035" priority="477" operator="lessThan">
      <formula>7.9</formula>
    </cfRule>
    <cfRule type="cellIs" dxfId="1034" priority="478" operator="lessThan">
      <formula>7.4</formula>
    </cfRule>
    <cfRule type="cellIs" dxfId="1033" priority="479" operator="lessThan">
      <formula>7.9</formula>
    </cfRule>
    <cfRule type="cellIs" dxfId="1032" priority="483" operator="lessThan">
      <formula>7.4</formula>
    </cfRule>
  </conditionalFormatting>
  <conditionalFormatting sqref="AR25:AR46 AV25:AV46">
    <cfRule type="cellIs" dxfId="1031" priority="1018" operator="lessThan">
      <formula>7.4</formula>
    </cfRule>
    <cfRule type="cellIs" dxfId="1030" priority="1019" operator="lessThan">
      <formula>7.9</formula>
    </cfRule>
    <cfRule type="cellIs" dxfId="1029" priority="1215" operator="lessThan">
      <formula>7.9</formula>
    </cfRule>
  </conditionalFormatting>
  <conditionalFormatting sqref="AR28">
    <cfRule type="cellIs" dxfId="1028" priority="474" operator="lessThan">
      <formula>6.9</formula>
    </cfRule>
  </conditionalFormatting>
  <conditionalFormatting sqref="AR45:AR46">
    <cfRule type="cellIs" dxfId="1027" priority="475" operator="lessThan">
      <formula>7.9</formula>
    </cfRule>
    <cfRule type="cellIs" dxfId="1026" priority="476" operator="lessThan">
      <formula>7.4</formula>
    </cfRule>
  </conditionalFormatting>
  <conditionalFormatting sqref="AR46">
    <cfRule type="cellIs" dxfId="1025" priority="484" operator="lessThan">
      <formula>6.9</formula>
    </cfRule>
    <cfRule type="cellIs" dxfId="1024" priority="485" operator="lessThan">
      <formula>7.4</formula>
    </cfRule>
  </conditionalFormatting>
  <conditionalFormatting sqref="AS3:AS46">
    <cfRule type="cellIs" dxfId="1023" priority="470" operator="lessThan">
      <formula>6.9</formula>
    </cfRule>
    <cfRule type="cellIs" dxfId="1022" priority="472" operator="lessThan">
      <formula>7.4</formula>
    </cfRule>
    <cfRule type="cellIs" dxfId="1021" priority="473" operator="lessThan">
      <formula>7.9</formula>
    </cfRule>
  </conditionalFormatting>
  <conditionalFormatting sqref="AS3:AS46">
    <cfRule type="cellIs" dxfId="1020" priority="462" operator="lessThan">
      <formula>6.9</formula>
    </cfRule>
    <cfRule type="cellIs" dxfId="1019" priority="463" operator="lessThan">
      <formula>7.4</formula>
    </cfRule>
    <cfRule type="cellIs" dxfId="1018" priority="464" operator="lessThan">
      <formula>7.9</formula>
    </cfRule>
    <cfRule type="cellIs" dxfId="1017" priority="465" operator="lessThan">
      <formula>6.9</formula>
    </cfRule>
    <cfRule type="cellIs" dxfId="1016" priority="466" operator="lessThan">
      <formula>7.9</formula>
    </cfRule>
    <cfRule type="cellIs" dxfId="1015" priority="467" operator="lessThan">
      <formula>7.4</formula>
    </cfRule>
    <cfRule type="cellIs" dxfId="1014" priority="468" operator="lessThan">
      <formula>6.9</formula>
    </cfRule>
    <cfRule type="cellIs" dxfId="1013" priority="469" operator="lessThan">
      <formula>7.9</formula>
    </cfRule>
  </conditionalFormatting>
  <conditionalFormatting sqref="AS3:AT46">
    <cfRule type="cellIs" dxfId="1012" priority="145" operator="lessThan">
      <formula>7.9</formula>
    </cfRule>
  </conditionalFormatting>
  <conditionalFormatting sqref="AT3:AT46">
    <cfRule type="cellIs" dxfId="1011" priority="144" operator="lessThan">
      <formula>7.4</formula>
    </cfRule>
    <cfRule type="cellIs" dxfId="1010" priority="146" operator="lessThan">
      <formula>6.9</formula>
    </cfRule>
  </conditionalFormatting>
  <conditionalFormatting sqref="AV3:AV24">
    <cfRule type="cellIs" dxfId="1009" priority="514" operator="lessThan">
      <formula>7.9</formula>
    </cfRule>
    <cfRule type="cellIs" dxfId="1008" priority="517" operator="lessThan">
      <formula>6.9</formula>
    </cfRule>
    <cfRule type="cellIs" dxfId="1007" priority="518" operator="lessThan">
      <formula>7.4</formula>
    </cfRule>
    <cfRule type="cellIs" dxfId="1006" priority="519" operator="lessThan">
      <formula>7.9</formula>
    </cfRule>
    <cfRule type="cellIs" dxfId="1005" priority="520" operator="lessThan">
      <formula>6.9</formula>
    </cfRule>
    <cfRule type="cellIs" dxfId="1004" priority="521" operator="lessThan">
      <formula>7.4</formula>
    </cfRule>
    <cfRule type="cellIs" dxfId="1003" priority="522" operator="lessThan">
      <formula>7.9</formula>
    </cfRule>
  </conditionalFormatting>
  <conditionalFormatting sqref="AV3:AV46">
    <cfRule type="cellIs" dxfId="1002" priority="509" operator="lessThan">
      <formula>7.9</formula>
    </cfRule>
  </conditionalFormatting>
  <conditionalFormatting sqref="AV25:AV45">
    <cfRule type="cellIs" dxfId="1001" priority="507" operator="lessThan">
      <formula>6.9</formula>
    </cfRule>
  </conditionalFormatting>
  <conditionalFormatting sqref="AV25:AV46 AR25:AR46">
    <cfRule type="cellIs" dxfId="1000" priority="961" operator="equal">
      <formula>"f"</formula>
    </cfRule>
  </conditionalFormatting>
  <conditionalFormatting sqref="AV25:AV46">
    <cfRule type="cellIs" dxfId="999" priority="513" operator="equal">
      <formula>"f"</formula>
    </cfRule>
  </conditionalFormatting>
  <conditionalFormatting sqref="AV46">
    <cfRule type="cellIs" dxfId="998" priority="523" operator="lessThan">
      <formula>6.9</formula>
    </cfRule>
    <cfRule type="cellIs" dxfId="997" priority="524" operator="lessThan">
      <formula>7.4</formula>
    </cfRule>
  </conditionalFormatting>
  <conditionalFormatting sqref="AV3:AW46">
    <cfRule type="cellIs" dxfId="996" priority="508" operator="lessThan">
      <formula>7.4</formula>
    </cfRule>
  </conditionalFormatting>
  <conditionalFormatting sqref="AW3:AW46">
    <cfRule type="cellIs" dxfId="995" priority="503" operator="lessThan">
      <formula>6.9</formula>
    </cfRule>
    <cfRule type="cellIs" dxfId="994" priority="506" operator="lessThan">
      <formula>7.9</formula>
    </cfRule>
  </conditionalFormatting>
  <conditionalFormatting sqref="AW3:AW46">
    <cfRule type="cellIs" dxfId="993" priority="495" operator="lessThan">
      <formula>6.9</formula>
    </cfRule>
    <cfRule type="cellIs" dxfId="992" priority="496" operator="lessThan">
      <formula>7.4</formula>
    </cfRule>
    <cfRule type="cellIs" dxfId="991" priority="497" operator="lessThan">
      <formula>7.9</formula>
    </cfRule>
    <cfRule type="cellIs" dxfId="990" priority="498" operator="lessThan">
      <formula>6.9</formula>
    </cfRule>
    <cfRule type="cellIs" dxfId="989" priority="499" operator="lessThan">
      <formula>7.9</formula>
    </cfRule>
    <cfRule type="cellIs" dxfId="988" priority="500" operator="lessThan">
      <formula>7.4</formula>
    </cfRule>
    <cfRule type="cellIs" dxfId="987" priority="501" operator="lessThan">
      <formula>6.9</formula>
    </cfRule>
    <cfRule type="cellIs" dxfId="986" priority="502" operator="lessThan">
      <formula>7.9</formula>
    </cfRule>
    <cfRule type="cellIs" dxfId="985" priority="505" operator="lessThan">
      <formula>7.4</formula>
    </cfRule>
  </conditionalFormatting>
  <conditionalFormatting sqref="AW3:AX46">
    <cfRule type="cellIs" dxfId="984" priority="140" operator="lessThan">
      <formula>7.9</formula>
    </cfRule>
  </conditionalFormatting>
  <conditionalFormatting sqref="AX3:AX46">
    <cfRule type="cellIs" dxfId="983" priority="141" operator="lessThan">
      <formula>7.4</formula>
    </cfRule>
  </conditionalFormatting>
  <conditionalFormatting sqref="AZ3:AZ24">
    <cfRule type="cellIs" dxfId="982" priority="552" operator="lessThan">
      <formula>6.9</formula>
    </cfRule>
  </conditionalFormatting>
  <conditionalFormatting sqref="AZ3:AZ46">
    <cfRule type="cellIs" dxfId="981" priority="549" operator="lessThan">
      <formula>7.9</formula>
    </cfRule>
    <cfRule type="cellIs" dxfId="980" priority="554" operator="lessThan">
      <formula>7.9</formula>
    </cfRule>
  </conditionalFormatting>
  <conditionalFormatting sqref="AZ25:AZ46">
    <cfRule type="cellIs" dxfId="979" priority="548" operator="equal">
      <formula>"f"</formula>
    </cfRule>
  </conditionalFormatting>
  <conditionalFormatting sqref="AZ3:BA46">
    <cfRule type="cellIs" dxfId="978" priority="545" operator="lessThan">
      <formula>7.9</formula>
    </cfRule>
    <cfRule type="cellIs" dxfId="977" priority="553" operator="lessThan">
      <formula>7.4</formula>
    </cfRule>
  </conditionalFormatting>
  <conditionalFormatting sqref="AZ3:BA46">
    <cfRule type="cellIs" dxfId="976" priority="544" operator="lessThan">
      <formula>7.4</formula>
    </cfRule>
  </conditionalFormatting>
  <conditionalFormatting sqref="BA3:BA46">
    <cfRule type="cellIs" dxfId="975" priority="542" operator="lessThan">
      <formula>6.9</formula>
    </cfRule>
  </conditionalFormatting>
  <conditionalFormatting sqref="BA3:BA46">
    <cfRule type="cellIs" dxfId="974" priority="534" operator="lessThan">
      <formula>6.9</formula>
    </cfRule>
    <cfRule type="cellIs" dxfId="973" priority="535" operator="lessThan">
      <formula>7.4</formula>
    </cfRule>
    <cfRule type="cellIs" dxfId="972" priority="536" operator="lessThan">
      <formula>7.9</formula>
    </cfRule>
    <cfRule type="cellIs" dxfId="971" priority="537" operator="lessThan">
      <formula>6.9</formula>
    </cfRule>
    <cfRule type="cellIs" dxfId="970" priority="538" operator="lessThan">
      <formula>7.9</formula>
    </cfRule>
    <cfRule type="cellIs" dxfId="969" priority="539" operator="lessThan">
      <formula>7.4</formula>
    </cfRule>
    <cfRule type="cellIs" dxfId="968" priority="540" operator="lessThan">
      <formula>6.9</formula>
    </cfRule>
    <cfRule type="cellIs" dxfId="967" priority="541" operator="lessThan">
      <formula>7.9</formula>
    </cfRule>
  </conditionalFormatting>
  <conditionalFormatting sqref="BA3:BB46">
    <cfRule type="cellIs" dxfId="966" priority="135" operator="lessThan">
      <formula>7.9</formula>
    </cfRule>
  </conditionalFormatting>
  <conditionalFormatting sqref="BB3:BB46">
    <cfRule type="cellIs" dxfId="965" priority="136" operator="lessThan">
      <formula>7.4</formula>
    </cfRule>
  </conditionalFormatting>
  <conditionalFormatting sqref="BB26:BB40 BB42:BB46">
    <cfRule type="cellIs" dxfId="964" priority="139" operator="equal">
      <formula>"f"</formula>
    </cfRule>
  </conditionalFormatting>
  <conditionalFormatting sqref="BD3:BD46">
    <cfRule type="cellIs" dxfId="963" priority="580" operator="lessThan">
      <formula>7.9</formula>
    </cfRule>
    <cfRule type="cellIs" dxfId="962" priority="582" operator="lessThan">
      <formula>7.9</formula>
    </cfRule>
  </conditionalFormatting>
  <conditionalFormatting sqref="BD25:BD46">
    <cfRule type="cellIs" dxfId="961" priority="578" operator="equal">
      <formula>"f"</formula>
    </cfRule>
  </conditionalFormatting>
  <conditionalFormatting sqref="BD3:BE46">
    <cfRule type="cellIs" dxfId="960" priority="581" operator="lessThan">
      <formula>7.4</formula>
    </cfRule>
  </conditionalFormatting>
  <conditionalFormatting sqref="BE3:BE46">
    <cfRule type="cellIs" dxfId="959" priority="574" operator="lessThan">
      <formula>6.9</formula>
    </cfRule>
    <cfRule type="cellIs" dxfId="958" priority="577" operator="lessThan">
      <formula>7.9</formula>
    </cfRule>
  </conditionalFormatting>
  <conditionalFormatting sqref="BE3:BE46">
    <cfRule type="cellIs" dxfId="957" priority="566" operator="lessThan">
      <formula>6.9</formula>
    </cfRule>
    <cfRule type="cellIs" dxfId="956" priority="567" operator="lessThan">
      <formula>7.4</formula>
    </cfRule>
    <cfRule type="cellIs" dxfId="955" priority="568" operator="lessThan">
      <formula>7.9</formula>
    </cfRule>
    <cfRule type="cellIs" dxfId="954" priority="569" operator="lessThan">
      <formula>6.9</formula>
    </cfRule>
    <cfRule type="cellIs" dxfId="953" priority="570" operator="lessThan">
      <formula>7.9</formula>
    </cfRule>
    <cfRule type="cellIs" dxfId="952" priority="571" operator="lessThan">
      <formula>7.4</formula>
    </cfRule>
    <cfRule type="cellIs" dxfId="951" priority="572" operator="lessThan">
      <formula>6.9</formula>
    </cfRule>
    <cfRule type="cellIs" dxfId="950" priority="573" operator="lessThan">
      <formula>7.9</formula>
    </cfRule>
    <cfRule type="cellIs" dxfId="949" priority="576" operator="lessThan">
      <formula>7.4</formula>
    </cfRule>
  </conditionalFormatting>
  <conditionalFormatting sqref="BE3:BF46">
    <cfRule type="cellIs" dxfId="948" priority="131" operator="lessThan">
      <formula>7.9</formula>
    </cfRule>
  </conditionalFormatting>
  <conditionalFormatting sqref="BF3:BF46">
    <cfRule type="cellIs" dxfId="947" priority="132" operator="lessThan">
      <formula>7.4</formula>
    </cfRule>
  </conditionalFormatting>
  <conditionalFormatting sqref="BH3:BH24">
    <cfRule type="cellIs" dxfId="946" priority="621" operator="lessThan">
      <formula>6.9</formula>
    </cfRule>
  </conditionalFormatting>
  <conditionalFormatting sqref="BH3:BH44">
    <cfRule type="cellIs" dxfId="945" priority="615" operator="lessThan">
      <formula>7.9</formula>
    </cfRule>
    <cfRule type="cellIs" dxfId="944" priority="616" operator="lessThan">
      <formula>7.4</formula>
    </cfRule>
  </conditionalFormatting>
  <conditionalFormatting sqref="BH3:BH46">
    <cfRule type="cellIs" dxfId="943" priority="618" operator="lessThan">
      <formula>7.9</formula>
    </cfRule>
    <cfRule type="cellIs" dxfId="942" priority="623" operator="lessThan">
      <formula>7.9</formula>
    </cfRule>
  </conditionalFormatting>
  <conditionalFormatting sqref="BH25:BH46">
    <cfRule type="cellIs" dxfId="941" priority="612" operator="lessThan">
      <formula>7.9</formula>
    </cfRule>
    <cfRule type="cellIs" dxfId="940" priority="613" operator="lessThan">
      <formula>7.4</formula>
    </cfRule>
    <cfRule type="cellIs" dxfId="939" priority="614" operator="equal">
      <formula>"f"</formula>
    </cfRule>
    <cfRule type="cellIs" dxfId="938" priority="617" operator="equal">
      <formula>"f"</formula>
    </cfRule>
  </conditionalFormatting>
  <conditionalFormatting sqref="BH3:BI46">
    <cfRule type="cellIs" dxfId="937" priority="622" operator="lessThan">
      <formula>7.4</formula>
    </cfRule>
  </conditionalFormatting>
  <conditionalFormatting sqref="BI3:BI46">
    <cfRule type="cellIs" dxfId="936" priority="599" operator="lessThan">
      <formula>7.9</formula>
    </cfRule>
    <cfRule type="cellIs" dxfId="935" priority="600" operator="lessThan">
      <formula>6.9</formula>
    </cfRule>
    <cfRule type="cellIs" dxfId="934" priority="601" operator="lessThan">
      <formula>7.4</formula>
    </cfRule>
    <cfRule type="cellIs" dxfId="933" priority="602" operator="lessThan">
      <formula>7.9</formula>
    </cfRule>
    <cfRule type="cellIs" dxfId="932" priority="603" operator="lessThan">
      <formula>6.9</formula>
    </cfRule>
    <cfRule type="cellIs" dxfId="931" priority="604" operator="lessThan">
      <formula>7.9</formula>
    </cfRule>
    <cfRule type="cellIs" dxfId="930" priority="605" operator="lessThan">
      <formula>7.4</formula>
    </cfRule>
    <cfRule type="cellIs" dxfId="929" priority="606" operator="lessThan">
      <formula>6.9</formula>
    </cfRule>
    <cfRule type="cellIs" dxfId="928" priority="607" operator="lessThan">
      <formula>7.9</formula>
    </cfRule>
    <cfRule type="cellIs" dxfId="927" priority="608" operator="lessThan">
      <formula>6.9</formula>
    </cfRule>
    <cfRule type="cellIs" dxfId="926" priority="610" operator="lessThan">
      <formula>7.4</formula>
    </cfRule>
    <cfRule type="cellIs" dxfId="925" priority="611" operator="lessThan">
      <formula>7.9</formula>
    </cfRule>
  </conditionalFormatting>
  <conditionalFormatting sqref="G3:G24">
    <cfRule type="cellIs" dxfId="924" priority="129" operator="lessThan">
      <formula>7.4</formula>
    </cfRule>
    <cfRule type="cellIs" dxfId="923" priority="130" operator="lessThan">
      <formula>7.9</formula>
    </cfRule>
  </conditionalFormatting>
  <conditionalFormatting sqref="K3:K24">
    <cfRule type="cellIs" dxfId="922" priority="127" operator="lessThan">
      <formula>7.4</formula>
    </cfRule>
    <cfRule type="cellIs" dxfId="921" priority="128" operator="lessThan">
      <formula>7.9</formula>
    </cfRule>
  </conditionalFormatting>
  <conditionalFormatting sqref="O3:O24">
    <cfRule type="cellIs" dxfId="920" priority="125" operator="lessThan">
      <formula>7.4</formula>
    </cfRule>
    <cfRule type="cellIs" dxfId="919" priority="126" operator="lessThan">
      <formula>7.9</formula>
    </cfRule>
  </conditionalFormatting>
  <conditionalFormatting sqref="S3:S24">
    <cfRule type="cellIs" dxfId="918" priority="123" operator="lessThan">
      <formula>7.4</formula>
    </cfRule>
    <cfRule type="cellIs" dxfId="917" priority="124" operator="lessThan">
      <formula>7.9</formula>
    </cfRule>
  </conditionalFormatting>
  <conditionalFormatting sqref="W3:W24">
    <cfRule type="cellIs" dxfId="916" priority="121" operator="lessThan">
      <formula>7.4</formula>
    </cfRule>
    <cfRule type="cellIs" dxfId="915" priority="122" operator="lessThan">
      <formula>7.9</formula>
    </cfRule>
  </conditionalFormatting>
  <conditionalFormatting sqref="AA3:AA24">
    <cfRule type="cellIs" dxfId="914" priority="119" operator="lessThan">
      <formula>7.4</formula>
    </cfRule>
    <cfRule type="cellIs" dxfId="913" priority="120" operator="lessThan">
      <formula>7.9</formula>
    </cfRule>
  </conditionalFormatting>
  <conditionalFormatting sqref="AE3:AE24">
    <cfRule type="cellIs" dxfId="912" priority="117" operator="lessThan">
      <formula>7.4</formula>
    </cfRule>
    <cfRule type="cellIs" dxfId="911" priority="118" operator="lessThan">
      <formula>7.9</formula>
    </cfRule>
  </conditionalFormatting>
  <conditionalFormatting sqref="AI3:AI24">
    <cfRule type="cellIs" dxfId="910" priority="115" operator="lessThan">
      <formula>7.4</formula>
    </cfRule>
    <cfRule type="cellIs" dxfId="909" priority="116" operator="lessThan">
      <formula>7.9</formula>
    </cfRule>
  </conditionalFormatting>
  <conditionalFormatting sqref="AM3:AM24">
    <cfRule type="cellIs" dxfId="908" priority="113" operator="lessThan">
      <formula>7.4</formula>
    </cfRule>
    <cfRule type="cellIs" dxfId="907" priority="114" operator="lessThan">
      <formula>7.9</formula>
    </cfRule>
  </conditionalFormatting>
  <conditionalFormatting sqref="AQ3:AQ24">
    <cfRule type="cellIs" dxfId="906" priority="109" operator="lessThan">
      <formula>7.4</formula>
    </cfRule>
    <cfRule type="cellIs" dxfId="905" priority="110" operator="lessThan">
      <formula>7.9</formula>
    </cfRule>
  </conditionalFormatting>
  <conditionalFormatting sqref="AQ3:AQ4 AQ6:AQ9 AQ11:AQ12 AQ14 AQ16:AQ23">
    <cfRule type="cellIs" dxfId="904" priority="111" operator="lessThan">
      <formula>6.9</formula>
    </cfRule>
  </conditionalFormatting>
  <conditionalFormatting sqref="AQ3:AQ23">
    <cfRule type="cellIs" dxfId="903" priority="112" operator="lessThan">
      <formula>7.4</formula>
    </cfRule>
  </conditionalFormatting>
  <conditionalFormatting sqref="AU3:AU24">
    <cfRule type="cellIs" dxfId="902" priority="104" operator="lessThan">
      <formula>7.4</formula>
    </cfRule>
    <cfRule type="cellIs" dxfId="901" priority="105" operator="lessThan">
      <formula>7.9</formula>
    </cfRule>
  </conditionalFormatting>
  <conditionalFormatting sqref="AU3:AU24">
    <cfRule type="cellIs" dxfId="900" priority="106" operator="lessThan">
      <formula>6.9</formula>
    </cfRule>
    <cfRule type="cellIs" dxfId="899" priority="107" operator="lessThan">
      <formula>7.4</formula>
    </cfRule>
    <cfRule type="cellIs" dxfId="898" priority="108" operator="lessThan">
      <formula>7.9</formula>
    </cfRule>
  </conditionalFormatting>
  <conditionalFormatting sqref="AY3:AY24">
    <cfRule type="cellIs" dxfId="897" priority="102" operator="lessThan">
      <formula>7.4</formula>
    </cfRule>
    <cfRule type="cellIs" dxfId="896" priority="103" operator="lessThan">
      <formula>7.9</formula>
    </cfRule>
  </conditionalFormatting>
  <conditionalFormatting sqref="BC3:BC24">
    <cfRule type="cellIs" dxfId="895" priority="100" operator="lessThan">
      <formula>7.4</formula>
    </cfRule>
    <cfRule type="cellIs" dxfId="894" priority="101" operator="lessThan">
      <formula>7.9</formula>
    </cfRule>
  </conditionalFormatting>
  <conditionalFormatting sqref="BG3:BG24">
    <cfRule type="cellIs" dxfId="893" priority="96" operator="lessThan">
      <formula>7.4</formula>
    </cfRule>
    <cfRule type="cellIs" dxfId="892" priority="97" operator="lessThan">
      <formula>7.9</formula>
    </cfRule>
  </conditionalFormatting>
  <conditionalFormatting sqref="BG3:BG23">
    <cfRule type="cellIs" dxfId="891" priority="99" operator="lessThan">
      <formula>7.4</formula>
    </cfRule>
  </conditionalFormatting>
  <conditionalFormatting sqref="BG24">
    <cfRule type="cellIs" dxfId="890" priority="98" operator="lessThan">
      <formula>7.4</formula>
    </cfRule>
  </conditionalFormatting>
  <conditionalFormatting sqref="G25:G46">
    <cfRule type="cellIs" dxfId="889" priority="94" operator="lessThan">
      <formula>7.9</formula>
    </cfRule>
    <cfRule type="cellIs" dxfId="888" priority="95" operator="lessThan">
      <formula>7.4</formula>
    </cfRule>
  </conditionalFormatting>
  <conditionalFormatting sqref="K25:K46">
    <cfRule type="cellIs" dxfId="887" priority="92" operator="lessThan">
      <formula>7.9</formula>
    </cfRule>
    <cfRule type="cellIs" dxfId="886" priority="93" operator="lessThan">
      <formula>7.4</formula>
    </cfRule>
  </conditionalFormatting>
  <conditionalFormatting sqref="O25:O46">
    <cfRule type="cellIs" dxfId="885" priority="84" operator="equal">
      <formula>"f"</formula>
    </cfRule>
  </conditionalFormatting>
  <conditionalFormatting sqref="O25:O46">
    <cfRule type="cellIs" dxfId="884" priority="85" operator="lessThan">
      <formula>7.9</formula>
    </cfRule>
    <cfRule type="cellIs" dxfId="883" priority="86" operator="lessThan">
      <formula>7.4</formula>
    </cfRule>
  </conditionalFormatting>
  <conditionalFormatting sqref="O41">
    <cfRule type="cellIs" dxfId="882" priority="90" operator="lessThan">
      <formula>7.4</formula>
    </cfRule>
    <cfRule type="cellIs" dxfId="881" priority="91" operator="lessThan">
      <formula>7.9</formula>
    </cfRule>
  </conditionalFormatting>
  <conditionalFormatting sqref="O26:O40 O42:O46">
    <cfRule type="cellIs" dxfId="880" priority="87" operator="lessThan">
      <formula>7.4</formula>
    </cfRule>
    <cfRule type="cellIs" dxfId="879" priority="88" operator="lessThan">
      <formula>7.9</formula>
    </cfRule>
    <cfRule type="cellIs" dxfId="878" priority="89" operator="equal">
      <formula>"f"</formula>
    </cfRule>
  </conditionalFormatting>
  <conditionalFormatting sqref="S25:S46">
    <cfRule type="cellIs" dxfId="877" priority="74" operator="equal">
      <formula>"f"</formula>
    </cfRule>
  </conditionalFormatting>
  <conditionalFormatting sqref="S25:S46">
    <cfRule type="cellIs" dxfId="876" priority="75" operator="lessThan">
      <formula>7.9</formula>
    </cfRule>
    <cfRule type="cellIs" dxfId="875" priority="76" operator="lessThan">
      <formula>7.4</formula>
    </cfRule>
  </conditionalFormatting>
  <conditionalFormatting sqref="S41">
    <cfRule type="cellIs" dxfId="874" priority="82" operator="lessThan">
      <formula>7.4</formula>
    </cfRule>
    <cfRule type="cellIs" dxfId="873" priority="83" operator="lessThan">
      <formula>7.9</formula>
    </cfRule>
  </conditionalFormatting>
  <conditionalFormatting sqref="S26:S40 S42:S46">
    <cfRule type="cellIs" dxfId="872" priority="77" operator="lessThan">
      <formula>7.4</formula>
    </cfRule>
    <cfRule type="cellIs" dxfId="871" priority="78" operator="lessThan">
      <formula>7.9</formula>
    </cfRule>
    <cfRule type="cellIs" dxfId="870" priority="79" operator="equal">
      <formula>"f"</formula>
    </cfRule>
  </conditionalFormatting>
  <conditionalFormatting sqref="S25">
    <cfRule type="cellIs" dxfId="869" priority="80" operator="lessThan">
      <formula>7.9</formula>
    </cfRule>
    <cfRule type="cellIs" dxfId="868" priority="81" operator="lessThan">
      <formula>7.4</formula>
    </cfRule>
  </conditionalFormatting>
  <conditionalFormatting sqref="W25:W46">
    <cfRule type="cellIs" dxfId="867" priority="64" operator="equal">
      <formula>"f"</formula>
    </cfRule>
  </conditionalFormatting>
  <conditionalFormatting sqref="W25:W46">
    <cfRule type="cellIs" dxfId="866" priority="65" operator="lessThan">
      <formula>7.9</formula>
    </cfRule>
    <cfRule type="cellIs" dxfId="865" priority="66" operator="lessThan">
      <formula>7.4</formula>
    </cfRule>
  </conditionalFormatting>
  <conditionalFormatting sqref="W41">
    <cfRule type="cellIs" dxfId="864" priority="72" operator="lessThan">
      <formula>7.4</formula>
    </cfRule>
    <cfRule type="cellIs" dxfId="863" priority="73" operator="lessThan">
      <formula>7.9</formula>
    </cfRule>
  </conditionalFormatting>
  <conditionalFormatting sqref="W26:W40 W42:W46">
    <cfRule type="cellIs" dxfId="862" priority="67" operator="lessThan">
      <formula>7.4</formula>
    </cfRule>
    <cfRule type="cellIs" dxfId="861" priority="68" operator="lessThan">
      <formula>7.9</formula>
    </cfRule>
    <cfRule type="cellIs" dxfId="860" priority="69" operator="equal">
      <formula>"f"</formula>
    </cfRule>
  </conditionalFormatting>
  <conditionalFormatting sqref="W25">
    <cfRule type="cellIs" dxfId="859" priority="70" operator="lessThan">
      <formula>7.9</formula>
    </cfRule>
    <cfRule type="cellIs" dxfId="858" priority="71" operator="lessThan">
      <formula>7.4</formula>
    </cfRule>
  </conditionalFormatting>
  <conditionalFormatting sqref="AA25:AA46">
    <cfRule type="cellIs" dxfId="857" priority="54" operator="equal">
      <formula>"f"</formula>
    </cfRule>
  </conditionalFormatting>
  <conditionalFormatting sqref="AA25:AA46">
    <cfRule type="cellIs" dxfId="856" priority="55" operator="lessThan">
      <formula>7.9</formula>
    </cfRule>
    <cfRule type="cellIs" dxfId="855" priority="56" operator="lessThan">
      <formula>7.4</formula>
    </cfRule>
  </conditionalFormatting>
  <conditionalFormatting sqref="AA41">
    <cfRule type="cellIs" dxfId="854" priority="62" operator="lessThan">
      <formula>7.4</formula>
    </cfRule>
    <cfRule type="cellIs" dxfId="853" priority="63" operator="lessThan">
      <formula>7.9</formula>
    </cfRule>
  </conditionalFormatting>
  <conditionalFormatting sqref="AA26:AA40 AA42:AA46">
    <cfRule type="cellIs" dxfId="852" priority="57" operator="lessThan">
      <formula>7.4</formula>
    </cfRule>
    <cfRule type="cellIs" dxfId="851" priority="58" operator="lessThan">
      <formula>7.9</formula>
    </cfRule>
    <cfRule type="cellIs" dxfId="850" priority="59" operator="equal">
      <formula>"f"</formula>
    </cfRule>
  </conditionalFormatting>
  <conditionalFormatting sqref="AA25">
    <cfRule type="cellIs" dxfId="849" priority="60" operator="lessThan">
      <formula>7.9</formula>
    </cfRule>
    <cfRule type="cellIs" dxfId="848" priority="61" operator="lessThan">
      <formula>7.4</formula>
    </cfRule>
  </conditionalFormatting>
  <conditionalFormatting sqref="AE25:AE46">
    <cfRule type="cellIs" dxfId="847" priority="49" operator="equal">
      <formula>"f"</formula>
    </cfRule>
  </conditionalFormatting>
  <conditionalFormatting sqref="AE25:AE46">
    <cfRule type="cellIs" dxfId="846" priority="50" operator="lessThan">
      <formula>7.9</formula>
    </cfRule>
    <cfRule type="cellIs" dxfId="845" priority="51" operator="lessThan">
      <formula>7.4</formula>
    </cfRule>
  </conditionalFormatting>
  <conditionalFormatting sqref="AE25">
    <cfRule type="cellIs" dxfId="844" priority="52" operator="lessThan">
      <formula>7.9</formula>
    </cfRule>
    <cfRule type="cellIs" dxfId="843" priority="53" operator="lessThan">
      <formula>7.4</formula>
    </cfRule>
  </conditionalFormatting>
  <conditionalFormatting sqref="AI25:AI46">
    <cfRule type="cellIs" dxfId="842" priority="39" operator="equal">
      <formula>"f"</formula>
    </cfRule>
  </conditionalFormatting>
  <conditionalFormatting sqref="AI25:AI46">
    <cfRule type="cellIs" dxfId="841" priority="40" operator="lessThan">
      <formula>7.9</formula>
    </cfRule>
    <cfRule type="cellIs" dxfId="840" priority="41" operator="lessThan">
      <formula>7.4</formula>
    </cfRule>
  </conditionalFormatting>
  <conditionalFormatting sqref="AI25">
    <cfRule type="cellIs" dxfId="839" priority="45" operator="lessThan">
      <formula>7.9</formula>
    </cfRule>
    <cfRule type="cellIs" dxfId="838" priority="46" operator="lessThan">
      <formula>7.4</formula>
    </cfRule>
  </conditionalFormatting>
  <conditionalFormatting sqref="AI26:AI40 AI42:AI46">
    <cfRule type="cellIs" dxfId="837" priority="42" operator="lessThan">
      <formula>7.9</formula>
    </cfRule>
    <cfRule type="cellIs" dxfId="836" priority="43" operator="lessThan">
      <formula>7.4</formula>
    </cfRule>
    <cfRule type="cellIs" dxfId="835" priority="44" operator="equal">
      <formula>"f"</formula>
    </cfRule>
  </conditionalFormatting>
  <conditionalFormatting sqref="AI41">
    <cfRule type="cellIs" dxfId="834" priority="47" operator="lessThan">
      <formula>7.9</formula>
    </cfRule>
    <cfRule type="cellIs" dxfId="833" priority="48" operator="lessThan">
      <formula>7.4</formula>
    </cfRule>
  </conditionalFormatting>
  <conditionalFormatting sqref="AM25:AM46">
    <cfRule type="cellIs" dxfId="832" priority="29" operator="equal">
      <formula>"f"</formula>
    </cfRule>
  </conditionalFormatting>
  <conditionalFormatting sqref="AM25:AM46">
    <cfRule type="cellIs" dxfId="831" priority="30" operator="lessThan">
      <formula>7.9</formula>
    </cfRule>
    <cfRule type="cellIs" dxfId="830" priority="31" operator="lessThan">
      <formula>7.4</formula>
    </cfRule>
  </conditionalFormatting>
  <conditionalFormatting sqref="AM25">
    <cfRule type="cellIs" dxfId="829" priority="35" operator="lessThan">
      <formula>7.9</formula>
    </cfRule>
    <cfRule type="cellIs" dxfId="828" priority="36" operator="lessThan">
      <formula>7.4</formula>
    </cfRule>
  </conditionalFormatting>
  <conditionalFormatting sqref="AM26:AM40 AM42:AM46">
    <cfRule type="cellIs" dxfId="827" priority="32" operator="lessThan">
      <formula>7.9</formula>
    </cfRule>
    <cfRule type="cellIs" dxfId="826" priority="33" operator="lessThan">
      <formula>7.4</formula>
    </cfRule>
    <cfRule type="cellIs" dxfId="825" priority="34" operator="equal">
      <formula>"f"</formula>
    </cfRule>
  </conditionalFormatting>
  <conditionalFormatting sqref="AM41">
    <cfRule type="cellIs" dxfId="824" priority="37" operator="lessThan">
      <formula>7.9</formula>
    </cfRule>
    <cfRule type="cellIs" dxfId="823" priority="38" operator="lessThan">
      <formula>7.4</formula>
    </cfRule>
  </conditionalFormatting>
  <conditionalFormatting sqref="AQ25:AQ46">
    <cfRule type="cellIs" dxfId="822" priority="19" operator="equal">
      <formula>"f"</formula>
    </cfRule>
  </conditionalFormatting>
  <conditionalFormatting sqref="AQ25:AQ46">
    <cfRule type="cellIs" dxfId="821" priority="20" operator="lessThan">
      <formula>7.9</formula>
    </cfRule>
    <cfRule type="cellIs" dxfId="820" priority="21" operator="lessThan">
      <formula>7.4</formula>
    </cfRule>
  </conditionalFormatting>
  <conditionalFormatting sqref="AQ25">
    <cfRule type="cellIs" dxfId="819" priority="23" operator="lessThan">
      <formula>7.9</formula>
    </cfRule>
    <cfRule type="cellIs" dxfId="818" priority="24" operator="lessThan">
      <formula>7.4</formula>
    </cfRule>
  </conditionalFormatting>
  <conditionalFormatting sqref="AQ41">
    <cfRule type="cellIs" dxfId="817" priority="25" operator="lessThan">
      <formula>7.9</formula>
    </cfRule>
    <cfRule type="cellIs" dxfId="816" priority="26" operator="lessThan">
      <formula>7.4</formula>
    </cfRule>
  </conditionalFormatting>
  <conditionalFormatting sqref="AQ29">
    <cfRule type="cellIs" dxfId="815" priority="22" operator="lessThan">
      <formula>6.9</formula>
    </cfRule>
  </conditionalFormatting>
  <conditionalFormatting sqref="AQ41">
    <cfRule type="cellIs" dxfId="814" priority="27" operator="lessThan">
      <formula>6.9</formula>
    </cfRule>
    <cfRule type="cellIs" dxfId="813" priority="28" operator="lessThan">
      <formula>7.4</formula>
    </cfRule>
  </conditionalFormatting>
  <conditionalFormatting sqref="AU25:AU46">
    <cfRule type="cellIs" dxfId="812" priority="10" operator="equal">
      <formula>"f"</formula>
    </cfRule>
  </conditionalFormatting>
  <conditionalFormatting sqref="AU25:AU46">
    <cfRule type="cellIs" dxfId="811" priority="11" operator="lessThan">
      <formula>7.9</formula>
    </cfRule>
    <cfRule type="cellIs" dxfId="810" priority="12" operator="lessThan">
      <formula>7.4</formula>
    </cfRule>
  </conditionalFormatting>
  <conditionalFormatting sqref="AU41">
    <cfRule type="cellIs" dxfId="809" priority="16" operator="lessThan">
      <formula>6.9</formula>
    </cfRule>
    <cfRule type="cellIs" dxfId="808" priority="17" operator="lessThan">
      <formula>7.4</formula>
    </cfRule>
  </conditionalFormatting>
  <conditionalFormatting sqref="AU25:AU40 AU42:AU46">
    <cfRule type="cellIs" dxfId="807" priority="13" operator="lessThan">
      <formula>6.9</formula>
    </cfRule>
    <cfRule type="cellIs" dxfId="806" priority="14" operator="lessThan">
      <formula>7.4</formula>
    </cfRule>
    <cfRule type="cellIs" dxfId="805" priority="15" operator="lessThan">
      <formula>7.9</formula>
    </cfRule>
  </conditionalFormatting>
  <conditionalFormatting sqref="AU41">
    <cfRule type="cellIs" dxfId="804" priority="18" operator="lessThan">
      <formula>7.9</formula>
    </cfRule>
  </conditionalFormatting>
  <conditionalFormatting sqref="AY25:AY46">
    <cfRule type="cellIs" dxfId="803" priority="7" operator="equal">
      <formula>"f"</formula>
    </cfRule>
  </conditionalFormatting>
  <conditionalFormatting sqref="AY25:AY46">
    <cfRule type="cellIs" dxfId="802" priority="8" operator="lessThan">
      <formula>7.9</formula>
    </cfRule>
    <cfRule type="cellIs" dxfId="801" priority="9" operator="lessThan">
      <formula>7.4</formula>
    </cfRule>
  </conditionalFormatting>
  <conditionalFormatting sqref="BC25:BC46">
    <cfRule type="cellIs" dxfId="800" priority="4" operator="equal">
      <formula>"f"</formula>
    </cfRule>
  </conditionalFormatting>
  <conditionalFormatting sqref="BC25:BC46">
    <cfRule type="cellIs" dxfId="799" priority="5" operator="lessThan">
      <formula>7.9</formula>
    </cfRule>
    <cfRule type="cellIs" dxfId="798" priority="6" operator="lessThan">
      <formula>7.4</formula>
    </cfRule>
  </conditionalFormatting>
  <conditionalFormatting sqref="BG25:BG46">
    <cfRule type="cellIs" dxfId="797" priority="1" operator="equal">
      <formula>"f"</formula>
    </cfRule>
  </conditionalFormatting>
  <conditionalFormatting sqref="BG25:BG46">
    <cfRule type="cellIs" dxfId="796" priority="2" operator="lessThan">
      <formula>7.9</formula>
    </cfRule>
    <cfRule type="cellIs" dxfId="795" priority="3" operator="lessThan">
      <formula>7.4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J999"/>
  <sheetViews>
    <sheetView zoomScale="80" zoomScaleNormal="80" workbookViewId="0">
      <selection activeCell="A5" sqref="A5:B5"/>
    </sheetView>
  </sheetViews>
  <sheetFormatPr baseColWidth="10" defaultColWidth="14.42578125" defaultRowHeight="15.75" customHeight="1" x14ac:dyDescent="0.2"/>
  <cols>
    <col min="1" max="1" width="17.140625" bestFit="1" customWidth="1"/>
    <col min="2" max="2" width="58" customWidth="1"/>
    <col min="3" max="3" width="11.140625" bestFit="1" customWidth="1"/>
    <col min="4" max="5" width="11.7109375" bestFit="1" customWidth="1"/>
    <col min="6" max="6" width="7" bestFit="1" customWidth="1"/>
    <col min="7" max="7" width="7.28515625" bestFit="1" customWidth="1"/>
    <col min="8" max="8" width="5.42578125" bestFit="1" customWidth="1"/>
    <col min="9" max="9" width="7" bestFit="1" customWidth="1"/>
    <col min="10" max="10" width="7.28515625" bestFit="1" customWidth="1"/>
    <col min="11" max="11" width="5.42578125" bestFit="1" customWidth="1"/>
    <col min="12" max="12" width="7" bestFit="1" customWidth="1"/>
    <col min="13" max="13" width="7.28515625" bestFit="1" customWidth="1"/>
    <col min="14" max="14" width="5.42578125" bestFit="1" customWidth="1"/>
    <col min="15" max="15" width="7" bestFit="1" customWidth="1"/>
    <col min="16" max="16" width="7.28515625" bestFit="1" customWidth="1"/>
    <col min="17" max="17" width="5.42578125" bestFit="1" customWidth="1"/>
    <col min="18" max="18" width="5" bestFit="1" customWidth="1"/>
    <col min="19" max="19" width="7.28515625" bestFit="1" customWidth="1"/>
    <col min="20" max="20" width="5.42578125" bestFit="1" customWidth="1"/>
    <col min="21" max="21" width="5" bestFit="1" customWidth="1"/>
    <col min="22" max="22" width="7.28515625" bestFit="1" customWidth="1"/>
    <col min="23" max="23" width="5.42578125" bestFit="1" customWidth="1"/>
    <col min="24" max="24" width="5" bestFit="1" customWidth="1"/>
    <col min="25" max="25" width="7.28515625" bestFit="1" customWidth="1"/>
    <col min="26" max="26" width="5.42578125" bestFit="1" customWidth="1"/>
    <col min="27" max="27" width="5" bestFit="1" customWidth="1"/>
    <col min="28" max="28" width="7.28515625" bestFit="1" customWidth="1"/>
    <col min="29" max="29" width="5.42578125" bestFit="1" customWidth="1"/>
    <col min="30" max="30" width="5" bestFit="1" customWidth="1"/>
    <col min="31" max="31" width="7.28515625" bestFit="1" customWidth="1"/>
    <col min="32" max="32" width="5.42578125" bestFit="1" customWidth="1"/>
    <col min="33" max="33" width="5.140625" bestFit="1" customWidth="1"/>
    <col min="34" max="34" width="8.85546875" bestFit="1" customWidth="1"/>
    <col min="35" max="35" width="5.42578125" bestFit="1" customWidth="1"/>
    <col min="36" max="36" width="17.42578125" bestFit="1" customWidth="1"/>
  </cols>
  <sheetData>
    <row r="1" spans="1:36" ht="60" x14ac:dyDescent="0.8">
      <c r="A1" s="76"/>
      <c r="B1" s="65"/>
      <c r="C1" s="47"/>
      <c r="D1" s="47"/>
      <c r="E1" s="47"/>
      <c r="F1" s="194" t="s">
        <v>542</v>
      </c>
      <c r="G1" s="195"/>
      <c r="H1" s="196"/>
      <c r="I1" s="194" t="s">
        <v>869</v>
      </c>
      <c r="J1" s="195"/>
      <c r="K1" s="196"/>
      <c r="L1" s="197" t="s">
        <v>543</v>
      </c>
      <c r="M1" s="198"/>
      <c r="N1" s="199"/>
      <c r="O1" s="194" t="s">
        <v>871</v>
      </c>
      <c r="P1" s="195"/>
      <c r="Q1" s="196"/>
      <c r="R1" s="194" t="s">
        <v>544</v>
      </c>
      <c r="S1" s="195"/>
      <c r="T1" s="196"/>
      <c r="U1" s="194" t="s">
        <v>0</v>
      </c>
      <c r="V1" s="195"/>
      <c r="W1" s="196"/>
      <c r="X1" s="194" t="s">
        <v>872</v>
      </c>
      <c r="Y1" s="195"/>
      <c r="Z1" s="196"/>
      <c r="AA1" s="194" t="s">
        <v>873</v>
      </c>
      <c r="AB1" s="195"/>
      <c r="AC1" s="196"/>
      <c r="AD1" s="194" t="s">
        <v>874</v>
      </c>
      <c r="AE1" s="195"/>
      <c r="AF1" s="196"/>
      <c r="AG1" s="194" t="s">
        <v>870</v>
      </c>
      <c r="AH1" s="195"/>
      <c r="AI1" s="196"/>
      <c r="AJ1" s="71" t="s">
        <v>2</v>
      </c>
    </row>
    <row r="2" spans="1:36" ht="26.25" customHeight="1" x14ac:dyDescent="0.2">
      <c r="A2" s="82" t="s">
        <v>875</v>
      </c>
      <c r="B2" s="83" t="s">
        <v>876</v>
      </c>
      <c r="C2" s="75" t="s">
        <v>877</v>
      </c>
      <c r="D2" s="75" t="s">
        <v>878</v>
      </c>
      <c r="E2" s="75" t="s">
        <v>879</v>
      </c>
      <c r="F2" s="75" t="s">
        <v>774</v>
      </c>
      <c r="G2" s="75" t="s">
        <v>775</v>
      </c>
      <c r="H2" s="68" t="s">
        <v>11</v>
      </c>
      <c r="I2" s="75" t="s">
        <v>774</v>
      </c>
      <c r="J2" s="75" t="s">
        <v>775</v>
      </c>
      <c r="K2" s="68" t="s">
        <v>11</v>
      </c>
      <c r="L2" s="75" t="s">
        <v>774</v>
      </c>
      <c r="M2" s="75" t="s">
        <v>775</v>
      </c>
      <c r="N2" s="68" t="s">
        <v>11</v>
      </c>
      <c r="O2" s="75" t="s">
        <v>774</v>
      </c>
      <c r="P2" s="75" t="s">
        <v>775</v>
      </c>
      <c r="Q2" s="68" t="s">
        <v>11</v>
      </c>
      <c r="R2" s="75" t="s">
        <v>774</v>
      </c>
      <c r="S2" s="75" t="s">
        <v>775</v>
      </c>
      <c r="T2" s="68" t="s">
        <v>11</v>
      </c>
      <c r="U2" s="75" t="s">
        <v>774</v>
      </c>
      <c r="V2" s="75" t="s">
        <v>775</v>
      </c>
      <c r="W2" s="68" t="s">
        <v>11</v>
      </c>
      <c r="X2" s="75" t="s">
        <v>774</v>
      </c>
      <c r="Y2" s="75" t="s">
        <v>775</v>
      </c>
      <c r="Z2" s="68" t="s">
        <v>11</v>
      </c>
      <c r="AA2" s="75" t="s">
        <v>774</v>
      </c>
      <c r="AB2" s="75" t="s">
        <v>775</v>
      </c>
      <c r="AC2" s="68" t="s">
        <v>11</v>
      </c>
      <c r="AD2" s="75" t="s">
        <v>774</v>
      </c>
      <c r="AE2" s="75" t="s">
        <v>775</v>
      </c>
      <c r="AF2" s="68" t="s">
        <v>11</v>
      </c>
      <c r="AG2" s="75" t="s">
        <v>774</v>
      </c>
      <c r="AH2" s="75" t="s">
        <v>775</v>
      </c>
      <c r="AI2" s="68" t="s">
        <v>11</v>
      </c>
      <c r="AJ2" s="71" t="s">
        <v>12</v>
      </c>
    </row>
    <row r="3" spans="1:36" ht="19.5" customHeight="1" x14ac:dyDescent="0.25">
      <c r="A3" s="66" t="s">
        <v>802</v>
      </c>
      <c r="B3" s="50" t="s">
        <v>803</v>
      </c>
      <c r="C3" s="24" t="s">
        <v>15</v>
      </c>
      <c r="D3" s="50">
        <v>201</v>
      </c>
      <c r="E3" s="50"/>
      <c r="F3" s="32">
        <v>6</v>
      </c>
      <c r="G3" s="30">
        <v>8</v>
      </c>
      <c r="H3" s="84">
        <f>AVERAGE(F3:G3)</f>
        <v>7</v>
      </c>
      <c r="I3" s="14">
        <v>2</v>
      </c>
      <c r="J3" s="35">
        <v>9</v>
      </c>
      <c r="K3" s="84">
        <f>AVERAGE(I3:J3)</f>
        <v>5.5</v>
      </c>
      <c r="L3" s="14">
        <v>9</v>
      </c>
      <c r="M3" s="28">
        <v>10</v>
      </c>
      <c r="N3" s="84">
        <f>AVERAGE(L3:M3)</f>
        <v>9.5</v>
      </c>
      <c r="O3" s="32">
        <v>9</v>
      </c>
      <c r="P3" s="28">
        <v>8</v>
      </c>
      <c r="Q3" s="84">
        <f>AVERAGE(O3:P3)</f>
        <v>8.5</v>
      </c>
      <c r="R3" s="33">
        <v>10</v>
      </c>
      <c r="S3" s="28">
        <v>10</v>
      </c>
      <c r="T3" s="84">
        <f>AVERAGE(R3:S3)</f>
        <v>10</v>
      </c>
      <c r="U3" s="33">
        <v>10</v>
      </c>
      <c r="V3" s="28">
        <v>10</v>
      </c>
      <c r="W3" s="84">
        <f>AVERAGE(U3:V3)</f>
        <v>10</v>
      </c>
      <c r="X3" s="14">
        <v>8</v>
      </c>
      <c r="Y3" s="28">
        <v>8</v>
      </c>
      <c r="Z3" s="84">
        <f>AVERAGE(X3:Y3)</f>
        <v>8</v>
      </c>
      <c r="AA3" s="14">
        <v>10</v>
      </c>
      <c r="AB3" s="28">
        <v>10</v>
      </c>
      <c r="AC3" s="84">
        <f>AVERAGE(AA3:AB3)</f>
        <v>10</v>
      </c>
      <c r="AD3" s="14">
        <v>8</v>
      </c>
      <c r="AE3" s="28">
        <v>10</v>
      </c>
      <c r="AF3" s="84">
        <f>AVERAGE(AD3:AE3)</f>
        <v>9</v>
      </c>
      <c r="AG3" s="14">
        <v>10</v>
      </c>
      <c r="AH3" s="34">
        <v>10</v>
      </c>
      <c r="AI3" s="84">
        <f>AVERAGE(AG3:AH3)</f>
        <v>10</v>
      </c>
      <c r="AJ3" s="64">
        <f>AVERAGE(H3,K3,N3,Q3,T3,W3,Z3,AC3,AF3,AI3)</f>
        <v>8.75</v>
      </c>
    </row>
    <row r="4" spans="1:36" ht="19.5" customHeight="1" x14ac:dyDescent="0.25">
      <c r="A4" s="66" t="s">
        <v>788</v>
      </c>
      <c r="B4" s="50" t="s">
        <v>789</v>
      </c>
      <c r="C4" s="24" t="s">
        <v>15</v>
      </c>
      <c r="D4" s="50">
        <v>201</v>
      </c>
      <c r="E4" s="51"/>
      <c r="F4" s="14">
        <v>5</v>
      </c>
      <c r="G4" s="30">
        <v>8</v>
      </c>
      <c r="H4" s="84">
        <f t="shared" ref="H4:H19" si="0">AVERAGE(F4:G4)</f>
        <v>6.5</v>
      </c>
      <c r="I4" s="32">
        <v>10</v>
      </c>
      <c r="J4" s="35">
        <v>9</v>
      </c>
      <c r="K4" s="84">
        <f t="shared" ref="K4:K19" si="1">AVERAGE(I4:J4)</f>
        <v>9.5</v>
      </c>
      <c r="L4" s="14">
        <v>10</v>
      </c>
      <c r="M4" s="28">
        <v>10</v>
      </c>
      <c r="N4" s="84">
        <f t="shared" ref="N4:N19" si="2">AVERAGE(L4:M4)</f>
        <v>10</v>
      </c>
      <c r="O4" s="19">
        <v>10</v>
      </c>
      <c r="P4" s="28">
        <v>8</v>
      </c>
      <c r="Q4" s="84">
        <f t="shared" ref="Q4:Q19" si="3">AVERAGE(O4:P4)</f>
        <v>9</v>
      </c>
      <c r="R4" s="33">
        <v>10</v>
      </c>
      <c r="S4" s="28">
        <v>10</v>
      </c>
      <c r="T4" s="84">
        <f t="shared" ref="T4:T19" si="4">AVERAGE(R4:S4)</f>
        <v>10</v>
      </c>
      <c r="U4" s="33">
        <v>10</v>
      </c>
      <c r="V4" s="28">
        <v>10</v>
      </c>
      <c r="W4" s="84">
        <f t="shared" ref="W4:W19" si="5">AVERAGE(U4:V4)</f>
        <v>10</v>
      </c>
      <c r="X4" s="14">
        <v>10</v>
      </c>
      <c r="Y4" s="28">
        <v>10</v>
      </c>
      <c r="Z4" s="84">
        <f t="shared" ref="Z4:Z19" si="6">AVERAGE(X4:Y4)</f>
        <v>10</v>
      </c>
      <c r="AA4" s="14">
        <v>10</v>
      </c>
      <c r="AB4" s="28">
        <v>10</v>
      </c>
      <c r="AC4" s="84">
        <f t="shared" ref="AC4:AC19" si="7">AVERAGE(AA4:AB4)</f>
        <v>10</v>
      </c>
      <c r="AD4" s="14">
        <v>10</v>
      </c>
      <c r="AE4" s="28">
        <v>10</v>
      </c>
      <c r="AF4" s="84">
        <f t="shared" ref="AF4:AF19" si="8">AVERAGE(AD4:AE4)</f>
        <v>10</v>
      </c>
      <c r="AG4" s="14">
        <v>8</v>
      </c>
      <c r="AH4" s="34">
        <v>9</v>
      </c>
      <c r="AI4" s="84">
        <f t="shared" ref="AI4:AI19" si="9">AVERAGE(AG4:AH4)</f>
        <v>8.5</v>
      </c>
      <c r="AJ4" s="64">
        <f t="shared" ref="AJ4:AJ19" si="10">AVERAGE(H4,K4,N4,Q4,T4,W4,Z4,AC4,AF4,AI4)</f>
        <v>9.35</v>
      </c>
    </row>
    <row r="5" spans="1:36" ht="19.5" customHeight="1" x14ac:dyDescent="0.25">
      <c r="A5" s="228" t="s">
        <v>897</v>
      </c>
      <c r="B5" s="229" t="s">
        <v>898</v>
      </c>
      <c r="C5" s="24" t="s">
        <v>15</v>
      </c>
      <c r="D5" s="50">
        <v>201</v>
      </c>
      <c r="E5" s="50"/>
      <c r="F5" s="14">
        <v>7.5</v>
      </c>
      <c r="G5" s="29">
        <v>7</v>
      </c>
      <c r="H5" s="84">
        <f t="shared" si="0"/>
        <v>7.25</v>
      </c>
      <c r="I5" s="14">
        <v>7.5</v>
      </c>
      <c r="J5" s="36">
        <v>7.5</v>
      </c>
      <c r="K5" s="84">
        <f t="shared" si="1"/>
        <v>7.5</v>
      </c>
      <c r="L5" s="14">
        <v>10</v>
      </c>
      <c r="M5" s="28">
        <v>9</v>
      </c>
      <c r="N5" s="84">
        <f t="shared" si="2"/>
        <v>9.5</v>
      </c>
      <c r="O5" s="14">
        <v>10</v>
      </c>
      <c r="P5" s="28">
        <v>8</v>
      </c>
      <c r="Q5" s="84">
        <f t="shared" si="3"/>
        <v>9</v>
      </c>
      <c r="R5" s="33">
        <v>10</v>
      </c>
      <c r="S5" s="28">
        <v>10</v>
      </c>
      <c r="T5" s="84">
        <f t="shared" si="4"/>
        <v>10</v>
      </c>
      <c r="U5" s="33">
        <v>10</v>
      </c>
      <c r="V5" s="28">
        <v>10</v>
      </c>
      <c r="W5" s="84">
        <f t="shared" si="5"/>
        <v>10</v>
      </c>
      <c r="X5" s="14">
        <v>8</v>
      </c>
      <c r="Y5" s="28">
        <v>8</v>
      </c>
      <c r="Z5" s="84">
        <f t="shared" si="6"/>
        <v>8</v>
      </c>
      <c r="AA5" s="14">
        <v>7</v>
      </c>
      <c r="AB5" s="29">
        <v>7.5</v>
      </c>
      <c r="AC5" s="84">
        <f t="shared" si="7"/>
        <v>7.25</v>
      </c>
      <c r="AD5" s="14">
        <v>8</v>
      </c>
      <c r="AE5" s="28">
        <v>10</v>
      </c>
      <c r="AF5" s="84">
        <f t="shared" si="8"/>
        <v>9</v>
      </c>
      <c r="AG5" s="14">
        <v>7.5</v>
      </c>
      <c r="AH5" s="28">
        <v>9</v>
      </c>
      <c r="AI5" s="84">
        <f t="shared" si="9"/>
        <v>8.25</v>
      </c>
      <c r="AJ5" s="64">
        <f t="shared" si="10"/>
        <v>8.5749999999999993</v>
      </c>
    </row>
    <row r="6" spans="1:36" ht="19.5" customHeight="1" x14ac:dyDescent="0.25">
      <c r="A6" s="66" t="s">
        <v>776</v>
      </c>
      <c r="B6" s="50" t="s">
        <v>777</v>
      </c>
      <c r="C6" s="24" t="s">
        <v>15</v>
      </c>
      <c r="D6" s="50">
        <v>201</v>
      </c>
      <c r="E6" s="50"/>
      <c r="F6" s="14">
        <v>9</v>
      </c>
      <c r="G6" s="28">
        <v>9</v>
      </c>
      <c r="H6" s="84">
        <f t="shared" si="0"/>
        <v>9</v>
      </c>
      <c r="I6" s="14">
        <v>9</v>
      </c>
      <c r="J6" s="35">
        <v>9</v>
      </c>
      <c r="K6" s="84">
        <f t="shared" si="1"/>
        <v>9</v>
      </c>
      <c r="L6" s="14">
        <v>10</v>
      </c>
      <c r="M6" s="28">
        <v>10</v>
      </c>
      <c r="N6" s="84">
        <f t="shared" si="2"/>
        <v>10</v>
      </c>
      <c r="O6" s="14">
        <v>8</v>
      </c>
      <c r="P6" s="28">
        <v>8</v>
      </c>
      <c r="Q6" s="84">
        <f t="shared" si="3"/>
        <v>8</v>
      </c>
      <c r="R6" s="33">
        <v>10</v>
      </c>
      <c r="S6" s="28">
        <v>10</v>
      </c>
      <c r="T6" s="84">
        <f t="shared" si="4"/>
        <v>10</v>
      </c>
      <c r="U6" s="33">
        <v>10</v>
      </c>
      <c r="V6" s="28">
        <v>10</v>
      </c>
      <c r="W6" s="84">
        <f t="shared" si="5"/>
        <v>10</v>
      </c>
      <c r="X6" s="14">
        <v>10</v>
      </c>
      <c r="Y6" s="28">
        <v>10</v>
      </c>
      <c r="Z6" s="84">
        <f t="shared" si="6"/>
        <v>10</v>
      </c>
      <c r="AA6" s="14">
        <v>10</v>
      </c>
      <c r="AB6" s="28">
        <v>10</v>
      </c>
      <c r="AC6" s="84">
        <f t="shared" si="7"/>
        <v>10</v>
      </c>
      <c r="AD6" s="14">
        <v>10</v>
      </c>
      <c r="AE6" s="28">
        <v>10</v>
      </c>
      <c r="AF6" s="84">
        <f t="shared" si="8"/>
        <v>10</v>
      </c>
      <c r="AG6" s="14">
        <v>10</v>
      </c>
      <c r="AH6" s="34">
        <v>10</v>
      </c>
      <c r="AI6" s="84">
        <f t="shared" si="9"/>
        <v>10</v>
      </c>
      <c r="AJ6" s="64">
        <f t="shared" si="10"/>
        <v>9.6</v>
      </c>
    </row>
    <row r="7" spans="1:36" ht="19.5" customHeight="1" x14ac:dyDescent="0.25">
      <c r="A7" s="66" t="s">
        <v>794</v>
      </c>
      <c r="B7" s="50" t="s">
        <v>795</v>
      </c>
      <c r="C7" s="24" t="s">
        <v>15</v>
      </c>
      <c r="D7" s="50">
        <v>201</v>
      </c>
      <c r="E7" s="51"/>
      <c r="F7" s="14">
        <v>8</v>
      </c>
      <c r="G7" s="28">
        <v>9</v>
      </c>
      <c r="H7" s="84">
        <f t="shared" si="0"/>
        <v>8.5</v>
      </c>
      <c r="I7" s="14">
        <v>10</v>
      </c>
      <c r="J7" s="35">
        <v>9</v>
      </c>
      <c r="K7" s="84">
        <f t="shared" si="1"/>
        <v>9.5</v>
      </c>
      <c r="L7" s="14">
        <v>10</v>
      </c>
      <c r="M7" s="28">
        <v>10</v>
      </c>
      <c r="N7" s="84">
        <f t="shared" si="2"/>
        <v>10</v>
      </c>
      <c r="O7" s="19">
        <v>10</v>
      </c>
      <c r="P7" s="28">
        <v>8</v>
      </c>
      <c r="Q7" s="84">
        <f t="shared" si="3"/>
        <v>9</v>
      </c>
      <c r="R7" s="33">
        <v>10</v>
      </c>
      <c r="S7" s="28">
        <v>10</v>
      </c>
      <c r="T7" s="84">
        <f t="shared" si="4"/>
        <v>10</v>
      </c>
      <c r="U7" s="33">
        <v>10</v>
      </c>
      <c r="V7" s="28">
        <v>10</v>
      </c>
      <c r="W7" s="84">
        <f t="shared" si="5"/>
        <v>10</v>
      </c>
      <c r="X7" s="14">
        <v>10</v>
      </c>
      <c r="Y7" s="28">
        <v>10</v>
      </c>
      <c r="Z7" s="84">
        <f t="shared" si="6"/>
        <v>10</v>
      </c>
      <c r="AA7" s="14">
        <v>10</v>
      </c>
      <c r="AB7" s="28">
        <v>10</v>
      </c>
      <c r="AC7" s="84">
        <f t="shared" si="7"/>
        <v>10</v>
      </c>
      <c r="AD7" s="14">
        <v>10</v>
      </c>
      <c r="AE7" s="28">
        <v>10</v>
      </c>
      <c r="AF7" s="84">
        <f t="shared" si="8"/>
        <v>10</v>
      </c>
      <c r="AG7" s="14">
        <v>10</v>
      </c>
      <c r="AH7" s="34">
        <v>10</v>
      </c>
      <c r="AI7" s="84">
        <f t="shared" si="9"/>
        <v>10</v>
      </c>
      <c r="AJ7" s="64">
        <f t="shared" si="10"/>
        <v>9.6999999999999993</v>
      </c>
    </row>
    <row r="8" spans="1:36" ht="19.5" customHeight="1" x14ac:dyDescent="0.25">
      <c r="A8" s="66" t="s">
        <v>784</v>
      </c>
      <c r="B8" s="50" t="s">
        <v>785</v>
      </c>
      <c r="C8" s="24" t="s">
        <v>15</v>
      </c>
      <c r="D8" s="50">
        <v>201</v>
      </c>
      <c r="E8" s="51"/>
      <c r="F8" s="14">
        <v>10</v>
      </c>
      <c r="G8" s="28">
        <v>10</v>
      </c>
      <c r="H8" s="84">
        <f t="shared" si="0"/>
        <v>10</v>
      </c>
      <c r="I8" s="19">
        <v>10</v>
      </c>
      <c r="J8" s="35">
        <v>10</v>
      </c>
      <c r="K8" s="84">
        <f t="shared" si="1"/>
        <v>10</v>
      </c>
      <c r="L8" s="14">
        <v>10</v>
      </c>
      <c r="M8" s="28">
        <v>10</v>
      </c>
      <c r="N8" s="84">
        <f t="shared" si="2"/>
        <v>10</v>
      </c>
      <c r="O8" s="14">
        <v>10</v>
      </c>
      <c r="P8" s="28">
        <v>8</v>
      </c>
      <c r="Q8" s="84">
        <f t="shared" si="3"/>
        <v>9</v>
      </c>
      <c r="R8" s="33">
        <v>10</v>
      </c>
      <c r="S8" s="28">
        <v>10</v>
      </c>
      <c r="T8" s="84">
        <f t="shared" si="4"/>
        <v>10</v>
      </c>
      <c r="U8" s="33">
        <v>10</v>
      </c>
      <c r="V8" s="28">
        <v>10</v>
      </c>
      <c r="W8" s="84">
        <f t="shared" si="5"/>
        <v>10</v>
      </c>
      <c r="X8" s="14">
        <v>9</v>
      </c>
      <c r="Y8" s="28">
        <v>9</v>
      </c>
      <c r="Z8" s="84">
        <f t="shared" si="6"/>
        <v>9</v>
      </c>
      <c r="AA8" s="14">
        <v>10</v>
      </c>
      <c r="AB8" s="28">
        <v>10</v>
      </c>
      <c r="AC8" s="84">
        <f t="shared" si="7"/>
        <v>10</v>
      </c>
      <c r="AD8" s="14">
        <v>10</v>
      </c>
      <c r="AE8" s="28">
        <v>10</v>
      </c>
      <c r="AF8" s="84">
        <f t="shared" si="8"/>
        <v>10</v>
      </c>
      <c r="AG8" s="14">
        <v>10</v>
      </c>
      <c r="AH8" s="34">
        <v>10</v>
      </c>
      <c r="AI8" s="84">
        <f t="shared" si="9"/>
        <v>10</v>
      </c>
      <c r="AJ8" s="64">
        <f t="shared" si="10"/>
        <v>9.8000000000000007</v>
      </c>
    </row>
    <row r="9" spans="1:36" ht="19.5" customHeight="1" x14ac:dyDescent="0.25">
      <c r="A9" s="66" t="s">
        <v>782</v>
      </c>
      <c r="B9" s="50" t="s">
        <v>783</v>
      </c>
      <c r="C9" s="24" t="s">
        <v>15</v>
      </c>
      <c r="D9" s="50">
        <v>201</v>
      </c>
      <c r="E9" s="51"/>
      <c r="F9" s="14">
        <v>10</v>
      </c>
      <c r="G9" s="28">
        <v>10</v>
      </c>
      <c r="H9" s="84">
        <v>10</v>
      </c>
      <c r="I9" s="14">
        <v>10</v>
      </c>
      <c r="J9" s="35">
        <v>10</v>
      </c>
      <c r="K9" s="84">
        <f t="shared" si="1"/>
        <v>10</v>
      </c>
      <c r="L9" s="14">
        <v>10</v>
      </c>
      <c r="M9" s="28">
        <v>10</v>
      </c>
      <c r="N9" s="84">
        <f t="shared" si="2"/>
        <v>10</v>
      </c>
      <c r="O9" s="19">
        <v>10</v>
      </c>
      <c r="P9" s="28">
        <v>10</v>
      </c>
      <c r="Q9" s="84">
        <f t="shared" si="3"/>
        <v>10</v>
      </c>
      <c r="R9" s="33">
        <v>10</v>
      </c>
      <c r="S9" s="28">
        <v>10</v>
      </c>
      <c r="T9" s="84">
        <f t="shared" si="4"/>
        <v>10</v>
      </c>
      <c r="U9" s="33">
        <v>10</v>
      </c>
      <c r="V9" s="28">
        <v>10</v>
      </c>
      <c r="W9" s="84">
        <f t="shared" si="5"/>
        <v>10</v>
      </c>
      <c r="X9" s="14">
        <v>9</v>
      </c>
      <c r="Y9" s="28">
        <v>9</v>
      </c>
      <c r="Z9" s="84">
        <v>9</v>
      </c>
      <c r="AA9" s="14">
        <v>10</v>
      </c>
      <c r="AB9" s="28">
        <v>10</v>
      </c>
      <c r="AC9" s="84">
        <v>10</v>
      </c>
      <c r="AD9" s="14">
        <v>9</v>
      </c>
      <c r="AE9" s="28">
        <v>10</v>
      </c>
      <c r="AF9" s="84">
        <f t="shared" si="8"/>
        <v>9.5</v>
      </c>
      <c r="AG9" s="14">
        <v>9.5</v>
      </c>
      <c r="AH9" s="34">
        <v>10</v>
      </c>
      <c r="AI9" s="84">
        <f t="shared" si="9"/>
        <v>9.75</v>
      </c>
      <c r="AJ9" s="64">
        <f t="shared" si="10"/>
        <v>9.8249999999999993</v>
      </c>
    </row>
    <row r="10" spans="1:36" ht="19.5" customHeight="1" x14ac:dyDescent="0.25">
      <c r="A10" s="66" t="s">
        <v>800</v>
      </c>
      <c r="B10" s="50" t="s">
        <v>801</v>
      </c>
      <c r="C10" s="24" t="s">
        <v>15</v>
      </c>
      <c r="D10" s="50">
        <v>201</v>
      </c>
      <c r="E10" s="50"/>
      <c r="F10" s="14">
        <v>10</v>
      </c>
      <c r="G10" s="28">
        <v>10</v>
      </c>
      <c r="H10" s="84">
        <f t="shared" si="0"/>
        <v>10</v>
      </c>
      <c r="I10" s="14">
        <v>10</v>
      </c>
      <c r="J10" s="35">
        <v>10</v>
      </c>
      <c r="K10" s="84">
        <f t="shared" si="1"/>
        <v>10</v>
      </c>
      <c r="L10" s="19">
        <v>10</v>
      </c>
      <c r="M10" s="28">
        <v>10</v>
      </c>
      <c r="N10" s="84">
        <f t="shared" si="2"/>
        <v>10</v>
      </c>
      <c r="O10" s="14">
        <v>10</v>
      </c>
      <c r="P10" s="28">
        <v>8</v>
      </c>
      <c r="Q10" s="84">
        <f t="shared" si="3"/>
        <v>9</v>
      </c>
      <c r="R10" s="33">
        <v>10</v>
      </c>
      <c r="S10" s="28">
        <v>10</v>
      </c>
      <c r="T10" s="84">
        <f t="shared" si="4"/>
        <v>10</v>
      </c>
      <c r="U10" s="33">
        <v>10</v>
      </c>
      <c r="V10" s="28">
        <v>10</v>
      </c>
      <c r="W10" s="84">
        <f t="shared" si="5"/>
        <v>10</v>
      </c>
      <c r="X10" s="14">
        <v>9</v>
      </c>
      <c r="Y10" s="28">
        <v>8</v>
      </c>
      <c r="Z10" s="84">
        <f t="shared" si="6"/>
        <v>8.5</v>
      </c>
      <c r="AA10" s="14">
        <v>10</v>
      </c>
      <c r="AB10" s="28">
        <v>10</v>
      </c>
      <c r="AC10" s="84">
        <f t="shared" si="7"/>
        <v>10</v>
      </c>
      <c r="AD10" s="14">
        <v>10</v>
      </c>
      <c r="AE10" s="28">
        <v>10</v>
      </c>
      <c r="AF10" s="84">
        <f t="shared" si="8"/>
        <v>10</v>
      </c>
      <c r="AG10" s="14">
        <v>10</v>
      </c>
      <c r="AH10" s="34">
        <v>10</v>
      </c>
      <c r="AI10" s="84">
        <f t="shared" si="9"/>
        <v>10</v>
      </c>
      <c r="AJ10" s="64">
        <f t="shared" si="10"/>
        <v>9.75</v>
      </c>
    </row>
    <row r="11" spans="1:36" ht="19.5" customHeight="1" x14ac:dyDescent="0.25">
      <c r="A11" s="66" t="s">
        <v>786</v>
      </c>
      <c r="B11" s="50" t="s">
        <v>787</v>
      </c>
      <c r="C11" s="24" t="s">
        <v>15</v>
      </c>
      <c r="D11" s="50">
        <v>201</v>
      </c>
      <c r="E11" s="50"/>
      <c r="F11" s="14">
        <v>10</v>
      </c>
      <c r="G11" s="28">
        <v>10</v>
      </c>
      <c r="H11" s="84">
        <f t="shared" si="0"/>
        <v>10</v>
      </c>
      <c r="I11" s="14">
        <v>10</v>
      </c>
      <c r="J11" s="35">
        <v>10</v>
      </c>
      <c r="K11" s="84">
        <f t="shared" si="1"/>
        <v>10</v>
      </c>
      <c r="L11" s="14">
        <v>10</v>
      </c>
      <c r="M11" s="28">
        <v>10</v>
      </c>
      <c r="N11" s="84">
        <f t="shared" si="2"/>
        <v>10</v>
      </c>
      <c r="O11" s="14">
        <v>10</v>
      </c>
      <c r="P11" s="28">
        <v>10</v>
      </c>
      <c r="Q11" s="84">
        <f t="shared" si="3"/>
        <v>10</v>
      </c>
      <c r="R11" s="33">
        <v>10</v>
      </c>
      <c r="S11" s="28">
        <v>10</v>
      </c>
      <c r="T11" s="84">
        <f t="shared" si="4"/>
        <v>10</v>
      </c>
      <c r="U11" s="33">
        <v>10</v>
      </c>
      <c r="V11" s="28">
        <v>10</v>
      </c>
      <c r="W11" s="84">
        <f t="shared" si="5"/>
        <v>10</v>
      </c>
      <c r="X11" s="14">
        <v>10</v>
      </c>
      <c r="Y11" s="28">
        <v>10</v>
      </c>
      <c r="Z11" s="84">
        <f t="shared" si="6"/>
        <v>10</v>
      </c>
      <c r="AA11" s="14">
        <v>10</v>
      </c>
      <c r="AB11" s="28">
        <v>10</v>
      </c>
      <c r="AC11" s="84">
        <f t="shared" si="7"/>
        <v>10</v>
      </c>
      <c r="AD11" s="14">
        <v>10</v>
      </c>
      <c r="AE11" s="28">
        <v>10</v>
      </c>
      <c r="AF11" s="84">
        <f t="shared" si="8"/>
        <v>10</v>
      </c>
      <c r="AG11" s="14">
        <v>10</v>
      </c>
      <c r="AH11" s="34">
        <v>10</v>
      </c>
      <c r="AI11" s="84">
        <f t="shared" si="9"/>
        <v>10</v>
      </c>
      <c r="AJ11" s="64">
        <f t="shared" si="10"/>
        <v>10</v>
      </c>
    </row>
    <row r="12" spans="1:36" ht="19.5" customHeight="1" x14ac:dyDescent="0.25">
      <c r="A12" s="66" t="s">
        <v>780</v>
      </c>
      <c r="B12" s="50" t="s">
        <v>781</v>
      </c>
      <c r="C12" s="24" t="s">
        <v>15</v>
      </c>
      <c r="D12" s="50">
        <v>201</v>
      </c>
      <c r="E12" s="51"/>
      <c r="F12" s="32">
        <v>10</v>
      </c>
      <c r="G12" s="28">
        <v>9</v>
      </c>
      <c r="H12" s="84">
        <f t="shared" si="0"/>
        <v>9.5</v>
      </c>
      <c r="I12" s="19">
        <v>9</v>
      </c>
      <c r="J12" s="35">
        <v>10</v>
      </c>
      <c r="K12" s="84">
        <f t="shared" si="1"/>
        <v>9.5</v>
      </c>
      <c r="L12" s="14">
        <v>10</v>
      </c>
      <c r="M12" s="28">
        <v>10</v>
      </c>
      <c r="N12" s="84">
        <f t="shared" si="2"/>
        <v>10</v>
      </c>
      <c r="O12" s="32">
        <v>10</v>
      </c>
      <c r="P12" s="28">
        <v>8</v>
      </c>
      <c r="Q12" s="84">
        <f t="shared" si="3"/>
        <v>9</v>
      </c>
      <c r="R12" s="33">
        <v>10</v>
      </c>
      <c r="S12" s="28">
        <v>10</v>
      </c>
      <c r="T12" s="84">
        <f t="shared" si="4"/>
        <v>10</v>
      </c>
      <c r="U12" s="33">
        <v>10</v>
      </c>
      <c r="V12" s="28">
        <v>10</v>
      </c>
      <c r="W12" s="84">
        <f t="shared" si="5"/>
        <v>10</v>
      </c>
      <c r="X12" s="14">
        <v>10</v>
      </c>
      <c r="Y12" s="28">
        <v>10</v>
      </c>
      <c r="Z12" s="84">
        <f t="shared" si="6"/>
        <v>10</v>
      </c>
      <c r="AA12" s="14">
        <v>10</v>
      </c>
      <c r="AB12" s="28">
        <v>10</v>
      </c>
      <c r="AC12" s="84">
        <f t="shared" si="7"/>
        <v>10</v>
      </c>
      <c r="AD12" s="14">
        <v>10</v>
      </c>
      <c r="AE12" s="28">
        <v>10</v>
      </c>
      <c r="AF12" s="84">
        <f t="shared" si="8"/>
        <v>10</v>
      </c>
      <c r="AG12" s="14">
        <v>10</v>
      </c>
      <c r="AH12" s="34">
        <v>10</v>
      </c>
      <c r="AI12" s="84">
        <f t="shared" si="9"/>
        <v>10</v>
      </c>
      <c r="AJ12" s="64">
        <f t="shared" si="10"/>
        <v>9.8000000000000007</v>
      </c>
    </row>
    <row r="13" spans="1:36" ht="19.5" customHeight="1" x14ac:dyDescent="0.25">
      <c r="A13" s="228" t="s">
        <v>896</v>
      </c>
      <c r="B13" s="51" t="s">
        <v>868</v>
      </c>
      <c r="C13" s="24" t="s">
        <v>15</v>
      </c>
      <c r="D13" s="50">
        <v>201</v>
      </c>
      <c r="E13" s="50"/>
      <c r="F13" s="14">
        <v>9</v>
      </c>
      <c r="G13" s="28">
        <v>9</v>
      </c>
      <c r="H13" s="84">
        <f t="shared" si="0"/>
        <v>9</v>
      </c>
      <c r="I13" s="14">
        <v>9</v>
      </c>
      <c r="J13" s="35">
        <v>9</v>
      </c>
      <c r="K13" s="84">
        <f t="shared" si="1"/>
        <v>9</v>
      </c>
      <c r="L13" s="14">
        <v>9</v>
      </c>
      <c r="M13" s="28">
        <v>9</v>
      </c>
      <c r="N13" s="84">
        <f t="shared" si="2"/>
        <v>9</v>
      </c>
      <c r="O13" s="14">
        <v>9</v>
      </c>
      <c r="P13" s="28">
        <v>10</v>
      </c>
      <c r="Q13" s="84">
        <f t="shared" si="3"/>
        <v>9.5</v>
      </c>
      <c r="R13" s="33">
        <v>10</v>
      </c>
      <c r="S13" s="28">
        <v>10</v>
      </c>
      <c r="T13" s="84">
        <f t="shared" si="4"/>
        <v>10</v>
      </c>
      <c r="U13" s="33">
        <v>10</v>
      </c>
      <c r="V13" s="28">
        <v>10</v>
      </c>
      <c r="W13" s="84">
        <f t="shared" si="5"/>
        <v>10</v>
      </c>
      <c r="X13" s="14">
        <v>9</v>
      </c>
      <c r="Y13" s="28">
        <v>9</v>
      </c>
      <c r="Z13" s="84">
        <f t="shared" si="6"/>
        <v>9</v>
      </c>
      <c r="AA13" s="14">
        <v>9</v>
      </c>
      <c r="AB13" s="28">
        <v>10</v>
      </c>
      <c r="AC13" s="84">
        <f t="shared" si="7"/>
        <v>9.5</v>
      </c>
      <c r="AD13" s="14">
        <v>8</v>
      </c>
      <c r="AE13" s="28">
        <v>10</v>
      </c>
      <c r="AF13" s="84">
        <f t="shared" si="8"/>
        <v>9</v>
      </c>
      <c r="AG13" s="14">
        <v>10</v>
      </c>
      <c r="AH13" s="34">
        <v>9</v>
      </c>
      <c r="AI13" s="84">
        <f t="shared" si="9"/>
        <v>9.5</v>
      </c>
      <c r="AJ13" s="64">
        <f t="shared" si="10"/>
        <v>9.35</v>
      </c>
    </row>
    <row r="14" spans="1:36" ht="19.5" customHeight="1" x14ac:dyDescent="0.25">
      <c r="A14" s="66" t="s">
        <v>792</v>
      </c>
      <c r="B14" s="50" t="s">
        <v>793</v>
      </c>
      <c r="C14" s="24" t="s">
        <v>15</v>
      </c>
      <c r="D14" s="50">
        <v>201</v>
      </c>
      <c r="E14" s="51"/>
      <c r="F14" s="14">
        <v>6</v>
      </c>
      <c r="G14" s="30">
        <v>8</v>
      </c>
      <c r="H14" s="84">
        <f t="shared" si="0"/>
        <v>7</v>
      </c>
      <c r="I14" s="14">
        <v>4</v>
      </c>
      <c r="J14" s="35">
        <v>9</v>
      </c>
      <c r="K14" s="84">
        <f t="shared" si="1"/>
        <v>6.5</v>
      </c>
      <c r="L14" s="19">
        <v>9</v>
      </c>
      <c r="M14" s="28">
        <v>9</v>
      </c>
      <c r="N14" s="84">
        <f t="shared" si="2"/>
        <v>9</v>
      </c>
      <c r="O14" s="14">
        <v>9</v>
      </c>
      <c r="P14" s="28">
        <v>8</v>
      </c>
      <c r="Q14" s="84">
        <f t="shared" si="3"/>
        <v>8.5</v>
      </c>
      <c r="R14" s="33">
        <v>10</v>
      </c>
      <c r="S14" s="28">
        <v>10</v>
      </c>
      <c r="T14" s="84">
        <f t="shared" si="4"/>
        <v>10</v>
      </c>
      <c r="U14" s="33">
        <v>10</v>
      </c>
      <c r="V14" s="28">
        <v>10</v>
      </c>
      <c r="W14" s="84">
        <f t="shared" si="5"/>
        <v>10</v>
      </c>
      <c r="X14" s="14">
        <v>10</v>
      </c>
      <c r="Y14" s="28">
        <v>10</v>
      </c>
      <c r="Z14" s="84">
        <f t="shared" si="6"/>
        <v>10</v>
      </c>
      <c r="AA14" s="14">
        <v>10</v>
      </c>
      <c r="AB14" s="28">
        <v>10</v>
      </c>
      <c r="AC14" s="84">
        <f t="shared" si="7"/>
        <v>10</v>
      </c>
      <c r="AD14" s="14">
        <v>10</v>
      </c>
      <c r="AE14" s="28">
        <v>10</v>
      </c>
      <c r="AF14" s="84">
        <f t="shared" si="8"/>
        <v>10</v>
      </c>
      <c r="AG14" s="14">
        <v>10</v>
      </c>
      <c r="AH14" s="34">
        <v>9</v>
      </c>
      <c r="AI14" s="84">
        <f t="shared" si="9"/>
        <v>9.5</v>
      </c>
      <c r="AJ14" s="64">
        <f t="shared" si="10"/>
        <v>9.0500000000000007</v>
      </c>
    </row>
    <row r="15" spans="1:36" ht="19.5" customHeight="1" x14ac:dyDescent="0.25">
      <c r="A15" s="66" t="s">
        <v>796</v>
      </c>
      <c r="B15" s="50" t="s">
        <v>797</v>
      </c>
      <c r="C15" s="24" t="s">
        <v>15</v>
      </c>
      <c r="D15" s="50">
        <v>201</v>
      </c>
      <c r="E15" s="50"/>
      <c r="F15" s="14">
        <v>10</v>
      </c>
      <c r="G15" s="28">
        <v>10</v>
      </c>
      <c r="H15" s="84">
        <f t="shared" si="0"/>
        <v>10</v>
      </c>
      <c r="I15" s="14">
        <v>10</v>
      </c>
      <c r="J15" s="35">
        <v>10</v>
      </c>
      <c r="K15" s="84">
        <f t="shared" si="1"/>
        <v>10</v>
      </c>
      <c r="L15" s="14">
        <v>10</v>
      </c>
      <c r="M15" s="28">
        <v>10</v>
      </c>
      <c r="N15" s="84">
        <f t="shared" si="2"/>
        <v>10</v>
      </c>
      <c r="O15" s="14">
        <v>10</v>
      </c>
      <c r="P15" s="28">
        <v>8</v>
      </c>
      <c r="Q15" s="84">
        <f t="shared" si="3"/>
        <v>9</v>
      </c>
      <c r="R15" s="33">
        <v>10</v>
      </c>
      <c r="S15" s="28">
        <v>10</v>
      </c>
      <c r="T15" s="84">
        <f t="shared" si="4"/>
        <v>10</v>
      </c>
      <c r="U15" s="33">
        <v>10</v>
      </c>
      <c r="V15" s="28">
        <v>10</v>
      </c>
      <c r="W15" s="84">
        <f t="shared" si="5"/>
        <v>10</v>
      </c>
      <c r="X15" s="14">
        <v>10</v>
      </c>
      <c r="Y15" s="28">
        <v>10</v>
      </c>
      <c r="Z15" s="84">
        <f t="shared" si="6"/>
        <v>10</v>
      </c>
      <c r="AA15" s="14">
        <v>10</v>
      </c>
      <c r="AB15" s="28">
        <v>10</v>
      </c>
      <c r="AC15" s="84">
        <f t="shared" si="7"/>
        <v>10</v>
      </c>
      <c r="AD15" s="14">
        <v>10</v>
      </c>
      <c r="AE15" s="28">
        <v>10</v>
      </c>
      <c r="AF15" s="84">
        <f t="shared" si="8"/>
        <v>10</v>
      </c>
      <c r="AG15" s="14">
        <v>10</v>
      </c>
      <c r="AH15" s="34">
        <v>10</v>
      </c>
      <c r="AI15" s="84">
        <f t="shared" si="9"/>
        <v>10</v>
      </c>
      <c r="AJ15" s="64">
        <f t="shared" si="10"/>
        <v>9.9</v>
      </c>
    </row>
    <row r="16" spans="1:36" ht="19.5" customHeight="1" x14ac:dyDescent="0.25">
      <c r="A16" s="66" t="s">
        <v>798</v>
      </c>
      <c r="B16" s="50" t="s">
        <v>799</v>
      </c>
      <c r="C16" s="24" t="s">
        <v>15</v>
      </c>
      <c r="D16" s="50">
        <v>201</v>
      </c>
      <c r="E16" s="51"/>
      <c r="F16" s="14">
        <v>10</v>
      </c>
      <c r="G16" s="28">
        <v>10</v>
      </c>
      <c r="H16" s="84">
        <f t="shared" si="0"/>
        <v>10</v>
      </c>
      <c r="I16" s="14">
        <v>10</v>
      </c>
      <c r="J16" s="35">
        <v>10</v>
      </c>
      <c r="K16" s="84">
        <f t="shared" si="1"/>
        <v>10</v>
      </c>
      <c r="L16" s="14">
        <v>10</v>
      </c>
      <c r="M16" s="28">
        <v>10</v>
      </c>
      <c r="N16" s="84">
        <f t="shared" si="2"/>
        <v>10</v>
      </c>
      <c r="O16" s="14">
        <v>10</v>
      </c>
      <c r="P16" s="28">
        <v>10</v>
      </c>
      <c r="Q16" s="84">
        <f t="shared" si="3"/>
        <v>10</v>
      </c>
      <c r="R16" s="33">
        <v>10</v>
      </c>
      <c r="S16" s="28">
        <v>10</v>
      </c>
      <c r="T16" s="84">
        <f t="shared" si="4"/>
        <v>10</v>
      </c>
      <c r="U16" s="33">
        <v>10</v>
      </c>
      <c r="V16" s="28">
        <v>10</v>
      </c>
      <c r="W16" s="84">
        <f t="shared" si="5"/>
        <v>10</v>
      </c>
      <c r="X16" s="14">
        <v>10</v>
      </c>
      <c r="Y16" s="28">
        <v>10</v>
      </c>
      <c r="Z16" s="84">
        <f t="shared" si="6"/>
        <v>10</v>
      </c>
      <c r="AA16" s="14">
        <v>10</v>
      </c>
      <c r="AB16" s="28">
        <v>10</v>
      </c>
      <c r="AC16" s="84">
        <f t="shared" si="7"/>
        <v>10</v>
      </c>
      <c r="AD16" s="14">
        <v>10</v>
      </c>
      <c r="AE16" s="28">
        <v>10</v>
      </c>
      <c r="AF16" s="84">
        <f t="shared" si="8"/>
        <v>10</v>
      </c>
      <c r="AG16" s="14">
        <v>10</v>
      </c>
      <c r="AH16" s="34">
        <v>10</v>
      </c>
      <c r="AI16" s="84">
        <f t="shared" si="9"/>
        <v>10</v>
      </c>
      <c r="AJ16" s="64">
        <f t="shared" si="10"/>
        <v>10</v>
      </c>
    </row>
    <row r="17" spans="1:36" ht="19.5" customHeight="1" x14ac:dyDescent="0.25">
      <c r="A17" s="66" t="s">
        <v>778</v>
      </c>
      <c r="B17" s="50" t="s">
        <v>779</v>
      </c>
      <c r="C17" s="24" t="s">
        <v>15</v>
      </c>
      <c r="D17" s="50">
        <v>201</v>
      </c>
      <c r="E17" s="50"/>
      <c r="F17" s="14">
        <v>10</v>
      </c>
      <c r="G17" s="28">
        <v>10</v>
      </c>
      <c r="H17" s="84">
        <f t="shared" si="0"/>
        <v>10</v>
      </c>
      <c r="I17" s="18">
        <v>10</v>
      </c>
      <c r="J17" s="35">
        <v>10</v>
      </c>
      <c r="K17" s="84">
        <f t="shared" si="1"/>
        <v>10</v>
      </c>
      <c r="L17" s="14">
        <v>10</v>
      </c>
      <c r="M17" s="28">
        <v>10</v>
      </c>
      <c r="N17" s="84">
        <f t="shared" si="2"/>
        <v>10</v>
      </c>
      <c r="O17" s="14">
        <v>10</v>
      </c>
      <c r="P17" s="28">
        <v>8</v>
      </c>
      <c r="Q17" s="84">
        <f t="shared" si="3"/>
        <v>9</v>
      </c>
      <c r="R17" s="33">
        <v>10</v>
      </c>
      <c r="S17" s="28">
        <v>10</v>
      </c>
      <c r="T17" s="84">
        <f t="shared" si="4"/>
        <v>10</v>
      </c>
      <c r="U17" s="33">
        <v>10</v>
      </c>
      <c r="V17" s="28">
        <v>10</v>
      </c>
      <c r="W17" s="84">
        <f t="shared" si="5"/>
        <v>10</v>
      </c>
      <c r="X17" s="14">
        <v>10</v>
      </c>
      <c r="Y17" s="28">
        <v>10</v>
      </c>
      <c r="Z17" s="84">
        <f t="shared" si="6"/>
        <v>10</v>
      </c>
      <c r="AA17" s="14">
        <v>10</v>
      </c>
      <c r="AB17" s="28">
        <v>10</v>
      </c>
      <c r="AC17" s="84">
        <f t="shared" si="7"/>
        <v>10</v>
      </c>
      <c r="AD17" s="14">
        <v>10</v>
      </c>
      <c r="AE17" s="28">
        <v>10</v>
      </c>
      <c r="AF17" s="84">
        <f t="shared" si="8"/>
        <v>10</v>
      </c>
      <c r="AG17" s="18">
        <v>10</v>
      </c>
      <c r="AH17" s="34">
        <v>10</v>
      </c>
      <c r="AI17" s="84">
        <f t="shared" si="9"/>
        <v>10</v>
      </c>
      <c r="AJ17" s="64">
        <f t="shared" si="10"/>
        <v>9.9</v>
      </c>
    </row>
    <row r="18" spans="1:36" ht="19.5" customHeight="1" x14ac:dyDescent="0.25">
      <c r="A18" s="66" t="s">
        <v>790</v>
      </c>
      <c r="B18" s="67" t="s">
        <v>791</v>
      </c>
      <c r="C18" s="24" t="s">
        <v>15</v>
      </c>
      <c r="D18" s="50">
        <v>201</v>
      </c>
      <c r="E18" s="51"/>
      <c r="F18" s="14">
        <v>8</v>
      </c>
      <c r="G18" s="31">
        <v>8</v>
      </c>
      <c r="H18" s="84">
        <f t="shared" si="0"/>
        <v>8</v>
      </c>
      <c r="I18" s="18">
        <v>6</v>
      </c>
      <c r="J18" s="35">
        <v>8.3000000000000007</v>
      </c>
      <c r="K18" s="84">
        <f t="shared" si="1"/>
        <v>7.15</v>
      </c>
      <c r="L18" s="14">
        <v>9</v>
      </c>
      <c r="M18" s="28">
        <v>9</v>
      </c>
      <c r="N18" s="84">
        <f t="shared" si="2"/>
        <v>9</v>
      </c>
      <c r="O18" s="14">
        <v>8</v>
      </c>
      <c r="P18" s="28">
        <v>8</v>
      </c>
      <c r="Q18" s="84">
        <f t="shared" si="3"/>
        <v>8</v>
      </c>
      <c r="R18" s="33">
        <v>10</v>
      </c>
      <c r="S18" s="28">
        <v>10</v>
      </c>
      <c r="T18" s="84">
        <f t="shared" si="4"/>
        <v>10</v>
      </c>
      <c r="U18" s="33">
        <v>10</v>
      </c>
      <c r="V18" s="28">
        <v>10</v>
      </c>
      <c r="W18" s="84">
        <f t="shared" si="5"/>
        <v>10</v>
      </c>
      <c r="X18" s="14">
        <v>9</v>
      </c>
      <c r="Y18" s="28">
        <v>8</v>
      </c>
      <c r="Z18" s="84">
        <f t="shared" si="6"/>
        <v>8.5</v>
      </c>
      <c r="AA18" s="14">
        <v>10</v>
      </c>
      <c r="AB18" s="28">
        <v>10</v>
      </c>
      <c r="AC18" s="84">
        <f t="shared" si="7"/>
        <v>10</v>
      </c>
      <c r="AD18" s="14">
        <v>10</v>
      </c>
      <c r="AE18" s="28">
        <v>10</v>
      </c>
      <c r="AF18" s="84">
        <f t="shared" si="8"/>
        <v>10</v>
      </c>
      <c r="AG18" s="18">
        <v>8</v>
      </c>
      <c r="AH18" s="34">
        <v>9</v>
      </c>
      <c r="AI18" s="84">
        <f t="shared" si="9"/>
        <v>8.5</v>
      </c>
      <c r="AJ18" s="64">
        <f t="shared" si="10"/>
        <v>8.9150000000000009</v>
      </c>
    </row>
    <row r="19" spans="1:36" ht="19.5" customHeight="1" x14ac:dyDescent="0.25">
      <c r="A19" s="228" t="s">
        <v>804</v>
      </c>
      <c r="B19" s="50" t="s">
        <v>886</v>
      </c>
      <c r="C19" s="24" t="s">
        <v>15</v>
      </c>
      <c r="D19" s="50">
        <v>201</v>
      </c>
      <c r="E19" s="50"/>
      <c r="F19" s="18">
        <v>10</v>
      </c>
      <c r="G19" s="28">
        <v>10</v>
      </c>
      <c r="H19" s="84">
        <f t="shared" si="0"/>
        <v>10</v>
      </c>
      <c r="I19" s="18">
        <v>8</v>
      </c>
      <c r="J19" s="35">
        <v>8</v>
      </c>
      <c r="K19" s="84">
        <f t="shared" si="1"/>
        <v>8</v>
      </c>
      <c r="L19" s="18">
        <v>9</v>
      </c>
      <c r="M19" s="28">
        <v>10</v>
      </c>
      <c r="N19" s="84">
        <f t="shared" si="2"/>
        <v>9.5</v>
      </c>
      <c r="O19" s="18">
        <v>10</v>
      </c>
      <c r="P19" s="28">
        <v>8</v>
      </c>
      <c r="Q19" s="84">
        <f t="shared" si="3"/>
        <v>9</v>
      </c>
      <c r="R19" s="33">
        <v>10</v>
      </c>
      <c r="S19" s="28">
        <v>10</v>
      </c>
      <c r="T19" s="84">
        <f t="shared" si="4"/>
        <v>10</v>
      </c>
      <c r="U19" s="33">
        <v>10</v>
      </c>
      <c r="V19" s="28">
        <v>10</v>
      </c>
      <c r="W19" s="84">
        <f t="shared" si="5"/>
        <v>10</v>
      </c>
      <c r="X19" s="18">
        <v>9</v>
      </c>
      <c r="Y19" s="28">
        <v>8</v>
      </c>
      <c r="Z19" s="84">
        <f t="shared" si="6"/>
        <v>8.5</v>
      </c>
      <c r="AA19" s="18">
        <v>9</v>
      </c>
      <c r="AB19" s="28">
        <v>10</v>
      </c>
      <c r="AC19" s="84">
        <f t="shared" si="7"/>
        <v>9.5</v>
      </c>
      <c r="AD19" s="18">
        <v>9</v>
      </c>
      <c r="AE19" s="28">
        <v>10</v>
      </c>
      <c r="AF19" s="84">
        <f t="shared" si="8"/>
        <v>9.5</v>
      </c>
      <c r="AG19" s="18">
        <v>10</v>
      </c>
      <c r="AH19" s="34">
        <v>10</v>
      </c>
      <c r="AI19" s="84">
        <f t="shared" si="9"/>
        <v>10</v>
      </c>
      <c r="AJ19" s="64">
        <f t="shared" si="10"/>
        <v>9.4</v>
      </c>
    </row>
    <row r="20" spans="1:36" ht="15.75" customHeight="1" x14ac:dyDescent="0.2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6" ht="15.7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6" ht="15.75" customHeight="1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 spans="1:36" ht="15.75" customHeight="1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 spans="1:36" ht="15.75" customHeight="1" x14ac:dyDescent="0.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6" ht="15.75" customHeight="1" x14ac:dyDescent="0.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36" ht="15.75" customHeight="1" x14ac:dyDescent="0.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6" ht="15.75" customHeight="1" x14ac:dyDescent="0.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6" ht="15.75" customHeight="1" x14ac:dyDescent="0.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36" ht="15.75" customHeight="1" x14ac:dyDescent="0.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36" ht="15.75" customHeight="1" x14ac:dyDescent="0.2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36" ht="15.75" customHeight="1" x14ac:dyDescent="0.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 spans="1:36" ht="15.75" customHeight="1" x14ac:dyDescent="0.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 spans="1:34" ht="15.75" customHeight="1" x14ac:dyDescent="0.2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1:34" ht="15.75" customHeight="1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 spans="1:34" ht="15.75" customHeight="1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 spans="1:34" ht="15.75" customHeight="1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1:34" ht="15.75" customHeight="1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 ht="15.75" customHeight="1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  <row r="39" spans="1:34" ht="15.75" customHeight="1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</row>
    <row r="40" spans="1:34" ht="15.75" customHeight="1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 spans="1:34" ht="15.75" customHeight="1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</row>
    <row r="42" spans="1:34" ht="15.75" customHeight="1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</row>
    <row r="43" spans="1:34" ht="15.75" customHeight="1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</row>
    <row r="44" spans="1:34" ht="15.75" customHeight="1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 ht="15.75" customHeight="1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</row>
    <row r="46" spans="1:34" ht="15.75" customHeight="1" x14ac:dyDescent="0.2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 spans="1:34" ht="15.75" customHeight="1" x14ac:dyDescent="0.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</row>
    <row r="48" spans="1:34" ht="15.7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 spans="1:34" ht="15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</row>
    <row r="50" spans="1:34" ht="15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</row>
    <row r="51" spans="1:34" ht="15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</row>
    <row r="52" spans="1:34" ht="15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 spans="1:34" ht="15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 spans="1:34" ht="15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5" spans="1:34" ht="15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 spans="1:34" ht="15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 spans="1:34" ht="15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</row>
    <row r="58" spans="1:34" ht="15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</row>
    <row r="59" spans="1:34" ht="15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 spans="1:34" ht="15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</row>
    <row r="61" spans="1:34" ht="15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</row>
    <row r="62" spans="1:34" ht="15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</row>
    <row r="63" spans="1:34" ht="15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 spans="1:34" ht="15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 spans="1:34" ht="15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</row>
    <row r="66" spans="1:34" ht="15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</row>
    <row r="67" spans="1:34" ht="15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</row>
    <row r="68" spans="1:34" ht="15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</row>
    <row r="69" spans="1:34" ht="15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spans="1:34" ht="15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spans="1:34" ht="15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</row>
    <row r="72" spans="1:34" ht="15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</row>
    <row r="73" spans="1:34" ht="15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</row>
    <row r="74" spans="1:34" ht="15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</row>
    <row r="75" spans="1:34" ht="15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spans="1:34" ht="15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</row>
    <row r="77" spans="1:34" ht="15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</row>
    <row r="78" spans="1:34" ht="15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spans="1:34" ht="15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spans="1:34" ht="15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</row>
    <row r="81" spans="1:34" ht="15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</row>
    <row r="82" spans="1:34" ht="15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</row>
    <row r="83" spans="1:34" ht="15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spans="1:34" ht="15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spans="1:34" ht="15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</row>
    <row r="86" spans="1:34" ht="15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</row>
    <row r="87" spans="1:34" ht="15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</row>
    <row r="88" spans="1:34" ht="15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</row>
    <row r="89" spans="1:34" ht="15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spans="1:34" ht="15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spans="1:34" ht="15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</row>
    <row r="92" spans="1:34" ht="15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</row>
    <row r="93" spans="1:34" ht="15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</row>
    <row r="94" spans="1:34" ht="15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spans="1:34" ht="15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34" ht="15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spans="1:34" ht="15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</row>
    <row r="98" spans="1:34" ht="15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spans="1:34" ht="15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</row>
    <row r="100" spans="1:34" ht="15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</row>
    <row r="101" spans="1:34" ht="15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spans="1:34" ht="15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34" ht="15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</row>
    <row r="104" spans="1:34" ht="15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</row>
    <row r="105" spans="1:34" ht="15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</row>
    <row r="106" spans="1:34" ht="15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</row>
    <row r="107" spans="1:34" ht="15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</row>
    <row r="108" spans="1:34" ht="15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 ht="15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</row>
    <row r="110" spans="1:34" ht="15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</row>
    <row r="111" spans="1:34" ht="15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</row>
    <row r="112" spans="1:34" ht="15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</row>
    <row r="113" spans="1:34" ht="15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</row>
    <row r="114" spans="1:34" ht="15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</row>
    <row r="115" spans="1:34" ht="15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</row>
    <row r="116" spans="1:34" ht="15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</row>
    <row r="117" spans="1:34" ht="15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</row>
    <row r="118" spans="1:34" ht="15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</row>
    <row r="119" spans="1:34" ht="15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</row>
    <row r="120" spans="1:34" ht="15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</row>
    <row r="121" spans="1:34" ht="15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</row>
    <row r="122" spans="1:34" ht="15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</row>
    <row r="123" spans="1:34" ht="15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</row>
    <row r="124" spans="1:34" ht="15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</row>
    <row r="125" spans="1:34" ht="15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</row>
    <row r="126" spans="1:34" ht="15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</row>
    <row r="127" spans="1:34" ht="15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</row>
    <row r="128" spans="1:34" ht="15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</row>
    <row r="129" spans="1:34" ht="15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</row>
    <row r="130" spans="1:34" ht="15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</row>
    <row r="131" spans="1:34" ht="15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</row>
    <row r="132" spans="1:34" ht="15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</row>
    <row r="133" spans="1:34" ht="15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</row>
    <row r="134" spans="1:34" ht="15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</row>
    <row r="135" spans="1:34" ht="15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</row>
    <row r="136" spans="1:34" ht="15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</row>
    <row r="137" spans="1:34" ht="15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</row>
    <row r="138" spans="1:34" ht="15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</row>
    <row r="139" spans="1:34" ht="15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</row>
    <row r="140" spans="1:34" ht="15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</row>
    <row r="141" spans="1:34" ht="15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</row>
    <row r="142" spans="1:34" ht="15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</row>
    <row r="143" spans="1:34" ht="15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</row>
    <row r="144" spans="1:34" ht="15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</row>
    <row r="145" spans="1:34" ht="15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</row>
    <row r="146" spans="1:34" ht="15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</row>
    <row r="147" spans="1:34" ht="15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</row>
    <row r="148" spans="1:34" ht="15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</row>
    <row r="149" spans="1:34" ht="15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</row>
    <row r="150" spans="1:34" ht="15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</row>
    <row r="151" spans="1:34" ht="15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</row>
    <row r="152" spans="1:34" ht="15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</row>
    <row r="153" spans="1:34" ht="15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</row>
    <row r="154" spans="1:34" ht="15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</row>
    <row r="155" spans="1:34" ht="15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</row>
    <row r="156" spans="1:34" ht="15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</row>
    <row r="157" spans="1:34" ht="15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</row>
    <row r="158" spans="1:34" ht="15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</row>
    <row r="159" spans="1:34" ht="15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</row>
    <row r="160" spans="1:34" ht="15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</row>
    <row r="161" spans="1:34" ht="15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</row>
    <row r="162" spans="1:34" ht="15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</row>
    <row r="163" spans="1:34" ht="15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</row>
    <row r="164" spans="1:34" ht="15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</row>
    <row r="165" spans="1:34" ht="15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</row>
    <row r="166" spans="1:34" ht="15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</row>
    <row r="167" spans="1:34" ht="15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</row>
    <row r="168" spans="1:34" ht="15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</row>
    <row r="169" spans="1:34" ht="15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</row>
    <row r="170" spans="1:34" ht="15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</row>
    <row r="171" spans="1:34" ht="15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</row>
    <row r="172" spans="1:34" ht="15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</row>
    <row r="173" spans="1:34" ht="15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</row>
    <row r="174" spans="1:34" ht="15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</row>
    <row r="175" spans="1:34" ht="15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</row>
    <row r="176" spans="1:34" ht="15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</row>
    <row r="177" spans="1:34" ht="15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</row>
    <row r="178" spans="1:34" ht="15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</row>
    <row r="179" spans="1:34" ht="15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</row>
    <row r="180" spans="1:34" ht="15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</row>
    <row r="181" spans="1:34" ht="15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</row>
    <row r="182" spans="1:34" ht="15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</row>
    <row r="183" spans="1:34" ht="15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</row>
    <row r="184" spans="1:34" ht="15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</row>
    <row r="185" spans="1:34" ht="15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</row>
    <row r="186" spans="1:34" ht="15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</row>
    <row r="187" spans="1:34" ht="15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</row>
    <row r="188" spans="1:34" ht="15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</row>
    <row r="189" spans="1:34" ht="15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</row>
    <row r="190" spans="1:34" ht="15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</row>
    <row r="191" spans="1:34" ht="15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</row>
    <row r="192" spans="1:34" ht="15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</row>
    <row r="193" spans="1:34" ht="15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</row>
    <row r="194" spans="1:34" ht="15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</row>
    <row r="195" spans="1:34" ht="15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</row>
    <row r="196" spans="1:34" ht="15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</row>
    <row r="197" spans="1:34" ht="15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</row>
    <row r="198" spans="1:34" ht="15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</row>
    <row r="199" spans="1:34" ht="15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</row>
    <row r="200" spans="1:34" ht="15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</row>
    <row r="201" spans="1:34" ht="15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</row>
    <row r="202" spans="1:34" ht="15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</row>
    <row r="203" spans="1:34" ht="15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</row>
    <row r="204" spans="1:34" ht="15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</row>
    <row r="205" spans="1:34" ht="15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</row>
    <row r="206" spans="1:34" ht="15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</row>
    <row r="207" spans="1:34" ht="15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</row>
    <row r="208" spans="1:34" ht="15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</row>
    <row r="209" spans="1:34" ht="15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</row>
    <row r="210" spans="1:34" ht="15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</row>
    <row r="211" spans="1:34" ht="15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</row>
    <row r="212" spans="1:34" ht="15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</row>
    <row r="213" spans="1:34" ht="15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</row>
    <row r="214" spans="1:34" ht="15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</row>
    <row r="215" spans="1:34" ht="15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</row>
    <row r="216" spans="1:34" ht="15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</row>
    <row r="217" spans="1:34" ht="15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</row>
    <row r="218" spans="1:34" ht="15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</row>
    <row r="219" spans="1:34" ht="15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</row>
    <row r="220" spans="1:34" ht="15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</row>
    <row r="221" spans="1:34" ht="15.75" customHeight="1" x14ac:dyDescent="0.2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</row>
    <row r="222" spans="1:34" ht="15.75" customHeight="1" x14ac:dyDescent="0.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</row>
    <row r="223" spans="1:34" ht="15.75" customHeight="1" x14ac:dyDescent="0.2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</row>
    <row r="224" spans="1:34" ht="15.75" customHeight="1" x14ac:dyDescent="0.2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</row>
    <row r="225" spans="1:34" ht="15.75" customHeight="1" x14ac:dyDescent="0.2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</row>
    <row r="226" spans="1:34" ht="15.75" customHeight="1" x14ac:dyDescent="0.2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</row>
    <row r="227" spans="1:34" ht="15.75" customHeight="1" x14ac:dyDescent="0.2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</row>
    <row r="228" spans="1:34" ht="15.75" customHeight="1" x14ac:dyDescent="0.2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</row>
    <row r="229" spans="1:34" ht="15.75" customHeight="1" x14ac:dyDescent="0.2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</row>
    <row r="230" spans="1:34" ht="15.75" customHeight="1" x14ac:dyDescent="0.2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</row>
    <row r="231" spans="1:34" ht="15.75" customHeight="1" x14ac:dyDescent="0.2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</row>
    <row r="232" spans="1:34" ht="15.75" customHeight="1" x14ac:dyDescent="0.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</row>
    <row r="233" spans="1:34" ht="15.75" customHeight="1" x14ac:dyDescent="0.2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</row>
    <row r="234" spans="1:34" ht="15.75" customHeight="1" x14ac:dyDescent="0.2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</row>
    <row r="235" spans="1:34" ht="15.75" customHeight="1" x14ac:dyDescent="0.2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</row>
    <row r="236" spans="1:34" ht="15.75" customHeight="1" x14ac:dyDescent="0.2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</row>
    <row r="237" spans="1:34" ht="15.75" customHeight="1" x14ac:dyDescent="0.2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</row>
    <row r="238" spans="1:34" ht="15.75" customHeight="1" x14ac:dyDescent="0.2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</row>
    <row r="239" spans="1:34" ht="15.75" customHeight="1" x14ac:dyDescent="0.2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</row>
    <row r="240" spans="1:34" ht="15.75" customHeight="1" x14ac:dyDescent="0.2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</row>
    <row r="241" spans="1:34" ht="15.75" customHeight="1" x14ac:dyDescent="0.2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</row>
    <row r="242" spans="1:34" ht="15.75" customHeight="1" x14ac:dyDescent="0.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</row>
    <row r="243" spans="1:34" ht="15.75" customHeight="1" x14ac:dyDescent="0.2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</row>
    <row r="244" spans="1:34" ht="15.75" customHeight="1" x14ac:dyDescent="0.2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</row>
    <row r="245" spans="1:34" ht="15.75" customHeight="1" x14ac:dyDescent="0.2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</row>
    <row r="246" spans="1:34" ht="15.75" customHeight="1" x14ac:dyDescent="0.2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</row>
    <row r="247" spans="1:34" ht="15.75" customHeight="1" x14ac:dyDescent="0.2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</row>
    <row r="248" spans="1:34" ht="15.75" customHeight="1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</row>
    <row r="249" spans="1:34" ht="15.75" customHeight="1" x14ac:dyDescent="0.2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</row>
    <row r="250" spans="1:34" ht="15.75" customHeight="1" x14ac:dyDescent="0.2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</row>
    <row r="251" spans="1:34" ht="15.75" customHeight="1" x14ac:dyDescent="0.2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</row>
    <row r="252" spans="1:34" ht="15.75" customHeight="1" x14ac:dyDescent="0.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</row>
    <row r="253" spans="1:34" ht="15.75" customHeight="1" x14ac:dyDescent="0.2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</row>
    <row r="254" spans="1:34" ht="15.75" customHeight="1" x14ac:dyDescent="0.2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</row>
    <row r="255" spans="1:34" ht="15.75" customHeight="1" x14ac:dyDescent="0.2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</row>
    <row r="256" spans="1:34" ht="15.75" customHeight="1" x14ac:dyDescent="0.2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</row>
    <row r="257" spans="1:34" ht="15.75" customHeight="1" x14ac:dyDescent="0.2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</row>
    <row r="258" spans="1:34" ht="15.75" customHeight="1" x14ac:dyDescent="0.2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</row>
    <row r="259" spans="1:34" ht="15.75" customHeight="1" x14ac:dyDescent="0.2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</row>
    <row r="260" spans="1:34" ht="15.75" customHeight="1" x14ac:dyDescent="0.2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</row>
    <row r="261" spans="1:34" ht="15.75" customHeight="1" x14ac:dyDescent="0.2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</row>
    <row r="262" spans="1:34" ht="15.75" customHeight="1" x14ac:dyDescent="0.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</row>
    <row r="263" spans="1:34" ht="15.75" customHeight="1" x14ac:dyDescent="0.2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</row>
    <row r="264" spans="1:34" ht="15.75" customHeight="1" x14ac:dyDescent="0.2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</row>
    <row r="265" spans="1:34" ht="15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</row>
    <row r="266" spans="1:34" ht="15.75" customHeight="1" x14ac:dyDescent="0.2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</row>
    <row r="267" spans="1:34" ht="15.75" customHeight="1" x14ac:dyDescent="0.2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</row>
    <row r="268" spans="1:34" ht="15.75" customHeight="1" x14ac:dyDescent="0.2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</row>
    <row r="269" spans="1:34" ht="15.75" customHeight="1" x14ac:dyDescent="0.2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</row>
    <row r="270" spans="1:34" ht="15.75" customHeight="1" x14ac:dyDescent="0.2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</row>
    <row r="271" spans="1:34" ht="15.75" customHeight="1" x14ac:dyDescent="0.2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</row>
    <row r="272" spans="1:34" ht="15.75" customHeight="1" x14ac:dyDescent="0.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</row>
    <row r="273" spans="1:34" ht="15.75" customHeight="1" x14ac:dyDescent="0.2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</row>
    <row r="274" spans="1:34" ht="15.75" customHeight="1" x14ac:dyDescent="0.2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 ht="15.75" customHeight="1" x14ac:dyDescent="0.2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</row>
    <row r="276" spans="1:34" ht="15.75" customHeight="1" x14ac:dyDescent="0.2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</row>
    <row r="277" spans="1:34" ht="15.75" customHeight="1" x14ac:dyDescent="0.2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</row>
    <row r="278" spans="1:34" ht="15.75" customHeight="1" x14ac:dyDescent="0.2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 ht="15.75" customHeight="1" x14ac:dyDescent="0.2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</row>
    <row r="280" spans="1:34" ht="15.75" customHeight="1" x14ac:dyDescent="0.2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</row>
    <row r="281" spans="1:34" ht="15.75" customHeight="1" x14ac:dyDescent="0.2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</row>
    <row r="282" spans="1:34" ht="15.75" customHeight="1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 ht="15.75" customHeight="1" x14ac:dyDescent="0.2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</row>
    <row r="284" spans="1:34" ht="15.75" customHeight="1" x14ac:dyDescent="0.2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</row>
    <row r="285" spans="1:34" ht="15.75" customHeight="1" x14ac:dyDescent="0.2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</row>
    <row r="286" spans="1:34" ht="15.75" customHeight="1" x14ac:dyDescent="0.2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 ht="15.75" customHeight="1" x14ac:dyDescent="0.2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</row>
    <row r="288" spans="1:34" ht="15.75" customHeight="1" x14ac:dyDescent="0.2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</row>
    <row r="289" spans="1:34" ht="15.75" customHeight="1" x14ac:dyDescent="0.2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</row>
    <row r="290" spans="1:34" ht="15.75" customHeight="1" x14ac:dyDescent="0.2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</row>
    <row r="291" spans="1:34" ht="15.75" customHeight="1" x14ac:dyDescent="0.2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</row>
    <row r="292" spans="1:34" ht="15.75" customHeight="1" x14ac:dyDescent="0.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</row>
    <row r="293" spans="1:34" ht="15.75" customHeight="1" x14ac:dyDescent="0.2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</row>
    <row r="294" spans="1:34" ht="15.75" customHeight="1" x14ac:dyDescent="0.2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</row>
    <row r="295" spans="1:34" ht="15.75" customHeight="1" x14ac:dyDescent="0.2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</row>
    <row r="296" spans="1:34" ht="15.75" customHeight="1" x14ac:dyDescent="0.2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</row>
    <row r="297" spans="1:34" ht="15.75" customHeight="1" x14ac:dyDescent="0.2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</row>
    <row r="298" spans="1:34" ht="15.75" customHeight="1" x14ac:dyDescent="0.2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</row>
    <row r="299" spans="1:34" ht="15.75" customHeight="1" x14ac:dyDescent="0.2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</row>
    <row r="300" spans="1:34" ht="15.75" customHeight="1" x14ac:dyDescent="0.2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</row>
    <row r="301" spans="1:34" ht="15.75" customHeight="1" x14ac:dyDescent="0.2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</row>
    <row r="302" spans="1:34" ht="15.75" customHeight="1" x14ac:dyDescent="0.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</row>
    <row r="303" spans="1:34" ht="15.75" customHeight="1" x14ac:dyDescent="0.2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</row>
    <row r="304" spans="1:34" ht="15.75" customHeight="1" x14ac:dyDescent="0.2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</row>
    <row r="305" spans="1:34" ht="15.75" customHeight="1" x14ac:dyDescent="0.2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</row>
    <row r="306" spans="1:34" ht="15.75" customHeight="1" x14ac:dyDescent="0.2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</row>
    <row r="307" spans="1:34" ht="15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</row>
    <row r="308" spans="1:34" ht="15.75" customHeight="1" x14ac:dyDescent="0.2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</row>
    <row r="309" spans="1:34" ht="15.75" customHeight="1" x14ac:dyDescent="0.2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</row>
    <row r="310" spans="1:34" ht="15.75" customHeight="1" x14ac:dyDescent="0.2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</row>
    <row r="311" spans="1:34" ht="15.75" customHeight="1" x14ac:dyDescent="0.2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</row>
    <row r="312" spans="1:34" ht="15.75" customHeight="1" x14ac:dyDescent="0.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</row>
    <row r="313" spans="1:34" ht="15.75" customHeight="1" x14ac:dyDescent="0.2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</row>
    <row r="314" spans="1:34" ht="15.75" customHeight="1" x14ac:dyDescent="0.2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</row>
    <row r="315" spans="1:34" ht="15.75" customHeight="1" x14ac:dyDescent="0.2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</row>
    <row r="316" spans="1:34" ht="15.75" customHeight="1" x14ac:dyDescent="0.2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</row>
    <row r="317" spans="1:34" ht="15.75" customHeight="1" x14ac:dyDescent="0.2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</row>
    <row r="318" spans="1:34" ht="15.75" customHeight="1" x14ac:dyDescent="0.2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</row>
    <row r="319" spans="1:34" ht="15.75" customHeight="1" x14ac:dyDescent="0.2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</row>
    <row r="320" spans="1:34" ht="15.75" customHeight="1" x14ac:dyDescent="0.2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</row>
    <row r="321" spans="1:34" ht="15.75" customHeight="1" x14ac:dyDescent="0.2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 ht="15.75" customHeight="1" x14ac:dyDescent="0.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 ht="15.75" customHeight="1" x14ac:dyDescent="0.2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</row>
    <row r="324" spans="1:34" ht="15.75" customHeight="1" x14ac:dyDescent="0.2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</row>
    <row r="325" spans="1:34" ht="15.75" customHeight="1" x14ac:dyDescent="0.2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</row>
    <row r="326" spans="1:34" ht="15.75" customHeight="1" x14ac:dyDescent="0.2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 ht="15.75" customHeight="1" x14ac:dyDescent="0.2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</row>
    <row r="328" spans="1:34" ht="15.75" customHeight="1" x14ac:dyDescent="0.2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</row>
    <row r="329" spans="1:34" ht="15.75" customHeight="1" x14ac:dyDescent="0.2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</row>
    <row r="330" spans="1:34" ht="15.75" customHeight="1" x14ac:dyDescent="0.2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</row>
    <row r="331" spans="1:34" ht="15.75" customHeight="1" x14ac:dyDescent="0.2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 ht="15.75" customHeight="1" x14ac:dyDescent="0.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 ht="15.75" customHeight="1" x14ac:dyDescent="0.2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</row>
    <row r="334" spans="1:34" ht="15.75" customHeight="1" x14ac:dyDescent="0.2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</row>
    <row r="335" spans="1:34" ht="15.75" customHeight="1" x14ac:dyDescent="0.2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</row>
    <row r="336" spans="1:34" ht="15.75" customHeight="1" x14ac:dyDescent="0.2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</row>
    <row r="337" spans="1:34" ht="15.75" customHeight="1" x14ac:dyDescent="0.2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 ht="15.75" customHeight="1" x14ac:dyDescent="0.2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 ht="15.75" customHeight="1" x14ac:dyDescent="0.2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</row>
    <row r="340" spans="1:34" ht="15.75" customHeight="1" x14ac:dyDescent="0.2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</row>
    <row r="341" spans="1:34" ht="15.75" customHeight="1" x14ac:dyDescent="0.2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ht="15.75" customHeight="1" x14ac:dyDescent="0.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ht="15.75" customHeight="1" x14ac:dyDescent="0.2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ht="15.75" customHeight="1" x14ac:dyDescent="0.2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ht="15.75" customHeight="1" x14ac:dyDescent="0.2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ht="15.75" customHeight="1" x14ac:dyDescent="0.2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</row>
    <row r="347" spans="1:34" ht="15.75" customHeight="1" x14ac:dyDescent="0.2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 ht="15.75" customHeight="1" x14ac:dyDescent="0.2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</row>
    <row r="349" spans="1:34" ht="15.75" customHeight="1" x14ac:dyDescent="0.2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</row>
    <row r="350" spans="1:34" ht="15.75" customHeight="1" x14ac:dyDescent="0.2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</row>
    <row r="351" spans="1:34" ht="15.75" customHeight="1" x14ac:dyDescent="0.2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 ht="15.75" customHeight="1" x14ac:dyDescent="0.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</row>
    <row r="353" spans="1:34" ht="15.75" customHeight="1" x14ac:dyDescent="0.2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</row>
    <row r="354" spans="1:34" ht="15.75" customHeight="1" x14ac:dyDescent="0.2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</row>
    <row r="355" spans="1:34" ht="15.75" customHeight="1" x14ac:dyDescent="0.2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 ht="15.75" customHeight="1" x14ac:dyDescent="0.2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</row>
    <row r="357" spans="1:34" ht="15.75" customHeight="1" x14ac:dyDescent="0.2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</row>
    <row r="358" spans="1:34" ht="15.75" customHeight="1" x14ac:dyDescent="0.2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</row>
    <row r="359" spans="1:34" ht="15.75" customHeight="1" x14ac:dyDescent="0.2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</row>
    <row r="360" spans="1:34" ht="15.75" customHeight="1" x14ac:dyDescent="0.2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</row>
    <row r="361" spans="1:34" ht="15.75" customHeight="1" x14ac:dyDescent="0.2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 ht="15.75" customHeight="1" x14ac:dyDescent="0.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 ht="15.75" customHeight="1" x14ac:dyDescent="0.2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 ht="15.75" customHeight="1" x14ac:dyDescent="0.2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 ht="15.75" customHeight="1" x14ac:dyDescent="0.2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</row>
    <row r="366" spans="1:34" ht="15.75" customHeight="1" x14ac:dyDescent="0.2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</row>
    <row r="367" spans="1:34" ht="15.75" customHeight="1" x14ac:dyDescent="0.2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</row>
    <row r="368" spans="1:34" ht="15.75" customHeight="1" x14ac:dyDescent="0.2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</row>
    <row r="369" spans="1:34" ht="15.75" customHeight="1" x14ac:dyDescent="0.2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 ht="15.75" customHeight="1" x14ac:dyDescent="0.2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 ht="15.75" customHeight="1" x14ac:dyDescent="0.2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</row>
    <row r="372" spans="1:34" ht="15.75" customHeight="1" x14ac:dyDescent="0.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</row>
    <row r="373" spans="1:34" ht="15.75" customHeight="1" x14ac:dyDescent="0.2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</row>
    <row r="374" spans="1:34" ht="15.75" customHeight="1" x14ac:dyDescent="0.2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</row>
    <row r="375" spans="1:34" ht="15.75" customHeight="1" x14ac:dyDescent="0.2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</row>
    <row r="376" spans="1:34" ht="15.75" customHeight="1" x14ac:dyDescent="0.2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 ht="15.75" customHeight="1" x14ac:dyDescent="0.2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 ht="15.75" customHeight="1" x14ac:dyDescent="0.2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</row>
    <row r="379" spans="1:34" ht="15.75" customHeight="1" x14ac:dyDescent="0.2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</row>
    <row r="380" spans="1:34" ht="15.75" customHeight="1" x14ac:dyDescent="0.2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</row>
    <row r="381" spans="1:34" ht="15.75" customHeight="1" x14ac:dyDescent="0.2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</row>
    <row r="382" spans="1:34" ht="15.75" customHeight="1" x14ac:dyDescent="0.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 ht="15.75" customHeight="1" x14ac:dyDescent="0.2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</row>
    <row r="384" spans="1:34" ht="15.75" customHeight="1" x14ac:dyDescent="0.2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</row>
    <row r="385" spans="1:34" ht="15.75" customHeight="1" x14ac:dyDescent="0.2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</row>
    <row r="386" spans="1:34" ht="15.75" customHeight="1" x14ac:dyDescent="0.2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 ht="15.75" customHeight="1" x14ac:dyDescent="0.2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</row>
    <row r="388" spans="1:34" ht="15.75" customHeight="1" x14ac:dyDescent="0.2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</row>
    <row r="389" spans="1:34" ht="15.75" customHeight="1" x14ac:dyDescent="0.2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</row>
    <row r="390" spans="1:34" ht="15.75" customHeight="1" x14ac:dyDescent="0.2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</row>
    <row r="391" spans="1:34" ht="15.75" customHeight="1" x14ac:dyDescent="0.2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 ht="15.75" customHeight="1" x14ac:dyDescent="0.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 ht="15.75" customHeight="1" x14ac:dyDescent="0.2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</row>
    <row r="394" spans="1:34" ht="15.75" customHeight="1" x14ac:dyDescent="0.2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</row>
    <row r="395" spans="1:34" ht="15.75" customHeight="1" x14ac:dyDescent="0.2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</row>
    <row r="396" spans="1:34" ht="15.75" customHeight="1" x14ac:dyDescent="0.2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</row>
    <row r="397" spans="1:34" ht="15.75" customHeight="1" x14ac:dyDescent="0.2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 ht="15.75" customHeight="1" x14ac:dyDescent="0.2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</row>
    <row r="399" spans="1:34" ht="15.75" customHeight="1" x14ac:dyDescent="0.2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</row>
    <row r="400" spans="1:34" ht="15.75" customHeight="1" x14ac:dyDescent="0.2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</row>
    <row r="401" spans="1:34" ht="15.75" customHeight="1" x14ac:dyDescent="0.2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</row>
    <row r="402" spans="1:34" ht="15.75" customHeight="1" x14ac:dyDescent="0.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</row>
    <row r="403" spans="1:34" ht="15.75" customHeight="1" x14ac:dyDescent="0.2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</row>
    <row r="404" spans="1:34" ht="15.75" customHeight="1" x14ac:dyDescent="0.2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</row>
    <row r="405" spans="1:34" ht="15.75" customHeight="1" x14ac:dyDescent="0.2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</row>
    <row r="406" spans="1:34" ht="15.75" customHeight="1" x14ac:dyDescent="0.2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</row>
    <row r="407" spans="1:34" ht="15.75" customHeight="1" x14ac:dyDescent="0.2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</row>
    <row r="408" spans="1:34" ht="15.75" customHeight="1" x14ac:dyDescent="0.2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</row>
    <row r="409" spans="1:34" ht="15.75" customHeight="1" x14ac:dyDescent="0.2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</row>
    <row r="410" spans="1:34" ht="15.75" customHeight="1" x14ac:dyDescent="0.2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</row>
    <row r="411" spans="1:34" ht="15.75" customHeight="1" x14ac:dyDescent="0.2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</row>
    <row r="412" spans="1:34" ht="15.75" customHeight="1" x14ac:dyDescent="0.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</row>
    <row r="413" spans="1:34" ht="15.75" customHeight="1" x14ac:dyDescent="0.2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</row>
    <row r="414" spans="1:34" ht="15.75" customHeight="1" x14ac:dyDescent="0.2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</row>
    <row r="415" spans="1:34" ht="15.75" customHeight="1" x14ac:dyDescent="0.2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</row>
    <row r="416" spans="1:34" ht="15.75" customHeight="1" x14ac:dyDescent="0.2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</row>
    <row r="417" spans="1:34" ht="15.75" customHeight="1" x14ac:dyDescent="0.2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</row>
    <row r="418" spans="1:34" ht="15.75" customHeight="1" x14ac:dyDescent="0.2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</row>
    <row r="419" spans="1:34" ht="15.75" customHeight="1" x14ac:dyDescent="0.2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</row>
    <row r="420" spans="1:34" ht="15.75" customHeight="1" x14ac:dyDescent="0.2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</row>
    <row r="421" spans="1:34" ht="15.75" customHeight="1" x14ac:dyDescent="0.2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</row>
    <row r="422" spans="1:34" ht="15.75" customHeight="1" x14ac:dyDescent="0.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</row>
    <row r="423" spans="1:34" ht="15.75" customHeight="1" x14ac:dyDescent="0.2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</row>
    <row r="424" spans="1:34" ht="15.75" customHeight="1" x14ac:dyDescent="0.2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</row>
    <row r="425" spans="1:34" ht="15.75" customHeight="1" x14ac:dyDescent="0.2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</row>
    <row r="426" spans="1:34" ht="15.75" customHeight="1" x14ac:dyDescent="0.2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</row>
    <row r="427" spans="1:34" ht="15.75" customHeight="1" x14ac:dyDescent="0.2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</row>
    <row r="428" spans="1:34" ht="15.75" customHeight="1" x14ac:dyDescent="0.2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</row>
    <row r="429" spans="1:34" ht="15.75" customHeight="1" x14ac:dyDescent="0.2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</row>
    <row r="430" spans="1:34" ht="15.75" customHeight="1" x14ac:dyDescent="0.2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</row>
    <row r="431" spans="1:34" ht="15.75" customHeight="1" x14ac:dyDescent="0.2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</row>
    <row r="432" spans="1:34" ht="15.75" customHeight="1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</row>
    <row r="433" spans="1:34" ht="15.75" customHeight="1" x14ac:dyDescent="0.2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</row>
    <row r="434" spans="1:34" ht="15.75" customHeight="1" x14ac:dyDescent="0.2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</row>
    <row r="435" spans="1:34" ht="15.75" customHeight="1" x14ac:dyDescent="0.2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</row>
    <row r="436" spans="1:34" ht="15.75" customHeight="1" x14ac:dyDescent="0.2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</row>
    <row r="437" spans="1:34" ht="15.75" customHeight="1" x14ac:dyDescent="0.2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</row>
    <row r="438" spans="1:34" ht="15.75" customHeight="1" x14ac:dyDescent="0.2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</row>
    <row r="439" spans="1:34" ht="15.75" customHeight="1" x14ac:dyDescent="0.2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</row>
    <row r="440" spans="1:34" ht="15.75" customHeight="1" x14ac:dyDescent="0.2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</row>
    <row r="441" spans="1:34" ht="15.75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</row>
    <row r="442" spans="1:34" ht="15.75" customHeight="1" x14ac:dyDescent="0.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</row>
    <row r="443" spans="1:34" ht="15.75" customHeight="1" x14ac:dyDescent="0.2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</row>
    <row r="444" spans="1:34" ht="15.75" customHeight="1" x14ac:dyDescent="0.2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</row>
    <row r="445" spans="1:34" ht="15.75" customHeight="1" x14ac:dyDescent="0.2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</row>
    <row r="446" spans="1:34" ht="15.75" customHeight="1" x14ac:dyDescent="0.2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</row>
    <row r="447" spans="1:34" ht="15.75" customHeight="1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</row>
    <row r="448" spans="1:34" ht="15.75" customHeight="1" x14ac:dyDescent="0.2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</row>
    <row r="449" spans="1:34" ht="15.75" customHeight="1" x14ac:dyDescent="0.2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</row>
    <row r="450" spans="1:34" ht="15.75" customHeight="1" x14ac:dyDescent="0.2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</row>
    <row r="451" spans="1:34" ht="15.75" customHeight="1" x14ac:dyDescent="0.2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</row>
    <row r="452" spans="1:34" ht="15.75" customHeight="1" x14ac:dyDescent="0.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</row>
    <row r="453" spans="1:34" ht="15.75" customHeight="1" x14ac:dyDescent="0.2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</row>
    <row r="454" spans="1:34" ht="15.75" customHeight="1" x14ac:dyDescent="0.2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</row>
    <row r="455" spans="1:34" ht="15.75" customHeight="1" x14ac:dyDescent="0.2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</row>
    <row r="456" spans="1:34" ht="15.75" customHeight="1" x14ac:dyDescent="0.2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</row>
    <row r="457" spans="1:34" ht="15.75" customHeight="1" x14ac:dyDescent="0.2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</row>
    <row r="458" spans="1:34" ht="15.75" customHeight="1" x14ac:dyDescent="0.2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</row>
    <row r="459" spans="1:34" ht="15.75" customHeight="1" x14ac:dyDescent="0.2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</row>
    <row r="460" spans="1:34" ht="15.75" customHeight="1" x14ac:dyDescent="0.2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</row>
    <row r="461" spans="1:34" ht="15.75" customHeight="1" x14ac:dyDescent="0.2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</row>
    <row r="462" spans="1:34" ht="15.75" customHeight="1" x14ac:dyDescent="0.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</row>
    <row r="463" spans="1:34" ht="15.75" customHeight="1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</row>
    <row r="464" spans="1:34" ht="15.75" customHeight="1" x14ac:dyDescent="0.2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</row>
    <row r="465" spans="1:34" ht="15.75" customHeight="1" x14ac:dyDescent="0.2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</row>
    <row r="466" spans="1:34" ht="15.75" customHeight="1" x14ac:dyDescent="0.2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</row>
    <row r="467" spans="1:34" ht="15.75" customHeight="1" x14ac:dyDescent="0.2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</row>
    <row r="468" spans="1:34" ht="15.75" customHeight="1" x14ac:dyDescent="0.2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</row>
    <row r="469" spans="1:34" ht="15.75" customHeight="1" x14ac:dyDescent="0.2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</row>
    <row r="470" spans="1:34" ht="15.75" customHeight="1" x14ac:dyDescent="0.2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</row>
    <row r="471" spans="1:34" ht="15.75" customHeight="1" x14ac:dyDescent="0.2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</row>
    <row r="472" spans="1:34" ht="15.75" customHeight="1" x14ac:dyDescent="0.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</row>
    <row r="473" spans="1:34" ht="15.75" customHeight="1" x14ac:dyDescent="0.2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</row>
    <row r="474" spans="1:34" ht="15.75" customHeight="1" x14ac:dyDescent="0.2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</row>
    <row r="475" spans="1:34" ht="15.75" customHeight="1" x14ac:dyDescent="0.2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</row>
    <row r="476" spans="1:34" ht="15.75" customHeight="1" x14ac:dyDescent="0.2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</row>
    <row r="477" spans="1:34" ht="15.75" customHeight="1" x14ac:dyDescent="0.2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</row>
    <row r="478" spans="1:34" ht="15.75" customHeight="1" x14ac:dyDescent="0.2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</row>
    <row r="479" spans="1:34" ht="15.75" customHeight="1" x14ac:dyDescent="0.2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</row>
    <row r="480" spans="1:34" ht="15.75" customHeight="1" x14ac:dyDescent="0.2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</row>
    <row r="481" spans="1:34" ht="15.75" customHeight="1" x14ac:dyDescent="0.2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</row>
    <row r="482" spans="1:34" ht="15.75" customHeight="1" x14ac:dyDescent="0.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</row>
    <row r="483" spans="1:34" ht="15.75" customHeight="1" x14ac:dyDescent="0.2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</row>
    <row r="484" spans="1:34" ht="15.75" customHeight="1" x14ac:dyDescent="0.2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</row>
    <row r="485" spans="1:34" ht="15.75" customHeight="1" x14ac:dyDescent="0.2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</row>
    <row r="486" spans="1:34" ht="15.75" customHeight="1" x14ac:dyDescent="0.2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</row>
    <row r="487" spans="1:34" ht="15.75" customHeight="1" x14ac:dyDescent="0.2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</row>
    <row r="488" spans="1:34" ht="15.75" customHeight="1" x14ac:dyDescent="0.2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</row>
    <row r="489" spans="1:34" ht="15.75" customHeight="1" x14ac:dyDescent="0.2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</row>
    <row r="490" spans="1:34" ht="15.75" customHeight="1" x14ac:dyDescent="0.2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</row>
    <row r="491" spans="1:34" ht="15.75" customHeight="1" x14ac:dyDescent="0.2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</row>
    <row r="492" spans="1:34" ht="15.75" customHeight="1" x14ac:dyDescent="0.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</row>
    <row r="493" spans="1:34" ht="15.75" customHeight="1" x14ac:dyDescent="0.2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</row>
    <row r="494" spans="1:34" ht="15.75" customHeight="1" x14ac:dyDescent="0.2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</row>
    <row r="495" spans="1:34" ht="15.75" customHeight="1" x14ac:dyDescent="0.2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</row>
    <row r="496" spans="1:34" ht="15.75" customHeight="1" x14ac:dyDescent="0.2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</row>
    <row r="497" spans="1:34" ht="15.75" customHeight="1" x14ac:dyDescent="0.2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</row>
    <row r="498" spans="1:34" ht="15.75" customHeight="1" x14ac:dyDescent="0.2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</row>
    <row r="499" spans="1:34" ht="15.75" customHeight="1" x14ac:dyDescent="0.2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</row>
    <row r="500" spans="1:34" ht="15.75" customHeight="1" x14ac:dyDescent="0.2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</row>
    <row r="501" spans="1:34" ht="15.75" customHeight="1" x14ac:dyDescent="0.2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</row>
    <row r="502" spans="1:34" ht="15.75" customHeight="1" x14ac:dyDescent="0.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</row>
    <row r="503" spans="1:34" ht="15.75" customHeight="1" x14ac:dyDescent="0.2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</row>
    <row r="504" spans="1:34" ht="15.75" customHeight="1" x14ac:dyDescent="0.2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</row>
    <row r="505" spans="1:34" ht="15.75" customHeight="1" x14ac:dyDescent="0.2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</row>
    <row r="506" spans="1:34" ht="15.75" customHeight="1" x14ac:dyDescent="0.2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</row>
    <row r="507" spans="1:34" ht="15.75" customHeight="1" x14ac:dyDescent="0.2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</row>
    <row r="508" spans="1:34" ht="15.75" customHeight="1" x14ac:dyDescent="0.2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</row>
    <row r="509" spans="1:34" ht="15.75" customHeight="1" x14ac:dyDescent="0.2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</row>
    <row r="510" spans="1:34" ht="15.75" customHeight="1" x14ac:dyDescent="0.2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</row>
    <row r="511" spans="1:34" ht="15.75" customHeight="1" x14ac:dyDescent="0.2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</row>
    <row r="512" spans="1:34" ht="15.75" customHeight="1" x14ac:dyDescent="0.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</row>
    <row r="513" spans="1:34" ht="15.75" customHeight="1" x14ac:dyDescent="0.2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</row>
    <row r="514" spans="1:34" ht="15.75" customHeight="1" x14ac:dyDescent="0.2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</row>
    <row r="515" spans="1:34" ht="15.75" customHeight="1" x14ac:dyDescent="0.2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</row>
    <row r="516" spans="1:34" ht="15.75" customHeight="1" x14ac:dyDescent="0.2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</row>
    <row r="517" spans="1:34" ht="15.75" customHeight="1" x14ac:dyDescent="0.2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</row>
    <row r="518" spans="1:34" ht="15.75" customHeight="1" x14ac:dyDescent="0.2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</row>
    <row r="519" spans="1:34" ht="15.75" customHeight="1" x14ac:dyDescent="0.2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</row>
    <row r="520" spans="1:34" ht="15.75" customHeight="1" x14ac:dyDescent="0.2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</row>
    <row r="521" spans="1:34" ht="15.75" customHeight="1" x14ac:dyDescent="0.2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</row>
    <row r="522" spans="1:34" ht="15.75" customHeight="1" x14ac:dyDescent="0.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</row>
    <row r="523" spans="1:34" ht="15.75" customHeight="1" x14ac:dyDescent="0.2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</row>
    <row r="524" spans="1:34" ht="15.75" customHeight="1" x14ac:dyDescent="0.2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</row>
    <row r="525" spans="1:34" ht="15.75" customHeight="1" x14ac:dyDescent="0.2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</row>
    <row r="526" spans="1:34" ht="15.75" customHeight="1" x14ac:dyDescent="0.2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</row>
    <row r="527" spans="1:34" ht="15.75" customHeight="1" x14ac:dyDescent="0.2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</row>
    <row r="528" spans="1:34" ht="15.75" customHeight="1" x14ac:dyDescent="0.2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</row>
    <row r="529" spans="1:34" ht="15.75" customHeight="1" x14ac:dyDescent="0.2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</row>
    <row r="530" spans="1:34" ht="15.75" customHeight="1" x14ac:dyDescent="0.2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</row>
    <row r="531" spans="1:34" ht="15.75" customHeight="1" x14ac:dyDescent="0.2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</row>
    <row r="532" spans="1:34" ht="15.75" customHeight="1" x14ac:dyDescent="0.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</row>
    <row r="533" spans="1:34" ht="15.75" customHeight="1" x14ac:dyDescent="0.2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</row>
    <row r="534" spans="1:34" ht="15.75" customHeight="1" x14ac:dyDescent="0.2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</row>
    <row r="535" spans="1:34" ht="15.75" customHeight="1" x14ac:dyDescent="0.2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</row>
    <row r="536" spans="1:34" ht="15.75" customHeight="1" x14ac:dyDescent="0.2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</row>
    <row r="537" spans="1:34" ht="15.75" customHeight="1" x14ac:dyDescent="0.2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</row>
    <row r="538" spans="1:34" ht="15.75" customHeight="1" x14ac:dyDescent="0.2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</row>
    <row r="539" spans="1:34" ht="15.75" customHeight="1" x14ac:dyDescent="0.2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</row>
    <row r="540" spans="1:34" ht="15.75" customHeight="1" x14ac:dyDescent="0.2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</row>
    <row r="541" spans="1:34" ht="15.75" customHeight="1" x14ac:dyDescent="0.2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</row>
    <row r="542" spans="1:34" ht="15.75" customHeight="1" x14ac:dyDescent="0.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</row>
    <row r="543" spans="1:34" ht="15.75" customHeight="1" x14ac:dyDescent="0.2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</row>
    <row r="544" spans="1:34" ht="15.75" customHeight="1" x14ac:dyDescent="0.2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</row>
    <row r="545" spans="1:34" ht="15.75" customHeight="1" x14ac:dyDescent="0.2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</row>
    <row r="546" spans="1:34" ht="15.75" customHeight="1" x14ac:dyDescent="0.2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</row>
    <row r="547" spans="1:34" ht="15.75" customHeight="1" x14ac:dyDescent="0.2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</row>
    <row r="548" spans="1:34" ht="15.75" customHeight="1" x14ac:dyDescent="0.2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</row>
    <row r="549" spans="1:34" ht="15.75" customHeight="1" x14ac:dyDescent="0.2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</row>
    <row r="550" spans="1:34" ht="15.75" customHeight="1" x14ac:dyDescent="0.2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</row>
    <row r="551" spans="1:34" ht="15.75" customHeight="1" x14ac:dyDescent="0.2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</row>
    <row r="552" spans="1:34" ht="15.75" customHeight="1" x14ac:dyDescent="0.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</row>
    <row r="553" spans="1:34" ht="15.75" customHeight="1" x14ac:dyDescent="0.2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</row>
    <row r="554" spans="1:34" ht="15.75" customHeight="1" x14ac:dyDescent="0.2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</row>
    <row r="555" spans="1:34" ht="15.75" customHeight="1" x14ac:dyDescent="0.2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</row>
    <row r="556" spans="1:34" ht="15.75" customHeight="1" x14ac:dyDescent="0.2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</row>
    <row r="557" spans="1:34" ht="15.75" customHeight="1" x14ac:dyDescent="0.2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</row>
    <row r="558" spans="1:34" ht="15.75" customHeight="1" x14ac:dyDescent="0.2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</row>
    <row r="559" spans="1:34" ht="15.75" customHeight="1" x14ac:dyDescent="0.2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</row>
    <row r="560" spans="1:34" ht="15.75" customHeight="1" x14ac:dyDescent="0.2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</row>
    <row r="561" spans="1:34" ht="15.75" customHeight="1" x14ac:dyDescent="0.2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</row>
    <row r="562" spans="1:34" ht="15.75" customHeight="1" x14ac:dyDescent="0.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</row>
    <row r="563" spans="1:34" ht="15.75" customHeight="1" x14ac:dyDescent="0.2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</row>
    <row r="564" spans="1:34" ht="15.75" customHeight="1" x14ac:dyDescent="0.2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</row>
    <row r="565" spans="1:34" ht="15.75" customHeight="1" x14ac:dyDescent="0.2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</row>
    <row r="566" spans="1:34" ht="15.75" customHeight="1" x14ac:dyDescent="0.2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</row>
    <row r="567" spans="1:34" ht="15.75" customHeight="1" x14ac:dyDescent="0.2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</row>
    <row r="568" spans="1:34" ht="15.75" customHeight="1" x14ac:dyDescent="0.2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</row>
    <row r="569" spans="1:34" ht="15.75" customHeight="1" x14ac:dyDescent="0.2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</row>
    <row r="570" spans="1:34" ht="15.75" customHeight="1" x14ac:dyDescent="0.2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</row>
    <row r="571" spans="1:34" ht="15.75" customHeight="1" x14ac:dyDescent="0.2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</row>
    <row r="572" spans="1:34" ht="15.75" customHeight="1" x14ac:dyDescent="0.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</row>
    <row r="573" spans="1:34" ht="15.75" customHeight="1" x14ac:dyDescent="0.2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</row>
    <row r="574" spans="1:34" ht="15.75" customHeight="1" x14ac:dyDescent="0.2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</row>
    <row r="575" spans="1:34" ht="15.75" customHeight="1" x14ac:dyDescent="0.2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</row>
    <row r="576" spans="1:34" ht="15.75" customHeight="1" x14ac:dyDescent="0.2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</row>
    <row r="577" spans="1:34" ht="15.75" customHeight="1" x14ac:dyDescent="0.2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</row>
    <row r="578" spans="1:34" ht="15.75" customHeight="1" x14ac:dyDescent="0.2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</row>
    <row r="579" spans="1:34" ht="15.75" customHeight="1" x14ac:dyDescent="0.2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</row>
    <row r="580" spans="1:34" ht="15.75" customHeight="1" x14ac:dyDescent="0.2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</row>
    <row r="581" spans="1:34" ht="15.75" customHeight="1" x14ac:dyDescent="0.2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</row>
    <row r="582" spans="1:34" ht="15.75" customHeight="1" x14ac:dyDescent="0.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</row>
    <row r="583" spans="1:34" ht="15.75" customHeight="1" x14ac:dyDescent="0.2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</row>
    <row r="584" spans="1:34" ht="15.75" customHeight="1" x14ac:dyDescent="0.2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</row>
    <row r="585" spans="1:34" ht="15.75" customHeight="1" x14ac:dyDescent="0.2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</row>
    <row r="586" spans="1:34" ht="15.75" customHeight="1" x14ac:dyDescent="0.2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</row>
    <row r="587" spans="1:34" ht="15.75" customHeight="1" x14ac:dyDescent="0.2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</row>
    <row r="588" spans="1:34" ht="15.75" customHeight="1" x14ac:dyDescent="0.2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</row>
    <row r="589" spans="1:34" ht="15.75" customHeight="1" x14ac:dyDescent="0.2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</row>
    <row r="590" spans="1:34" ht="15.75" customHeight="1" x14ac:dyDescent="0.2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</row>
    <row r="591" spans="1:34" ht="15.75" customHeight="1" x14ac:dyDescent="0.2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</row>
    <row r="592" spans="1:34" ht="15.75" customHeight="1" x14ac:dyDescent="0.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</row>
    <row r="593" spans="1:34" ht="15.75" customHeight="1" x14ac:dyDescent="0.2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</row>
    <row r="594" spans="1:34" ht="15.75" customHeight="1" x14ac:dyDescent="0.2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</row>
    <row r="595" spans="1:34" ht="15.75" customHeight="1" x14ac:dyDescent="0.2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</row>
    <row r="596" spans="1:34" ht="15.75" customHeight="1" x14ac:dyDescent="0.2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</row>
    <row r="597" spans="1:34" ht="15.75" customHeight="1" x14ac:dyDescent="0.2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</row>
    <row r="598" spans="1:34" ht="15.75" customHeight="1" x14ac:dyDescent="0.2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</row>
    <row r="599" spans="1:34" ht="15.75" customHeight="1" x14ac:dyDescent="0.2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</row>
    <row r="600" spans="1:34" ht="15.75" customHeight="1" x14ac:dyDescent="0.2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</row>
    <row r="601" spans="1:34" ht="15.75" customHeight="1" x14ac:dyDescent="0.2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</row>
    <row r="602" spans="1:34" ht="15.75" customHeight="1" x14ac:dyDescent="0.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</row>
    <row r="603" spans="1:34" ht="15.75" customHeight="1" x14ac:dyDescent="0.2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</row>
    <row r="604" spans="1:34" ht="15.75" customHeight="1" x14ac:dyDescent="0.2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</row>
    <row r="605" spans="1:34" ht="15.75" customHeight="1" x14ac:dyDescent="0.2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</row>
    <row r="606" spans="1:34" ht="15.75" customHeight="1" x14ac:dyDescent="0.2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</row>
    <row r="607" spans="1:34" ht="15.75" customHeight="1" x14ac:dyDescent="0.2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</row>
    <row r="608" spans="1:34" ht="15.75" customHeight="1" x14ac:dyDescent="0.2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</row>
    <row r="609" spans="1:34" ht="15.75" customHeight="1" x14ac:dyDescent="0.2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</row>
    <row r="610" spans="1:34" ht="15.75" customHeight="1" x14ac:dyDescent="0.2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</row>
    <row r="611" spans="1:34" ht="15.75" customHeight="1" x14ac:dyDescent="0.2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</row>
    <row r="612" spans="1:34" ht="15.75" customHeight="1" x14ac:dyDescent="0.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</row>
    <row r="613" spans="1:34" ht="15.75" customHeight="1" x14ac:dyDescent="0.2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</row>
    <row r="614" spans="1:34" ht="15.75" customHeight="1" x14ac:dyDescent="0.2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</row>
    <row r="615" spans="1:34" ht="15.75" customHeight="1" x14ac:dyDescent="0.2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</row>
    <row r="616" spans="1:34" ht="15.75" customHeight="1" x14ac:dyDescent="0.2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</row>
    <row r="617" spans="1:34" ht="15.75" customHeight="1" x14ac:dyDescent="0.2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</row>
    <row r="618" spans="1:34" ht="15.75" customHeight="1" x14ac:dyDescent="0.2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</row>
    <row r="619" spans="1:34" ht="15.75" customHeight="1" x14ac:dyDescent="0.2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</row>
    <row r="620" spans="1:34" ht="15.75" customHeight="1" x14ac:dyDescent="0.2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</row>
    <row r="621" spans="1:34" ht="15.75" customHeight="1" x14ac:dyDescent="0.2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</row>
    <row r="622" spans="1:34" ht="15.75" customHeight="1" x14ac:dyDescent="0.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</row>
    <row r="623" spans="1:34" ht="15.75" customHeight="1" x14ac:dyDescent="0.2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</row>
    <row r="624" spans="1:34" ht="15.75" customHeight="1" x14ac:dyDescent="0.2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</row>
    <row r="625" spans="1:34" ht="15.75" customHeight="1" x14ac:dyDescent="0.2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</row>
    <row r="626" spans="1:34" ht="15.75" customHeight="1" x14ac:dyDescent="0.2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</row>
    <row r="627" spans="1:34" ht="15.75" customHeight="1" x14ac:dyDescent="0.2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</row>
    <row r="628" spans="1:34" ht="15.75" customHeight="1" x14ac:dyDescent="0.2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</row>
    <row r="629" spans="1:34" ht="15.75" customHeight="1" x14ac:dyDescent="0.2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</row>
    <row r="630" spans="1:34" ht="15.75" customHeight="1" x14ac:dyDescent="0.2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</row>
    <row r="631" spans="1:34" ht="15.75" customHeight="1" x14ac:dyDescent="0.2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</row>
    <row r="632" spans="1:34" ht="15.75" customHeight="1" x14ac:dyDescent="0.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</row>
    <row r="633" spans="1:34" ht="15.75" customHeight="1" x14ac:dyDescent="0.2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</row>
    <row r="634" spans="1:34" ht="15.75" customHeight="1" x14ac:dyDescent="0.2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</row>
    <row r="635" spans="1:34" ht="15.75" customHeight="1" x14ac:dyDescent="0.2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</row>
    <row r="636" spans="1:34" ht="15.75" customHeight="1" x14ac:dyDescent="0.2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</row>
    <row r="637" spans="1:34" ht="15.75" customHeight="1" x14ac:dyDescent="0.2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</row>
    <row r="638" spans="1:34" ht="15.75" customHeight="1" x14ac:dyDescent="0.2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</row>
    <row r="639" spans="1:34" ht="15.75" customHeight="1" x14ac:dyDescent="0.2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</row>
    <row r="640" spans="1:34" ht="15.75" customHeight="1" x14ac:dyDescent="0.2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</row>
    <row r="641" spans="1:34" ht="15.75" customHeight="1" x14ac:dyDescent="0.2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</row>
    <row r="642" spans="1:34" ht="15.75" customHeight="1" x14ac:dyDescent="0.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</row>
    <row r="643" spans="1:34" ht="15.75" customHeight="1" x14ac:dyDescent="0.2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</row>
    <row r="644" spans="1:34" ht="15.75" customHeight="1" x14ac:dyDescent="0.2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</row>
    <row r="645" spans="1:34" ht="15.75" customHeight="1" x14ac:dyDescent="0.2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</row>
    <row r="646" spans="1:34" ht="15.75" customHeight="1" x14ac:dyDescent="0.2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</row>
    <row r="647" spans="1:34" ht="15.75" customHeight="1" x14ac:dyDescent="0.2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</row>
    <row r="648" spans="1:34" ht="15.75" customHeight="1" x14ac:dyDescent="0.2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</row>
    <row r="649" spans="1:34" ht="15.75" customHeight="1" x14ac:dyDescent="0.2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</row>
    <row r="650" spans="1:34" ht="15.75" customHeight="1" x14ac:dyDescent="0.2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</row>
    <row r="651" spans="1:34" ht="15.75" customHeight="1" x14ac:dyDescent="0.2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</row>
    <row r="652" spans="1:34" ht="15.75" customHeight="1" x14ac:dyDescent="0.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</row>
    <row r="653" spans="1:34" ht="15.75" customHeight="1" x14ac:dyDescent="0.2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</row>
    <row r="654" spans="1:34" ht="15.75" customHeight="1" x14ac:dyDescent="0.2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</row>
    <row r="655" spans="1:34" ht="15.75" customHeight="1" x14ac:dyDescent="0.2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</row>
    <row r="656" spans="1:34" ht="15.75" customHeight="1" x14ac:dyDescent="0.2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</row>
    <row r="657" spans="1:34" ht="15.75" customHeight="1" x14ac:dyDescent="0.2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</row>
    <row r="658" spans="1:34" ht="15.75" customHeight="1" x14ac:dyDescent="0.2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</row>
    <row r="659" spans="1:34" ht="15.75" customHeight="1" x14ac:dyDescent="0.2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</row>
    <row r="660" spans="1:34" ht="15.75" customHeight="1" x14ac:dyDescent="0.2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</row>
    <row r="661" spans="1:34" ht="15.75" customHeight="1" x14ac:dyDescent="0.2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</row>
    <row r="662" spans="1:34" ht="15.75" customHeight="1" x14ac:dyDescent="0.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</row>
    <row r="663" spans="1:34" ht="15.75" customHeight="1" x14ac:dyDescent="0.2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</row>
    <row r="664" spans="1:34" ht="15.75" customHeight="1" x14ac:dyDescent="0.2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</row>
    <row r="665" spans="1:34" ht="15.75" customHeight="1" x14ac:dyDescent="0.2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</row>
    <row r="666" spans="1:34" ht="15.75" customHeight="1" x14ac:dyDescent="0.2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</row>
    <row r="667" spans="1:34" ht="15.75" customHeight="1" x14ac:dyDescent="0.2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</row>
    <row r="668" spans="1:34" ht="15.75" customHeight="1" x14ac:dyDescent="0.2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</row>
    <row r="669" spans="1:34" ht="15.75" customHeight="1" x14ac:dyDescent="0.2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</row>
    <row r="670" spans="1:34" ht="15.75" customHeight="1" x14ac:dyDescent="0.2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</row>
    <row r="671" spans="1:34" ht="15.75" customHeight="1" x14ac:dyDescent="0.2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</row>
    <row r="672" spans="1:34" ht="15.75" customHeight="1" x14ac:dyDescent="0.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</row>
    <row r="673" spans="1:34" ht="15.75" customHeight="1" x14ac:dyDescent="0.2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</row>
    <row r="674" spans="1:34" ht="15.75" customHeight="1" x14ac:dyDescent="0.2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</row>
    <row r="675" spans="1:34" ht="15.75" customHeight="1" x14ac:dyDescent="0.2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</row>
    <row r="676" spans="1:34" ht="15.75" customHeight="1" x14ac:dyDescent="0.2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</row>
    <row r="677" spans="1:34" ht="15.75" customHeight="1" x14ac:dyDescent="0.2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</row>
    <row r="678" spans="1:34" ht="15.75" customHeight="1" x14ac:dyDescent="0.2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</row>
    <row r="679" spans="1:34" ht="15.75" customHeight="1" x14ac:dyDescent="0.2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</row>
    <row r="680" spans="1:34" ht="15.75" customHeight="1" x14ac:dyDescent="0.2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</row>
    <row r="681" spans="1:34" ht="15.75" customHeight="1" x14ac:dyDescent="0.2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</row>
    <row r="682" spans="1:34" ht="15.75" customHeight="1" x14ac:dyDescent="0.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</row>
    <row r="683" spans="1:34" ht="15.75" customHeight="1" x14ac:dyDescent="0.2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</row>
    <row r="684" spans="1:34" ht="15.75" customHeight="1" x14ac:dyDescent="0.2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</row>
    <row r="685" spans="1:34" ht="15.75" customHeight="1" x14ac:dyDescent="0.2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</row>
    <row r="686" spans="1:34" ht="15.75" customHeight="1" x14ac:dyDescent="0.2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</row>
    <row r="687" spans="1:34" ht="15.75" customHeight="1" x14ac:dyDescent="0.2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</row>
    <row r="688" spans="1:34" ht="15.75" customHeight="1" x14ac:dyDescent="0.2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</row>
    <row r="689" spans="1:34" ht="15.75" customHeight="1" x14ac:dyDescent="0.2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</row>
    <row r="690" spans="1:34" ht="15.75" customHeight="1" x14ac:dyDescent="0.2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</row>
    <row r="691" spans="1:34" ht="15.75" customHeight="1" x14ac:dyDescent="0.2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</row>
    <row r="692" spans="1:34" ht="15.75" customHeight="1" x14ac:dyDescent="0.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</row>
    <row r="693" spans="1:34" ht="15.75" customHeight="1" x14ac:dyDescent="0.2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</row>
    <row r="694" spans="1:34" ht="15.75" customHeight="1" x14ac:dyDescent="0.2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</row>
    <row r="695" spans="1:34" ht="15.75" customHeight="1" x14ac:dyDescent="0.2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</row>
    <row r="696" spans="1:34" ht="15.75" customHeight="1" x14ac:dyDescent="0.2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</row>
    <row r="697" spans="1:34" ht="15.75" customHeight="1" x14ac:dyDescent="0.2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</row>
    <row r="698" spans="1:34" ht="15.75" customHeight="1" x14ac:dyDescent="0.2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</row>
    <row r="699" spans="1:34" ht="15.75" customHeight="1" x14ac:dyDescent="0.2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</row>
    <row r="700" spans="1:34" ht="15.75" customHeight="1" x14ac:dyDescent="0.2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</row>
    <row r="701" spans="1:34" ht="15.75" customHeight="1" x14ac:dyDescent="0.2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</row>
    <row r="702" spans="1:34" ht="15.75" customHeight="1" x14ac:dyDescent="0.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</row>
    <row r="703" spans="1:34" ht="15.75" customHeight="1" x14ac:dyDescent="0.2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</row>
    <row r="704" spans="1:34" ht="15.75" customHeight="1" x14ac:dyDescent="0.2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</row>
    <row r="705" spans="1:34" ht="15.75" customHeight="1" x14ac:dyDescent="0.2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</row>
    <row r="706" spans="1:34" ht="15.75" customHeight="1" x14ac:dyDescent="0.2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</row>
    <row r="707" spans="1:34" ht="15.75" customHeight="1" x14ac:dyDescent="0.2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</row>
    <row r="708" spans="1:34" ht="15.75" customHeight="1" x14ac:dyDescent="0.2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</row>
    <row r="709" spans="1:34" ht="15.75" customHeight="1" x14ac:dyDescent="0.2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</row>
    <row r="710" spans="1:34" ht="15.75" customHeight="1" x14ac:dyDescent="0.2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</row>
    <row r="711" spans="1:34" ht="15.75" customHeight="1" x14ac:dyDescent="0.2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</row>
    <row r="712" spans="1:34" ht="15.75" customHeight="1" x14ac:dyDescent="0.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</row>
    <row r="713" spans="1:34" ht="15.75" customHeight="1" x14ac:dyDescent="0.2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</row>
    <row r="714" spans="1:34" ht="15.75" customHeight="1" x14ac:dyDescent="0.2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</row>
    <row r="715" spans="1:34" ht="15.75" customHeight="1" x14ac:dyDescent="0.2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</row>
    <row r="716" spans="1:34" ht="15.75" customHeight="1" x14ac:dyDescent="0.2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</row>
    <row r="717" spans="1:34" ht="15.75" customHeight="1" x14ac:dyDescent="0.2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</row>
    <row r="718" spans="1:34" ht="15.75" customHeight="1" x14ac:dyDescent="0.2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</row>
    <row r="719" spans="1:34" ht="15.75" customHeight="1" x14ac:dyDescent="0.2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</row>
    <row r="720" spans="1:34" ht="15.75" customHeight="1" x14ac:dyDescent="0.2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</row>
    <row r="721" spans="1:34" ht="15.75" customHeight="1" x14ac:dyDescent="0.2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</row>
    <row r="722" spans="1:34" ht="15.75" customHeight="1" x14ac:dyDescent="0.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</row>
    <row r="723" spans="1:34" ht="15.75" customHeight="1" x14ac:dyDescent="0.2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</row>
    <row r="724" spans="1:34" ht="15.75" customHeight="1" x14ac:dyDescent="0.2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</row>
    <row r="725" spans="1:34" ht="15.75" customHeight="1" x14ac:dyDescent="0.2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</row>
    <row r="726" spans="1:34" ht="15.75" customHeight="1" x14ac:dyDescent="0.2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</row>
    <row r="727" spans="1:34" ht="15.75" customHeight="1" x14ac:dyDescent="0.2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</row>
    <row r="728" spans="1:34" ht="15.75" customHeight="1" x14ac:dyDescent="0.2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</row>
    <row r="729" spans="1:34" ht="15.75" customHeight="1" x14ac:dyDescent="0.2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</row>
    <row r="730" spans="1:34" ht="15.75" customHeight="1" x14ac:dyDescent="0.2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</row>
    <row r="731" spans="1:34" ht="15.75" customHeight="1" x14ac:dyDescent="0.2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</row>
    <row r="732" spans="1:34" ht="15.75" customHeight="1" x14ac:dyDescent="0.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</row>
    <row r="733" spans="1:34" ht="15.75" customHeight="1" x14ac:dyDescent="0.2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</row>
    <row r="734" spans="1:34" ht="15.75" customHeight="1" x14ac:dyDescent="0.2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</row>
    <row r="735" spans="1:34" ht="15.75" customHeight="1" x14ac:dyDescent="0.2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</row>
    <row r="736" spans="1:34" ht="15.75" customHeight="1" x14ac:dyDescent="0.2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</row>
    <row r="737" spans="1:34" ht="15.75" customHeight="1" x14ac:dyDescent="0.2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</row>
    <row r="738" spans="1:34" ht="15.75" customHeight="1" x14ac:dyDescent="0.2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</row>
    <row r="739" spans="1:34" ht="15.75" customHeight="1" x14ac:dyDescent="0.2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</row>
    <row r="740" spans="1:34" ht="15.75" customHeight="1" x14ac:dyDescent="0.2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</row>
    <row r="741" spans="1:34" ht="15.75" customHeight="1" x14ac:dyDescent="0.2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</row>
    <row r="742" spans="1:34" ht="15.75" customHeight="1" x14ac:dyDescent="0.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</row>
    <row r="743" spans="1:34" ht="15.75" customHeight="1" x14ac:dyDescent="0.2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</row>
    <row r="744" spans="1:34" ht="15.75" customHeight="1" x14ac:dyDescent="0.2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</row>
    <row r="745" spans="1:34" ht="15.75" customHeight="1" x14ac:dyDescent="0.2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</row>
    <row r="746" spans="1:34" ht="15.75" customHeight="1" x14ac:dyDescent="0.2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</row>
    <row r="747" spans="1:34" ht="15.75" customHeight="1" x14ac:dyDescent="0.2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</row>
    <row r="748" spans="1:34" ht="15.75" customHeight="1" x14ac:dyDescent="0.2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</row>
    <row r="749" spans="1:34" ht="15.75" customHeight="1" x14ac:dyDescent="0.2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</row>
    <row r="750" spans="1:34" ht="15.75" customHeight="1" x14ac:dyDescent="0.2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</row>
    <row r="751" spans="1:34" ht="15.75" customHeight="1" x14ac:dyDescent="0.2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</row>
    <row r="752" spans="1:34" ht="15.75" customHeight="1" x14ac:dyDescent="0.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</row>
    <row r="753" spans="1:34" ht="15.75" customHeight="1" x14ac:dyDescent="0.2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</row>
    <row r="754" spans="1:34" ht="15.75" customHeight="1" x14ac:dyDescent="0.2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</row>
    <row r="755" spans="1:34" ht="15.75" customHeight="1" x14ac:dyDescent="0.2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</row>
    <row r="756" spans="1:34" ht="15.75" customHeight="1" x14ac:dyDescent="0.2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</row>
    <row r="757" spans="1:34" ht="15.75" customHeight="1" x14ac:dyDescent="0.2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</row>
    <row r="758" spans="1:34" ht="15.75" customHeight="1" x14ac:dyDescent="0.2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</row>
    <row r="759" spans="1:34" ht="15.75" customHeight="1" x14ac:dyDescent="0.2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</row>
    <row r="760" spans="1:34" ht="15.75" customHeight="1" x14ac:dyDescent="0.2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</row>
    <row r="761" spans="1:34" ht="15.75" customHeight="1" x14ac:dyDescent="0.2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</row>
    <row r="762" spans="1:34" ht="15.75" customHeight="1" x14ac:dyDescent="0.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</row>
    <row r="763" spans="1:34" ht="15.75" customHeight="1" x14ac:dyDescent="0.2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</row>
    <row r="764" spans="1:34" ht="15.75" customHeight="1" x14ac:dyDescent="0.2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</row>
    <row r="765" spans="1:34" ht="15.75" customHeight="1" x14ac:dyDescent="0.2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</row>
    <row r="766" spans="1:34" ht="15.75" customHeight="1" x14ac:dyDescent="0.2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</row>
    <row r="767" spans="1:34" ht="15.75" customHeight="1" x14ac:dyDescent="0.2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</row>
    <row r="768" spans="1:34" ht="15.75" customHeight="1" x14ac:dyDescent="0.2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</row>
    <row r="769" spans="1:34" ht="15.75" customHeight="1" x14ac:dyDescent="0.2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</row>
    <row r="770" spans="1:34" ht="15.75" customHeight="1" x14ac:dyDescent="0.2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</row>
    <row r="771" spans="1:34" ht="15.75" customHeight="1" x14ac:dyDescent="0.2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</row>
    <row r="772" spans="1:34" ht="15.75" customHeight="1" x14ac:dyDescent="0.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</row>
    <row r="773" spans="1:34" ht="15.75" customHeight="1" x14ac:dyDescent="0.2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</row>
    <row r="774" spans="1:34" ht="15.75" customHeight="1" x14ac:dyDescent="0.2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</row>
    <row r="775" spans="1:34" ht="15.75" customHeight="1" x14ac:dyDescent="0.2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</row>
    <row r="776" spans="1:34" ht="15.75" customHeight="1" x14ac:dyDescent="0.2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</row>
    <row r="777" spans="1:34" ht="15.75" customHeight="1" x14ac:dyDescent="0.2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</row>
    <row r="778" spans="1:34" ht="15.75" customHeight="1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</row>
    <row r="779" spans="1:34" ht="15.75" customHeight="1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</row>
    <row r="780" spans="1:34" ht="15.75" customHeight="1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</row>
    <row r="781" spans="1:34" ht="15.75" customHeight="1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</row>
    <row r="782" spans="1:34" ht="15.75" customHeight="1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</row>
    <row r="783" spans="1:34" ht="15.75" customHeight="1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</row>
    <row r="784" spans="1:34" ht="15.75" customHeight="1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</row>
    <row r="785" spans="1:34" ht="15.75" customHeight="1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</row>
    <row r="786" spans="1:34" ht="15.75" customHeight="1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</row>
    <row r="787" spans="1:34" ht="15.75" customHeight="1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</row>
    <row r="788" spans="1:34" ht="15.75" customHeight="1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</row>
    <row r="789" spans="1:34" ht="15.75" customHeight="1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</row>
    <row r="790" spans="1:34" ht="15.75" customHeight="1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</row>
    <row r="791" spans="1:34" ht="15.75" customHeight="1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</row>
    <row r="792" spans="1:34" ht="15.75" customHeight="1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</row>
    <row r="793" spans="1:34" ht="15.75" customHeight="1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</row>
    <row r="794" spans="1:34" ht="15.75" customHeight="1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</row>
    <row r="795" spans="1:34" ht="15.75" customHeight="1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</row>
    <row r="796" spans="1:34" ht="15.75" customHeight="1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</row>
    <row r="797" spans="1:34" ht="15.75" customHeight="1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</row>
    <row r="798" spans="1:34" ht="15.75" customHeight="1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</row>
    <row r="799" spans="1:34" ht="15.75" customHeight="1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</row>
    <row r="800" spans="1:34" ht="15.75" customHeight="1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</row>
    <row r="801" spans="1:34" ht="15.75" customHeight="1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</row>
    <row r="802" spans="1:34" ht="15.75" customHeight="1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</row>
    <row r="803" spans="1:34" ht="15.75" customHeight="1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</row>
    <row r="804" spans="1:34" ht="15.75" customHeight="1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</row>
    <row r="805" spans="1:34" ht="15.75" customHeight="1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</row>
    <row r="806" spans="1:34" ht="15" customHeight="1" x14ac:dyDescent="0.2"/>
    <row r="807" spans="1:34" ht="15" customHeight="1" x14ac:dyDescent="0.2"/>
    <row r="808" spans="1:34" ht="15" customHeight="1" x14ac:dyDescent="0.2"/>
    <row r="809" spans="1:34" ht="15" customHeight="1" x14ac:dyDescent="0.2"/>
    <row r="810" spans="1:34" ht="15" customHeight="1" x14ac:dyDescent="0.2"/>
    <row r="811" spans="1:34" ht="15" customHeight="1" x14ac:dyDescent="0.2"/>
    <row r="812" spans="1:34" ht="15" customHeight="1" x14ac:dyDescent="0.2"/>
    <row r="813" spans="1:34" ht="15" customHeight="1" x14ac:dyDescent="0.2"/>
    <row r="814" spans="1:34" ht="15" customHeight="1" x14ac:dyDescent="0.2"/>
    <row r="815" spans="1:34" ht="15" customHeight="1" x14ac:dyDescent="0.2"/>
    <row r="816" spans="1:34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</sheetData>
  <sortState xmlns:xlrd2="http://schemas.microsoft.com/office/spreadsheetml/2017/richdata2" ref="A3:B19">
    <sortCondition ref="B3:B19"/>
  </sortState>
  <mergeCells count="10">
    <mergeCell ref="AG1:AI1"/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phoneticPr fontId="19" type="noConversion"/>
  <conditionalFormatting sqref="F3:F18">
    <cfRule type="cellIs" dxfId="794" priority="556" operator="lessThan">
      <formula>6.9</formula>
    </cfRule>
    <cfRule type="cellIs" dxfId="793" priority="557" operator="lessThan">
      <formula>7.4</formula>
    </cfRule>
  </conditionalFormatting>
  <conditionalFormatting sqref="F3:H19">
    <cfRule type="cellIs" dxfId="792" priority="563" operator="lessThan">
      <formula>7.9</formula>
    </cfRule>
  </conditionalFormatting>
  <conditionalFormatting sqref="F19:H19">
    <cfRule type="cellIs" dxfId="791" priority="555" operator="lessThan">
      <formula>7.4</formula>
    </cfRule>
  </conditionalFormatting>
  <conditionalFormatting sqref="F3:AI19">
    <cfRule type="cellIs" dxfId="790" priority="7" operator="lessThan">
      <formula>7.9</formula>
    </cfRule>
  </conditionalFormatting>
  <conditionalFormatting sqref="G3:H16 H17:H19">
    <cfRule type="cellIs" dxfId="789" priority="579" operator="lessThan">
      <formula>6.9</formula>
    </cfRule>
    <cfRule type="cellIs" dxfId="788" priority="580" operator="lessThan">
      <formula>7.4</formula>
    </cfRule>
  </conditionalFormatting>
  <conditionalFormatting sqref="H3:H19">
    <cfRule type="cellIs" dxfId="787" priority="527" operator="lessThan">
      <formula>6.9</formula>
    </cfRule>
    <cfRule type="cellIs" dxfId="786" priority="528" operator="lessThan">
      <formula>7.4</formula>
    </cfRule>
    <cfRule type="cellIs" dxfId="785" priority="529" operator="lessThan">
      <formula>7.9</formula>
    </cfRule>
    <cfRule type="cellIs" dxfId="784" priority="530" operator="lessThan">
      <formula>6.9</formula>
    </cfRule>
    <cfRule type="cellIs" dxfId="783" priority="531" operator="lessThan">
      <formula>7.9</formula>
    </cfRule>
    <cfRule type="cellIs" dxfId="782" priority="532" operator="lessThan">
      <formula>7.4</formula>
    </cfRule>
    <cfRule type="cellIs" dxfId="781" priority="533" operator="lessThan">
      <formula>6.9</formula>
    </cfRule>
    <cfRule type="cellIs" dxfId="780" priority="535" operator="lessThan">
      <formula>7.9</formula>
    </cfRule>
    <cfRule type="cellIs" dxfId="779" priority="536" operator="lessThan">
      <formula>6.9</formula>
    </cfRule>
  </conditionalFormatting>
  <conditionalFormatting sqref="H4:H19">
    <cfRule type="cellIs" dxfId="778" priority="578" operator="lessThan">
      <formula>7.9</formula>
    </cfRule>
  </conditionalFormatting>
  <conditionalFormatting sqref="H3:I19">
    <cfRule type="cellIs" dxfId="777" priority="534" operator="lessThan">
      <formula>7.4</formula>
    </cfRule>
  </conditionalFormatting>
  <conditionalFormatting sqref="I3:I16">
    <cfRule type="cellIs" dxfId="776" priority="560" operator="lessThan">
      <formula>7.9</formula>
    </cfRule>
    <cfRule type="cellIs" dxfId="775" priority="561" operator="lessThan">
      <formula>7.4</formula>
    </cfRule>
    <cfRule type="cellIs" dxfId="774" priority="562" operator="lessThan">
      <formula>6.9</formula>
    </cfRule>
  </conditionalFormatting>
  <conditionalFormatting sqref="I12:I18">
    <cfRule type="cellIs" dxfId="773" priority="559" operator="lessThan">
      <formula>6.9</formula>
    </cfRule>
  </conditionalFormatting>
  <conditionalFormatting sqref="I17:I19">
    <cfRule type="cellIs" dxfId="772" priority="558" operator="lessThan">
      <formula>7.9</formula>
    </cfRule>
  </conditionalFormatting>
  <conditionalFormatting sqref="K3:K19">
    <cfRule type="cellIs" dxfId="771" priority="513" operator="lessThan">
      <formula>6.9</formula>
    </cfRule>
    <cfRule type="cellIs" dxfId="770" priority="514" operator="lessThan">
      <formula>7.4</formula>
    </cfRule>
    <cfRule type="cellIs" dxfId="769" priority="515" operator="lessThan">
      <formula>7.9</formula>
    </cfRule>
    <cfRule type="cellIs" dxfId="768" priority="516" operator="lessThan">
      <formula>6.9</formula>
    </cfRule>
    <cfRule type="cellIs" dxfId="767" priority="517" operator="lessThan">
      <formula>7.9</formula>
    </cfRule>
    <cfRule type="cellIs" dxfId="766" priority="518" operator="lessThan">
      <formula>7.4</formula>
    </cfRule>
    <cfRule type="cellIs" dxfId="765" priority="519" operator="lessThan">
      <formula>6.9</formula>
    </cfRule>
    <cfRule type="cellIs" dxfId="764" priority="520" operator="lessThan">
      <formula>7.4</formula>
    </cfRule>
    <cfRule type="cellIs" dxfId="763" priority="521" operator="lessThan">
      <formula>7.9</formula>
    </cfRule>
    <cfRule type="cellIs" dxfId="762" priority="522" operator="lessThan">
      <formula>6.9</formula>
    </cfRule>
    <cfRule type="cellIs" dxfId="761" priority="523" operator="lessThan">
      <formula>7.9</formula>
    </cfRule>
    <cfRule type="cellIs" dxfId="760" priority="524" operator="lessThan">
      <formula>6.9</formula>
    </cfRule>
    <cfRule type="cellIs" dxfId="759" priority="525" operator="lessThan">
      <formula>7.4</formula>
    </cfRule>
  </conditionalFormatting>
  <conditionalFormatting sqref="K3:U19">
    <cfRule type="cellIs" dxfId="758" priority="526" operator="lessThan">
      <formula>7.9</formula>
    </cfRule>
  </conditionalFormatting>
  <conditionalFormatting sqref="L3:L18">
    <cfRule type="cellIs" dxfId="757" priority="553" operator="lessThan">
      <formula>6.9</formula>
    </cfRule>
    <cfRule type="cellIs" dxfId="756" priority="554" operator="lessThan">
      <formula>7.4</formula>
    </cfRule>
  </conditionalFormatting>
  <conditionalFormatting sqref="L19:Q19">
    <cfRule type="cellIs" dxfId="755" priority="550" operator="lessThan">
      <formula>7.4</formula>
    </cfRule>
  </conditionalFormatting>
  <conditionalFormatting sqref="M3:N16 N17:N19">
    <cfRule type="cellIs" dxfId="754" priority="573" operator="lessThan">
      <formula>6.9</formula>
    </cfRule>
    <cfRule type="cellIs" dxfId="753" priority="574" operator="lessThan">
      <formula>7.4</formula>
    </cfRule>
  </conditionalFormatting>
  <conditionalFormatting sqref="N3:N19">
    <cfRule type="cellIs" dxfId="752" priority="499" operator="lessThan">
      <formula>6.9</formula>
    </cfRule>
    <cfRule type="cellIs" dxfId="751" priority="500" operator="lessThan">
      <formula>7.4</formula>
    </cfRule>
    <cfRule type="cellIs" dxfId="750" priority="501" operator="lessThan">
      <formula>7.9</formula>
    </cfRule>
    <cfRule type="cellIs" dxfId="749" priority="502" operator="lessThan">
      <formula>6.9</formula>
    </cfRule>
    <cfRule type="cellIs" dxfId="748" priority="503" operator="lessThan">
      <formula>7.9</formula>
    </cfRule>
    <cfRule type="cellIs" dxfId="747" priority="504" operator="lessThan">
      <formula>7.4</formula>
    </cfRule>
    <cfRule type="cellIs" dxfId="746" priority="505" operator="lessThan">
      <formula>6.9</formula>
    </cfRule>
    <cfRule type="cellIs" dxfId="745" priority="506" operator="lessThan">
      <formula>7.4</formula>
    </cfRule>
    <cfRule type="cellIs" dxfId="744" priority="507" operator="lessThan">
      <formula>7.9</formula>
    </cfRule>
    <cfRule type="cellIs" dxfId="743" priority="508" operator="lessThan">
      <formula>6.9</formula>
    </cfRule>
    <cfRule type="cellIs" dxfId="742" priority="509" operator="lessThan">
      <formula>7.9</formula>
    </cfRule>
    <cfRule type="cellIs" dxfId="741" priority="510" operator="lessThan">
      <formula>6.9</formula>
    </cfRule>
    <cfRule type="cellIs" dxfId="740" priority="511" operator="lessThan">
      <formula>7.4</formula>
    </cfRule>
    <cfRule type="cellIs" dxfId="739" priority="512" operator="lessThan">
      <formula>7.9</formula>
    </cfRule>
  </conditionalFormatting>
  <conditionalFormatting sqref="N4:N19">
    <cfRule type="cellIs" dxfId="738" priority="572" operator="lessThan">
      <formula>7.9</formula>
    </cfRule>
  </conditionalFormatting>
  <conditionalFormatting sqref="O3:O18">
    <cfRule type="cellIs" dxfId="737" priority="551" operator="lessThan">
      <formula>6.9</formula>
    </cfRule>
    <cfRule type="cellIs" dxfId="736" priority="552" operator="lessThan">
      <formula>7.4</formula>
    </cfRule>
  </conditionalFormatting>
  <conditionalFormatting sqref="P3:Q16 Q17:Q19">
    <cfRule type="cellIs" dxfId="735" priority="576" operator="lessThan">
      <formula>6.9</formula>
    </cfRule>
    <cfRule type="cellIs" dxfId="734" priority="577" operator="lessThan">
      <formula>7.4</formula>
    </cfRule>
  </conditionalFormatting>
  <conditionalFormatting sqref="Q3:Q19">
    <cfRule type="cellIs" dxfId="733" priority="399" operator="lessThan">
      <formula>6.9</formula>
    </cfRule>
    <cfRule type="cellIs" dxfId="732" priority="400" operator="lessThan">
      <formula>7.4</formula>
    </cfRule>
    <cfRule type="cellIs" dxfId="731" priority="401" operator="lessThan">
      <formula>7.9</formula>
    </cfRule>
    <cfRule type="cellIs" dxfId="730" priority="402" operator="lessThan">
      <formula>6.9</formula>
    </cfRule>
    <cfRule type="cellIs" dxfId="729" priority="403" operator="lessThan">
      <formula>7.9</formula>
    </cfRule>
    <cfRule type="cellIs" dxfId="728" priority="404" operator="lessThan">
      <formula>7.4</formula>
    </cfRule>
    <cfRule type="cellIs" dxfId="727" priority="405" operator="lessThan">
      <formula>6.9</formula>
    </cfRule>
    <cfRule type="cellIs" dxfId="726" priority="406" operator="lessThan">
      <formula>7.4</formula>
    </cfRule>
    <cfRule type="cellIs" dxfId="725" priority="407" operator="lessThan">
      <formula>7.9</formula>
    </cfRule>
    <cfRule type="cellIs" dxfId="724" priority="408" operator="lessThan">
      <formula>6.9</formula>
    </cfRule>
    <cfRule type="cellIs" dxfId="723" priority="409" operator="lessThan">
      <formula>7.9</formula>
    </cfRule>
    <cfRule type="cellIs" dxfId="722" priority="410" operator="lessThan">
      <formula>6.9</formula>
    </cfRule>
    <cfRule type="cellIs" dxfId="721" priority="411" operator="lessThan">
      <formula>7.4</formula>
    </cfRule>
    <cfRule type="cellIs" dxfId="720" priority="412" operator="lessThan">
      <formula>7.9</formula>
    </cfRule>
    <cfRule type="cellIs" dxfId="719" priority="413" operator="lessThan">
      <formula>6.9</formula>
    </cfRule>
    <cfRule type="cellIs" dxfId="718" priority="414" operator="lessThan">
      <formula>7.4</formula>
    </cfRule>
    <cfRule type="cellIs" dxfId="717" priority="483" operator="lessThan">
      <formula>6.9</formula>
    </cfRule>
    <cfRule type="cellIs" dxfId="716" priority="484" operator="lessThan">
      <formula>7.4</formula>
    </cfRule>
    <cfRule type="cellIs" dxfId="715" priority="485" operator="lessThan">
      <formula>7.9</formula>
    </cfRule>
    <cfRule type="cellIs" dxfId="714" priority="486" operator="lessThan">
      <formula>6.9</formula>
    </cfRule>
    <cfRule type="cellIs" dxfId="713" priority="487" operator="lessThan">
      <formula>7.9</formula>
    </cfRule>
    <cfRule type="cellIs" dxfId="712" priority="488" operator="lessThan">
      <formula>7.4</formula>
    </cfRule>
    <cfRule type="cellIs" dxfId="711" priority="489" operator="lessThan">
      <formula>6.9</formula>
    </cfRule>
    <cfRule type="cellIs" dxfId="710" priority="490" operator="lessThan">
      <formula>7.4</formula>
    </cfRule>
    <cfRule type="cellIs" dxfId="709" priority="491" operator="lessThan">
      <formula>7.9</formula>
    </cfRule>
    <cfRule type="cellIs" dxfId="708" priority="492" operator="lessThan">
      <formula>6.9</formula>
    </cfRule>
    <cfRule type="cellIs" dxfId="707" priority="493" operator="lessThan">
      <formula>7.9</formula>
    </cfRule>
    <cfRule type="cellIs" dxfId="706" priority="494" operator="lessThan">
      <formula>6.9</formula>
    </cfRule>
    <cfRule type="cellIs" dxfId="705" priority="495" operator="lessThan">
      <formula>7.4</formula>
    </cfRule>
    <cfRule type="cellIs" dxfId="704" priority="496" operator="lessThan">
      <formula>7.9</formula>
    </cfRule>
  </conditionalFormatting>
  <conditionalFormatting sqref="Q4:Q19">
    <cfRule type="cellIs" dxfId="703" priority="575" operator="lessThan">
      <formula>7.9</formula>
    </cfRule>
  </conditionalFormatting>
  <conditionalFormatting sqref="Q3:R19">
    <cfRule type="cellIs" dxfId="702" priority="497" operator="lessThan">
      <formula>6.9</formula>
    </cfRule>
    <cfRule type="cellIs" dxfId="701" priority="498" operator="lessThan">
      <formula>7.4</formula>
    </cfRule>
  </conditionalFormatting>
  <conditionalFormatting sqref="S3:T3 T4:T19">
    <cfRule type="cellIs" dxfId="700" priority="584" operator="lessThan">
      <formula>6.9</formula>
    </cfRule>
    <cfRule type="cellIs" dxfId="699" priority="585" operator="lessThan">
      <formula>7.4</formula>
    </cfRule>
    <cfRule type="cellIs" dxfId="698" priority="586" operator="lessThan">
      <formula>7.9</formula>
    </cfRule>
  </conditionalFormatting>
  <conditionalFormatting sqref="S3:T19">
    <cfRule type="cellIs" dxfId="697" priority="566" operator="lessThan">
      <formula>6.9</formula>
    </cfRule>
    <cfRule type="cellIs" dxfId="696" priority="567" operator="lessThan">
      <formula>7.4</formula>
    </cfRule>
    <cfRule type="cellIs" dxfId="695" priority="592" operator="lessThan">
      <formula>7.9</formula>
    </cfRule>
  </conditionalFormatting>
  <conditionalFormatting sqref="S4:T19">
    <cfRule type="cellIs" dxfId="694" priority="590" operator="lessThan">
      <formula>6.9</formula>
    </cfRule>
    <cfRule type="cellIs" dxfId="693" priority="591" operator="lessThan">
      <formula>7.4</formula>
    </cfRule>
  </conditionalFormatting>
  <conditionalFormatting sqref="T3:T19">
    <cfRule type="cellIs" dxfId="692" priority="364" operator="lessThan">
      <formula>6.9</formula>
    </cfRule>
    <cfRule type="cellIs" dxfId="691" priority="365" operator="lessThan">
      <formula>7.4</formula>
    </cfRule>
    <cfRule type="cellIs" dxfId="690" priority="366" operator="lessThan">
      <formula>7.9</formula>
    </cfRule>
    <cfRule type="cellIs" dxfId="689" priority="367" operator="lessThan">
      <formula>6.9</formula>
    </cfRule>
    <cfRule type="cellIs" dxfId="688" priority="368" operator="lessThan">
      <formula>7.9</formula>
    </cfRule>
    <cfRule type="cellIs" dxfId="687" priority="369" operator="lessThan">
      <formula>7.4</formula>
    </cfRule>
    <cfRule type="cellIs" dxfId="686" priority="370" operator="lessThan">
      <formula>6.9</formula>
    </cfRule>
    <cfRule type="cellIs" dxfId="685" priority="371" operator="lessThan">
      <formula>7.4</formula>
    </cfRule>
    <cfRule type="cellIs" dxfId="684" priority="372" operator="lessThan">
      <formula>7.9</formula>
    </cfRule>
    <cfRule type="cellIs" dxfId="683" priority="373" operator="lessThan">
      <formula>6.9</formula>
    </cfRule>
    <cfRule type="cellIs" dxfId="682" priority="374" operator="lessThan">
      <formula>7.9</formula>
    </cfRule>
    <cfRule type="cellIs" dxfId="681" priority="375" operator="lessThan">
      <formula>6.9</formula>
    </cfRule>
    <cfRule type="cellIs" dxfId="680" priority="376" operator="lessThan">
      <formula>7.4</formula>
    </cfRule>
    <cfRule type="cellIs" dxfId="679" priority="377" operator="lessThan">
      <formula>7.9</formula>
    </cfRule>
    <cfRule type="cellIs" dxfId="678" priority="378" operator="lessThan">
      <formula>6.9</formula>
    </cfRule>
    <cfRule type="cellIs" dxfId="677" priority="379" operator="lessThan">
      <formula>7.4</formula>
    </cfRule>
    <cfRule type="cellIs" dxfId="676" priority="380" operator="lessThan">
      <formula>6.9</formula>
    </cfRule>
    <cfRule type="cellIs" dxfId="675" priority="381" operator="lessThan">
      <formula>7.4</formula>
    </cfRule>
    <cfRule type="cellIs" dxfId="674" priority="382" operator="lessThan">
      <formula>7.9</formula>
    </cfRule>
    <cfRule type="cellIs" dxfId="673" priority="383" operator="lessThan">
      <formula>6.9</formula>
    </cfRule>
    <cfRule type="cellIs" dxfId="672" priority="384" operator="lessThan">
      <formula>7.9</formula>
    </cfRule>
    <cfRule type="cellIs" dxfId="671" priority="385" operator="lessThan">
      <formula>7.4</formula>
    </cfRule>
    <cfRule type="cellIs" dxfId="670" priority="386" operator="lessThan">
      <formula>6.9</formula>
    </cfRule>
    <cfRule type="cellIs" dxfId="669" priority="387" operator="lessThan">
      <formula>7.4</formula>
    </cfRule>
    <cfRule type="cellIs" dxfId="668" priority="388" operator="lessThan">
      <formula>7.9</formula>
    </cfRule>
    <cfRule type="cellIs" dxfId="667" priority="389" operator="lessThan">
      <formula>6.9</formula>
    </cfRule>
    <cfRule type="cellIs" dxfId="666" priority="390" operator="lessThan">
      <formula>7.9</formula>
    </cfRule>
    <cfRule type="cellIs" dxfId="665" priority="391" operator="lessThan">
      <formula>6.9</formula>
    </cfRule>
    <cfRule type="cellIs" dxfId="664" priority="392" operator="lessThan">
      <formula>7.4</formula>
    </cfRule>
    <cfRule type="cellIs" dxfId="663" priority="393" operator="lessThan">
      <formula>7.9</formula>
    </cfRule>
    <cfRule type="cellIs" dxfId="662" priority="394" operator="lessThan">
      <formula>6.9</formula>
    </cfRule>
    <cfRule type="cellIs" dxfId="661" priority="395" operator="lessThan">
      <formula>7.4</formula>
    </cfRule>
    <cfRule type="cellIs" dxfId="660" priority="396" operator="lessThan">
      <formula>7.9</formula>
    </cfRule>
    <cfRule type="cellIs" dxfId="659" priority="397" operator="lessThan">
      <formula>6.9</formula>
    </cfRule>
    <cfRule type="cellIs" dxfId="658" priority="398" operator="lessThan">
      <formula>7.4</formula>
    </cfRule>
    <cfRule type="cellIs" dxfId="657" priority="467" operator="lessThan">
      <formula>6.9</formula>
    </cfRule>
    <cfRule type="cellIs" dxfId="656" priority="468" operator="lessThan">
      <formula>7.4</formula>
    </cfRule>
    <cfRule type="cellIs" dxfId="655" priority="469" operator="lessThan">
      <formula>7.9</formula>
    </cfRule>
    <cfRule type="cellIs" dxfId="654" priority="470" operator="lessThan">
      <formula>6.9</formula>
    </cfRule>
    <cfRule type="cellIs" dxfId="653" priority="471" operator="lessThan">
      <formula>7.9</formula>
    </cfRule>
    <cfRule type="cellIs" dxfId="652" priority="472" operator="lessThan">
      <formula>7.4</formula>
    </cfRule>
    <cfRule type="cellIs" dxfId="651" priority="473" operator="lessThan">
      <formula>6.9</formula>
    </cfRule>
    <cfRule type="cellIs" dxfId="650" priority="474" operator="lessThan">
      <formula>7.4</formula>
    </cfRule>
    <cfRule type="cellIs" dxfId="649" priority="475" operator="lessThan">
      <formula>7.9</formula>
    </cfRule>
    <cfRule type="cellIs" dxfId="648" priority="476" operator="lessThan">
      <formula>6.9</formula>
    </cfRule>
    <cfRule type="cellIs" dxfId="647" priority="477" operator="lessThan">
      <formula>7.9</formula>
    </cfRule>
    <cfRule type="cellIs" dxfId="646" priority="478" operator="lessThan">
      <formula>6.9</formula>
    </cfRule>
    <cfRule type="cellIs" dxfId="645" priority="479" operator="lessThan">
      <formula>7.4</formula>
    </cfRule>
    <cfRule type="cellIs" dxfId="644" priority="480" operator="lessThan">
      <formula>7.9</formula>
    </cfRule>
  </conditionalFormatting>
  <conditionalFormatting sqref="T3:W19">
    <cfRule type="cellIs" dxfId="643" priority="481" operator="lessThan">
      <formula>6.9</formula>
    </cfRule>
    <cfRule type="cellIs" dxfId="642" priority="482" operator="lessThan">
      <formula>7.4</formula>
    </cfRule>
  </conditionalFormatting>
  <conditionalFormatting sqref="V3:W3 W4:W19">
    <cfRule type="cellIs" dxfId="641" priority="593" operator="lessThan">
      <formula>6.9</formula>
    </cfRule>
    <cfRule type="cellIs" dxfId="640" priority="594" operator="lessThan">
      <formula>7.4</formula>
    </cfRule>
    <cfRule type="cellIs" dxfId="639" priority="595" operator="lessThan">
      <formula>7.9</formula>
    </cfRule>
  </conditionalFormatting>
  <conditionalFormatting sqref="V3:W19">
    <cfRule type="cellIs" dxfId="638" priority="598" operator="lessThan">
      <formula>7.9</formula>
    </cfRule>
  </conditionalFormatting>
  <conditionalFormatting sqref="V4:W19">
    <cfRule type="cellIs" dxfId="637" priority="596" operator="lessThan">
      <formula>6.9</formula>
    </cfRule>
    <cfRule type="cellIs" dxfId="636" priority="597" operator="lessThan">
      <formula>7.4</formula>
    </cfRule>
  </conditionalFormatting>
  <conditionalFormatting sqref="V3:AF19">
    <cfRule type="cellIs" dxfId="635" priority="466" operator="lessThan">
      <formula>7.9</formula>
    </cfRule>
  </conditionalFormatting>
  <conditionalFormatting sqref="W3:W19">
    <cfRule type="cellIs" dxfId="634" priority="310" operator="lessThan">
      <formula>6.9</formula>
    </cfRule>
    <cfRule type="cellIs" dxfId="633" priority="311" operator="lessThan">
      <formula>7.4</formula>
    </cfRule>
    <cfRule type="cellIs" dxfId="632" priority="312" operator="lessThan">
      <formula>7.9</formula>
    </cfRule>
    <cfRule type="cellIs" dxfId="631" priority="313" operator="lessThan">
      <formula>6.9</formula>
    </cfRule>
    <cfRule type="cellIs" dxfId="630" priority="314" operator="lessThan">
      <formula>7.9</formula>
    </cfRule>
    <cfRule type="cellIs" dxfId="629" priority="315" operator="lessThan">
      <formula>7.4</formula>
    </cfRule>
    <cfRule type="cellIs" dxfId="628" priority="316" operator="lessThan">
      <formula>6.9</formula>
    </cfRule>
    <cfRule type="cellIs" dxfId="627" priority="317" operator="lessThan">
      <formula>7.4</formula>
    </cfRule>
    <cfRule type="cellIs" dxfId="626" priority="318" operator="lessThan">
      <formula>7.9</formula>
    </cfRule>
    <cfRule type="cellIs" dxfId="625" priority="319" operator="lessThan">
      <formula>6.9</formula>
    </cfRule>
    <cfRule type="cellIs" dxfId="624" priority="320" operator="lessThan">
      <formula>7.9</formula>
    </cfRule>
    <cfRule type="cellIs" dxfId="623" priority="321" operator="lessThan">
      <formula>6.9</formula>
    </cfRule>
    <cfRule type="cellIs" dxfId="622" priority="322" operator="lessThan">
      <formula>7.4</formula>
    </cfRule>
    <cfRule type="cellIs" dxfId="621" priority="323" operator="lessThan">
      <formula>7.9</formula>
    </cfRule>
    <cfRule type="cellIs" dxfId="620" priority="324" operator="lessThan">
      <formula>6.9</formula>
    </cfRule>
    <cfRule type="cellIs" dxfId="619" priority="325" operator="lessThan">
      <formula>7.4</formula>
    </cfRule>
    <cfRule type="cellIs" dxfId="618" priority="326" operator="lessThan">
      <formula>6.9</formula>
    </cfRule>
    <cfRule type="cellIs" dxfId="617" priority="327" operator="lessThan">
      <formula>7.4</formula>
    </cfRule>
    <cfRule type="cellIs" dxfId="616" priority="328" operator="lessThan">
      <formula>7.9</formula>
    </cfRule>
    <cfRule type="cellIs" dxfId="615" priority="329" operator="lessThan">
      <formula>6.9</formula>
    </cfRule>
    <cfRule type="cellIs" dxfId="614" priority="330" operator="lessThan">
      <formula>7.9</formula>
    </cfRule>
    <cfRule type="cellIs" dxfId="613" priority="331" operator="lessThan">
      <formula>7.4</formula>
    </cfRule>
    <cfRule type="cellIs" dxfId="612" priority="332" operator="lessThan">
      <formula>6.9</formula>
    </cfRule>
    <cfRule type="cellIs" dxfId="611" priority="333" operator="lessThan">
      <formula>7.4</formula>
    </cfRule>
    <cfRule type="cellIs" dxfId="610" priority="334" operator="lessThan">
      <formula>7.9</formula>
    </cfRule>
    <cfRule type="cellIs" dxfId="609" priority="335" operator="lessThan">
      <formula>6.9</formula>
    </cfRule>
    <cfRule type="cellIs" dxfId="608" priority="336" operator="lessThan">
      <formula>7.9</formula>
    </cfRule>
    <cfRule type="cellIs" dxfId="607" priority="337" operator="lessThan">
      <formula>6.9</formula>
    </cfRule>
    <cfRule type="cellIs" dxfId="606" priority="338" operator="lessThan">
      <formula>7.4</formula>
    </cfRule>
    <cfRule type="cellIs" dxfId="605" priority="339" operator="lessThan">
      <formula>7.9</formula>
    </cfRule>
    <cfRule type="cellIs" dxfId="604" priority="340" operator="lessThan">
      <formula>6.9</formula>
    </cfRule>
    <cfRule type="cellIs" dxfId="603" priority="341" operator="lessThan">
      <formula>7.4</formula>
    </cfRule>
    <cfRule type="cellIs" dxfId="602" priority="342" operator="lessThan">
      <formula>7.9</formula>
    </cfRule>
    <cfRule type="cellIs" dxfId="601" priority="343" operator="lessThan">
      <formula>6.9</formula>
    </cfRule>
    <cfRule type="cellIs" dxfId="600" priority="344" operator="lessThan">
      <formula>7.4</formula>
    </cfRule>
    <cfRule type="cellIs" dxfId="599" priority="345" operator="lessThan">
      <formula>6.9</formula>
    </cfRule>
    <cfRule type="cellIs" dxfId="598" priority="346" operator="lessThan">
      <formula>7.4</formula>
    </cfRule>
    <cfRule type="cellIs" dxfId="597" priority="347" operator="lessThan">
      <formula>7.9</formula>
    </cfRule>
    <cfRule type="cellIs" dxfId="596" priority="348" operator="lessThan">
      <formula>6.9</formula>
    </cfRule>
    <cfRule type="cellIs" dxfId="595" priority="349" operator="lessThan">
      <formula>7.9</formula>
    </cfRule>
    <cfRule type="cellIs" dxfId="594" priority="350" operator="lessThan">
      <formula>7.4</formula>
    </cfRule>
    <cfRule type="cellIs" dxfId="593" priority="351" operator="lessThan">
      <formula>6.9</formula>
    </cfRule>
    <cfRule type="cellIs" dxfId="592" priority="352" operator="lessThan">
      <formula>7.4</formula>
    </cfRule>
    <cfRule type="cellIs" dxfId="591" priority="353" operator="lessThan">
      <formula>7.9</formula>
    </cfRule>
    <cfRule type="cellIs" dxfId="590" priority="354" operator="lessThan">
      <formula>6.9</formula>
    </cfRule>
    <cfRule type="cellIs" dxfId="589" priority="355" operator="lessThan">
      <formula>7.9</formula>
    </cfRule>
    <cfRule type="cellIs" dxfId="588" priority="356" operator="lessThan">
      <formula>6.9</formula>
    </cfRule>
    <cfRule type="cellIs" dxfId="587" priority="357" operator="lessThan">
      <formula>7.4</formula>
    </cfRule>
    <cfRule type="cellIs" dxfId="586" priority="358" operator="lessThan">
      <formula>7.9</formula>
    </cfRule>
    <cfRule type="cellIs" dxfId="585" priority="359" operator="lessThan">
      <formula>6.9</formula>
    </cfRule>
    <cfRule type="cellIs" dxfId="584" priority="360" operator="lessThan">
      <formula>7.4</formula>
    </cfRule>
    <cfRule type="cellIs" dxfId="583" priority="361" operator="lessThan">
      <formula>6.9</formula>
    </cfRule>
    <cfRule type="cellIs" dxfId="582" priority="362" operator="lessThan">
      <formula>7.4</formula>
    </cfRule>
    <cfRule type="cellIs" dxfId="581" priority="363" operator="lessThan">
      <formula>7.9</formula>
    </cfRule>
    <cfRule type="cellIs" dxfId="580" priority="448" operator="lessThan">
      <formula>6.9</formula>
    </cfRule>
    <cfRule type="cellIs" dxfId="579" priority="449" operator="lessThan">
      <formula>7.4</formula>
    </cfRule>
    <cfRule type="cellIs" dxfId="578" priority="450" operator="lessThan">
      <formula>7.9</formula>
    </cfRule>
    <cfRule type="cellIs" dxfId="577" priority="451" operator="lessThan">
      <formula>6.9</formula>
    </cfRule>
    <cfRule type="cellIs" dxfId="576" priority="452" operator="lessThan">
      <formula>7.9</formula>
    </cfRule>
    <cfRule type="cellIs" dxfId="575" priority="453" operator="lessThan">
      <formula>7.4</formula>
    </cfRule>
    <cfRule type="cellIs" dxfId="574" priority="454" operator="lessThan">
      <formula>6.9</formula>
    </cfRule>
    <cfRule type="cellIs" dxfId="573" priority="455" operator="lessThan">
      <formula>7.4</formula>
    </cfRule>
    <cfRule type="cellIs" dxfId="572" priority="456" operator="lessThan">
      <formula>7.9</formula>
    </cfRule>
    <cfRule type="cellIs" dxfId="571" priority="457" operator="lessThan">
      <formula>6.9</formula>
    </cfRule>
    <cfRule type="cellIs" dxfId="570" priority="458" operator="lessThan">
      <formula>7.9</formula>
    </cfRule>
    <cfRule type="cellIs" dxfId="569" priority="459" operator="lessThan">
      <formula>6.9</formula>
    </cfRule>
    <cfRule type="cellIs" dxfId="568" priority="460" operator="lessThan">
      <formula>7.4</formula>
    </cfRule>
    <cfRule type="cellIs" dxfId="567" priority="461" operator="lessThan">
      <formula>7.9</formula>
    </cfRule>
    <cfRule type="cellIs" dxfId="566" priority="462" operator="lessThan">
      <formula>6.9</formula>
    </cfRule>
    <cfRule type="cellIs" dxfId="565" priority="463" operator="lessThan">
      <formula>7.4</formula>
    </cfRule>
    <cfRule type="cellIs" dxfId="564" priority="464" operator="lessThan">
      <formula>6.9</formula>
    </cfRule>
    <cfRule type="cellIs" dxfId="563" priority="465" operator="lessThan">
      <formula>7.4</formula>
    </cfRule>
  </conditionalFormatting>
  <conditionalFormatting sqref="X3:X18">
    <cfRule type="cellIs" dxfId="562" priority="542" operator="lessThan">
      <formula>6.9</formula>
    </cfRule>
    <cfRule type="cellIs" dxfId="561" priority="543" operator="lessThan">
      <formula>7.4</formula>
    </cfRule>
  </conditionalFormatting>
  <conditionalFormatting sqref="X19:AC19">
    <cfRule type="cellIs" dxfId="560" priority="539" operator="lessThan">
      <formula>7.4</formula>
    </cfRule>
  </conditionalFormatting>
  <conditionalFormatting sqref="Y3:Z16 Z17:Z19">
    <cfRule type="cellIs" dxfId="559" priority="588" operator="lessThan">
      <formula>6.9</formula>
    </cfRule>
    <cfRule type="cellIs" dxfId="558" priority="589" operator="lessThan">
      <formula>7.4</formula>
    </cfRule>
  </conditionalFormatting>
  <conditionalFormatting sqref="Y3:Z19 AB3:AC19 G3:H19 P3:Q19 M3:N19 AE3:AF19">
    <cfRule type="cellIs" dxfId="557" priority="599" operator="lessThan">
      <formula>7.9</formula>
    </cfRule>
  </conditionalFormatting>
  <conditionalFormatting sqref="Z3:Z19">
    <cfRule type="cellIs" dxfId="556" priority="232" operator="lessThan">
      <formula>6.9</formula>
    </cfRule>
    <cfRule type="cellIs" dxfId="555" priority="233" operator="lessThan">
      <formula>7.4</formula>
    </cfRule>
    <cfRule type="cellIs" dxfId="554" priority="234" operator="lessThan">
      <formula>7.9</formula>
    </cfRule>
    <cfRule type="cellIs" dxfId="553" priority="235" operator="lessThan">
      <formula>6.9</formula>
    </cfRule>
    <cfRule type="cellIs" dxfId="552" priority="236" operator="lessThan">
      <formula>7.9</formula>
    </cfRule>
    <cfRule type="cellIs" dxfId="551" priority="237" operator="lessThan">
      <formula>7.4</formula>
    </cfRule>
    <cfRule type="cellIs" dxfId="550" priority="238" operator="lessThan">
      <formula>6.9</formula>
    </cfRule>
    <cfRule type="cellIs" dxfId="549" priority="239" operator="lessThan">
      <formula>7.4</formula>
    </cfRule>
    <cfRule type="cellIs" dxfId="548" priority="240" operator="lessThan">
      <formula>7.9</formula>
    </cfRule>
    <cfRule type="cellIs" dxfId="547" priority="241" operator="lessThan">
      <formula>6.9</formula>
    </cfRule>
    <cfRule type="cellIs" dxfId="546" priority="242" operator="lessThan">
      <formula>7.9</formula>
    </cfRule>
    <cfRule type="cellIs" dxfId="545" priority="243" operator="lessThan">
      <formula>6.9</formula>
    </cfRule>
    <cfRule type="cellIs" dxfId="544" priority="244" operator="lessThan">
      <formula>7.4</formula>
    </cfRule>
    <cfRule type="cellIs" dxfId="543" priority="245" operator="lessThan">
      <formula>7.9</formula>
    </cfRule>
    <cfRule type="cellIs" dxfId="542" priority="246" operator="lessThan">
      <formula>6.9</formula>
    </cfRule>
    <cfRule type="cellIs" dxfId="541" priority="247" operator="lessThan">
      <formula>7.4</formula>
    </cfRule>
    <cfRule type="cellIs" dxfId="540" priority="248" operator="lessThan">
      <formula>6.9</formula>
    </cfRule>
    <cfRule type="cellIs" dxfId="539" priority="249" operator="lessThan">
      <formula>7.4</formula>
    </cfRule>
    <cfRule type="cellIs" dxfId="538" priority="250" operator="lessThan">
      <formula>7.9</formula>
    </cfRule>
    <cfRule type="cellIs" dxfId="537" priority="251" operator="lessThan">
      <formula>6.9</formula>
    </cfRule>
    <cfRule type="cellIs" dxfId="536" priority="252" operator="lessThan">
      <formula>7.9</formula>
    </cfRule>
    <cfRule type="cellIs" dxfId="535" priority="253" operator="lessThan">
      <formula>7.4</formula>
    </cfRule>
    <cfRule type="cellIs" dxfId="534" priority="254" operator="lessThan">
      <formula>6.9</formula>
    </cfRule>
    <cfRule type="cellIs" dxfId="533" priority="255" operator="lessThan">
      <formula>7.4</formula>
    </cfRule>
    <cfRule type="cellIs" dxfId="532" priority="256" operator="lessThan">
      <formula>7.9</formula>
    </cfRule>
    <cfRule type="cellIs" dxfId="531" priority="257" operator="lessThan">
      <formula>6.9</formula>
    </cfRule>
    <cfRule type="cellIs" dxfId="530" priority="258" operator="lessThan">
      <formula>7.9</formula>
    </cfRule>
    <cfRule type="cellIs" dxfId="529" priority="259" operator="lessThan">
      <formula>6.9</formula>
    </cfRule>
    <cfRule type="cellIs" dxfId="528" priority="260" operator="lessThan">
      <formula>7.4</formula>
    </cfRule>
    <cfRule type="cellIs" dxfId="527" priority="261" operator="lessThan">
      <formula>7.9</formula>
    </cfRule>
    <cfRule type="cellIs" dxfId="526" priority="262" operator="lessThan">
      <formula>6.9</formula>
    </cfRule>
    <cfRule type="cellIs" dxfId="525" priority="263" operator="lessThan">
      <formula>7.4</formula>
    </cfRule>
    <cfRule type="cellIs" dxfId="524" priority="264" operator="lessThan">
      <formula>7.9</formula>
    </cfRule>
    <cfRule type="cellIs" dxfId="523" priority="265" operator="lessThan">
      <formula>6.9</formula>
    </cfRule>
    <cfRule type="cellIs" dxfId="522" priority="266" operator="lessThan">
      <formula>7.4</formula>
    </cfRule>
    <cfRule type="cellIs" dxfId="521" priority="267" operator="lessThan">
      <formula>6.9</formula>
    </cfRule>
    <cfRule type="cellIs" dxfId="520" priority="268" operator="lessThan">
      <formula>7.4</formula>
    </cfRule>
    <cfRule type="cellIs" dxfId="519" priority="269" operator="lessThan">
      <formula>7.9</formula>
    </cfRule>
    <cfRule type="cellIs" dxfId="518" priority="270" operator="lessThan">
      <formula>6.9</formula>
    </cfRule>
    <cfRule type="cellIs" dxfId="517" priority="271" operator="lessThan">
      <formula>7.9</formula>
    </cfRule>
    <cfRule type="cellIs" dxfId="516" priority="272" operator="lessThan">
      <formula>7.4</formula>
    </cfRule>
    <cfRule type="cellIs" dxfId="515" priority="273" operator="lessThan">
      <formula>6.9</formula>
    </cfRule>
    <cfRule type="cellIs" dxfId="514" priority="274" operator="lessThan">
      <formula>7.4</formula>
    </cfRule>
    <cfRule type="cellIs" dxfId="513" priority="275" operator="lessThan">
      <formula>7.9</formula>
    </cfRule>
    <cfRule type="cellIs" dxfId="512" priority="276" operator="lessThan">
      <formula>6.9</formula>
    </cfRule>
    <cfRule type="cellIs" dxfId="511" priority="277" operator="lessThan">
      <formula>7.9</formula>
    </cfRule>
    <cfRule type="cellIs" dxfId="510" priority="278" operator="lessThan">
      <formula>6.9</formula>
    </cfRule>
    <cfRule type="cellIs" dxfId="509" priority="279" operator="lessThan">
      <formula>7.4</formula>
    </cfRule>
    <cfRule type="cellIs" dxfId="508" priority="280" operator="lessThan">
      <formula>7.9</formula>
    </cfRule>
    <cfRule type="cellIs" dxfId="507" priority="281" operator="lessThan">
      <formula>6.9</formula>
    </cfRule>
    <cfRule type="cellIs" dxfId="506" priority="282" operator="lessThan">
      <formula>7.4</formula>
    </cfRule>
    <cfRule type="cellIs" dxfId="505" priority="283" operator="lessThan">
      <formula>6.9</formula>
    </cfRule>
    <cfRule type="cellIs" dxfId="504" priority="284" operator="lessThan">
      <formula>7.4</formula>
    </cfRule>
    <cfRule type="cellIs" dxfId="503" priority="285" operator="lessThan">
      <formula>7.9</formula>
    </cfRule>
    <cfRule type="cellIs" dxfId="502" priority="286" operator="lessThan">
      <formula>6.9</formula>
    </cfRule>
    <cfRule type="cellIs" dxfId="501" priority="287" operator="lessThan">
      <formula>7.4</formula>
    </cfRule>
    <cfRule type="cellIs" dxfId="500" priority="288" operator="lessThan">
      <formula>7.9</formula>
    </cfRule>
    <cfRule type="cellIs" dxfId="499" priority="289" operator="lessThan">
      <formula>6.9</formula>
    </cfRule>
    <cfRule type="cellIs" dxfId="498" priority="290" operator="lessThan">
      <formula>7.9</formula>
    </cfRule>
    <cfRule type="cellIs" dxfId="497" priority="291" operator="lessThan">
      <formula>7.4</formula>
    </cfRule>
    <cfRule type="cellIs" dxfId="496" priority="292" operator="lessThan">
      <formula>6.9</formula>
    </cfRule>
    <cfRule type="cellIs" dxfId="495" priority="293" operator="lessThan">
      <formula>7.4</formula>
    </cfRule>
    <cfRule type="cellIs" dxfId="494" priority="294" operator="lessThan">
      <formula>7.9</formula>
    </cfRule>
    <cfRule type="cellIs" dxfId="493" priority="295" operator="lessThan">
      <formula>6.9</formula>
    </cfRule>
    <cfRule type="cellIs" dxfId="492" priority="296" operator="lessThan">
      <formula>7.9</formula>
    </cfRule>
    <cfRule type="cellIs" dxfId="491" priority="297" operator="lessThan">
      <formula>6.9</formula>
    </cfRule>
    <cfRule type="cellIs" dxfId="490" priority="298" operator="lessThan">
      <formula>7.4</formula>
    </cfRule>
    <cfRule type="cellIs" dxfId="489" priority="299" operator="lessThan">
      <formula>7.9</formula>
    </cfRule>
    <cfRule type="cellIs" dxfId="488" priority="300" operator="lessThan">
      <formula>6.9</formula>
    </cfRule>
    <cfRule type="cellIs" dxfId="487" priority="301" operator="lessThan">
      <formula>7.4</formula>
    </cfRule>
    <cfRule type="cellIs" dxfId="486" priority="302" operator="lessThan">
      <formula>6.9</formula>
    </cfRule>
    <cfRule type="cellIs" dxfId="485" priority="303" operator="lessThan">
      <formula>7.4</formula>
    </cfRule>
    <cfRule type="cellIs" dxfId="484" priority="304" operator="lessThan">
      <formula>7.9</formula>
    </cfRule>
    <cfRule type="cellIs" dxfId="483" priority="305" operator="lessThan">
      <formula>6.9</formula>
    </cfRule>
    <cfRule type="cellIs" dxfId="482" priority="306" operator="lessThan">
      <formula>7.4</formula>
    </cfRule>
    <cfRule type="cellIs" dxfId="481" priority="307" operator="lessThan">
      <formula>6.9</formula>
    </cfRule>
    <cfRule type="cellIs" dxfId="480" priority="308" operator="lessThan">
      <formula>7.4</formula>
    </cfRule>
    <cfRule type="cellIs" dxfId="479" priority="309" operator="lessThan">
      <formula>7.9</formula>
    </cfRule>
    <cfRule type="cellIs" dxfId="478" priority="424" operator="lessThan">
      <formula>6.9</formula>
    </cfRule>
    <cfRule type="cellIs" dxfId="477" priority="425" operator="lessThan">
      <formula>7.4</formula>
    </cfRule>
    <cfRule type="cellIs" dxfId="476" priority="426" operator="lessThan">
      <formula>7.9</formula>
    </cfRule>
    <cfRule type="cellIs" dxfId="475" priority="427" operator="lessThan">
      <formula>6.9</formula>
    </cfRule>
    <cfRule type="cellIs" dxfId="474" priority="428" operator="lessThan">
      <formula>7.9</formula>
    </cfRule>
    <cfRule type="cellIs" dxfId="473" priority="429" operator="lessThan">
      <formula>7.4</formula>
    </cfRule>
    <cfRule type="cellIs" dxfId="472" priority="430" operator="lessThan">
      <formula>6.9</formula>
    </cfRule>
    <cfRule type="cellIs" dxfId="471" priority="431" operator="lessThan">
      <formula>7.4</formula>
    </cfRule>
    <cfRule type="cellIs" dxfId="470" priority="432" operator="lessThan">
      <formula>7.9</formula>
    </cfRule>
    <cfRule type="cellIs" dxfId="469" priority="433" operator="lessThan">
      <formula>6.9</formula>
    </cfRule>
    <cfRule type="cellIs" dxfId="468" priority="434" operator="lessThan">
      <formula>7.9</formula>
    </cfRule>
    <cfRule type="cellIs" dxfId="467" priority="435" operator="lessThan">
      <formula>6.9</formula>
    </cfRule>
    <cfRule type="cellIs" dxfId="466" priority="436" operator="lessThan">
      <formula>7.4</formula>
    </cfRule>
    <cfRule type="cellIs" dxfId="465" priority="437" operator="lessThan">
      <formula>7.9</formula>
    </cfRule>
    <cfRule type="cellIs" dxfId="464" priority="438" operator="lessThan">
      <formula>6.9</formula>
    </cfRule>
    <cfRule type="cellIs" dxfId="463" priority="439" operator="lessThan">
      <formula>7.4</formula>
    </cfRule>
    <cfRule type="cellIs" dxfId="462" priority="440" operator="lessThan">
      <formula>6.9</formula>
    </cfRule>
    <cfRule type="cellIs" dxfId="461" priority="441" operator="lessThan">
      <formula>7.4</formula>
    </cfRule>
    <cfRule type="cellIs" dxfId="460" priority="442" operator="lessThan">
      <formula>7.9</formula>
    </cfRule>
    <cfRule type="cellIs" dxfId="459" priority="443" operator="lessThan">
      <formula>6.9</formula>
    </cfRule>
    <cfRule type="cellIs" dxfId="458" priority="444" operator="lessThan">
      <formula>7.4</formula>
    </cfRule>
    <cfRule type="cellIs" dxfId="457" priority="445" operator="lessThan">
      <formula>6.9</formula>
    </cfRule>
    <cfRule type="cellIs" dxfId="456" priority="446" operator="lessThan">
      <formula>7.4</formula>
    </cfRule>
    <cfRule type="cellIs" dxfId="455" priority="447" operator="lessThan">
      <formula>7.9</formula>
    </cfRule>
  </conditionalFormatting>
  <conditionalFormatting sqref="Z4:Z19">
    <cfRule type="cellIs" dxfId="454" priority="587" operator="lessThan">
      <formula>7.9</formula>
    </cfRule>
  </conditionalFormatting>
  <conditionalFormatting sqref="AA3:AA18">
    <cfRule type="cellIs" dxfId="453" priority="540" operator="lessThan">
      <formula>6.9</formula>
    </cfRule>
    <cfRule type="cellIs" dxfId="452" priority="541" operator="lessThan">
      <formula>7.4</formula>
    </cfRule>
  </conditionalFormatting>
  <conditionalFormatting sqref="AB3:AC16 AC17:AC19">
    <cfRule type="cellIs" dxfId="451" priority="582" operator="lessThan">
      <formula>6.9</formula>
    </cfRule>
    <cfRule type="cellIs" dxfId="450" priority="583" operator="lessThan">
      <formula>7.4</formula>
    </cfRule>
  </conditionalFormatting>
  <conditionalFormatting sqref="AC3:AC19">
    <cfRule type="cellIs" dxfId="449" priority="128" operator="lessThan">
      <formula>6.9</formula>
    </cfRule>
    <cfRule type="cellIs" dxfId="448" priority="129" operator="lessThan">
      <formula>7.4</formula>
    </cfRule>
    <cfRule type="cellIs" dxfId="447" priority="130" operator="lessThan">
      <formula>7.9</formula>
    </cfRule>
    <cfRule type="cellIs" dxfId="446" priority="131" operator="lessThan">
      <formula>6.9</formula>
    </cfRule>
    <cfRule type="cellIs" dxfId="445" priority="132" operator="lessThan">
      <formula>7.9</formula>
    </cfRule>
    <cfRule type="cellIs" dxfId="444" priority="133" operator="lessThan">
      <formula>7.4</formula>
    </cfRule>
    <cfRule type="cellIs" dxfId="443" priority="134" operator="lessThan">
      <formula>6.9</formula>
    </cfRule>
    <cfRule type="cellIs" dxfId="442" priority="135" operator="lessThan">
      <formula>7.4</formula>
    </cfRule>
    <cfRule type="cellIs" dxfId="441" priority="136" operator="lessThan">
      <formula>7.9</formula>
    </cfRule>
    <cfRule type="cellIs" dxfId="440" priority="137" operator="lessThan">
      <formula>6.9</formula>
    </cfRule>
    <cfRule type="cellIs" dxfId="439" priority="138" operator="lessThan">
      <formula>7.9</formula>
    </cfRule>
    <cfRule type="cellIs" dxfId="438" priority="139" operator="lessThan">
      <formula>6.9</formula>
    </cfRule>
    <cfRule type="cellIs" dxfId="437" priority="140" operator="lessThan">
      <formula>7.4</formula>
    </cfRule>
    <cfRule type="cellIs" dxfId="436" priority="141" operator="lessThan">
      <formula>7.9</formula>
    </cfRule>
    <cfRule type="cellIs" dxfId="435" priority="142" operator="lessThan">
      <formula>6.9</formula>
    </cfRule>
    <cfRule type="cellIs" dxfId="434" priority="143" operator="lessThan">
      <formula>7.4</formula>
    </cfRule>
    <cfRule type="cellIs" dxfId="433" priority="144" operator="lessThan">
      <formula>6.9</formula>
    </cfRule>
    <cfRule type="cellIs" dxfId="432" priority="145" operator="lessThan">
      <formula>7.4</formula>
    </cfRule>
    <cfRule type="cellIs" dxfId="431" priority="146" operator="lessThan">
      <formula>7.9</formula>
    </cfRule>
    <cfRule type="cellIs" dxfId="430" priority="147" operator="lessThan">
      <formula>6.9</formula>
    </cfRule>
    <cfRule type="cellIs" dxfId="429" priority="148" operator="lessThan">
      <formula>7.9</formula>
    </cfRule>
    <cfRule type="cellIs" dxfId="428" priority="149" operator="lessThan">
      <formula>7.4</formula>
    </cfRule>
    <cfRule type="cellIs" dxfId="427" priority="150" operator="lessThan">
      <formula>6.9</formula>
    </cfRule>
    <cfRule type="cellIs" dxfId="426" priority="151" operator="lessThan">
      <formula>7.4</formula>
    </cfRule>
    <cfRule type="cellIs" dxfId="425" priority="152" operator="lessThan">
      <formula>7.9</formula>
    </cfRule>
    <cfRule type="cellIs" dxfId="424" priority="153" operator="lessThan">
      <formula>6.9</formula>
    </cfRule>
    <cfRule type="cellIs" dxfId="423" priority="154" operator="lessThan">
      <formula>7.9</formula>
    </cfRule>
    <cfRule type="cellIs" dxfId="422" priority="155" operator="lessThan">
      <formula>6.9</formula>
    </cfRule>
    <cfRule type="cellIs" dxfId="421" priority="156" operator="lessThan">
      <formula>7.4</formula>
    </cfRule>
    <cfRule type="cellIs" dxfId="420" priority="157" operator="lessThan">
      <formula>7.9</formula>
    </cfRule>
    <cfRule type="cellIs" dxfId="419" priority="158" operator="lessThan">
      <formula>6.9</formula>
    </cfRule>
    <cfRule type="cellIs" dxfId="418" priority="159" operator="lessThan">
      <formula>7.4</formula>
    </cfRule>
    <cfRule type="cellIs" dxfId="417" priority="160" operator="lessThan">
      <formula>7.9</formula>
    </cfRule>
    <cfRule type="cellIs" dxfId="416" priority="161" operator="lessThan">
      <formula>6.9</formula>
    </cfRule>
    <cfRule type="cellIs" dxfId="415" priority="162" operator="lessThan">
      <formula>7.4</formula>
    </cfRule>
    <cfRule type="cellIs" dxfId="414" priority="163" operator="lessThan">
      <formula>6.9</formula>
    </cfRule>
    <cfRule type="cellIs" dxfId="413" priority="164" operator="lessThan">
      <formula>7.4</formula>
    </cfRule>
    <cfRule type="cellIs" dxfId="412" priority="165" operator="lessThan">
      <formula>7.9</formula>
    </cfRule>
    <cfRule type="cellIs" dxfId="411" priority="166" operator="lessThan">
      <formula>6.9</formula>
    </cfRule>
    <cfRule type="cellIs" dxfId="410" priority="167" operator="lessThan">
      <formula>7.9</formula>
    </cfRule>
    <cfRule type="cellIs" dxfId="409" priority="168" operator="lessThan">
      <formula>7.4</formula>
    </cfRule>
    <cfRule type="cellIs" dxfId="408" priority="169" operator="lessThan">
      <formula>6.9</formula>
    </cfRule>
    <cfRule type="cellIs" dxfId="407" priority="170" operator="lessThan">
      <formula>7.4</formula>
    </cfRule>
    <cfRule type="cellIs" dxfId="406" priority="171" operator="lessThan">
      <formula>7.9</formula>
    </cfRule>
    <cfRule type="cellIs" dxfId="405" priority="172" operator="lessThan">
      <formula>6.9</formula>
    </cfRule>
    <cfRule type="cellIs" dxfId="404" priority="173" operator="lessThan">
      <formula>7.9</formula>
    </cfRule>
    <cfRule type="cellIs" dxfId="403" priority="174" operator="lessThan">
      <formula>6.9</formula>
    </cfRule>
    <cfRule type="cellIs" dxfId="402" priority="175" operator="lessThan">
      <formula>7.4</formula>
    </cfRule>
    <cfRule type="cellIs" dxfId="401" priority="176" operator="lessThan">
      <formula>7.9</formula>
    </cfRule>
    <cfRule type="cellIs" dxfId="400" priority="177" operator="lessThan">
      <formula>6.9</formula>
    </cfRule>
    <cfRule type="cellIs" dxfId="399" priority="178" operator="lessThan">
      <formula>7.4</formula>
    </cfRule>
    <cfRule type="cellIs" dxfId="398" priority="179" operator="lessThan">
      <formula>6.9</formula>
    </cfRule>
    <cfRule type="cellIs" dxfId="397" priority="180" operator="lessThan">
      <formula>7.4</formula>
    </cfRule>
    <cfRule type="cellIs" dxfId="396" priority="181" operator="lessThan">
      <formula>7.9</formula>
    </cfRule>
    <cfRule type="cellIs" dxfId="395" priority="182" operator="lessThan">
      <formula>6.9</formula>
    </cfRule>
    <cfRule type="cellIs" dxfId="394" priority="183" operator="lessThan">
      <formula>7.4</formula>
    </cfRule>
    <cfRule type="cellIs" dxfId="393" priority="184" operator="lessThan">
      <formula>7.9</formula>
    </cfRule>
    <cfRule type="cellIs" dxfId="392" priority="185" operator="lessThan">
      <formula>6.9</formula>
    </cfRule>
    <cfRule type="cellIs" dxfId="391" priority="186" operator="lessThan">
      <formula>7.9</formula>
    </cfRule>
    <cfRule type="cellIs" dxfId="390" priority="187" operator="lessThan">
      <formula>7.4</formula>
    </cfRule>
    <cfRule type="cellIs" dxfId="389" priority="188" operator="lessThan">
      <formula>6.9</formula>
    </cfRule>
    <cfRule type="cellIs" dxfId="388" priority="189" operator="lessThan">
      <formula>7.4</formula>
    </cfRule>
    <cfRule type="cellIs" dxfId="387" priority="190" operator="lessThan">
      <formula>7.9</formula>
    </cfRule>
    <cfRule type="cellIs" dxfId="386" priority="191" operator="lessThan">
      <formula>6.9</formula>
    </cfRule>
    <cfRule type="cellIs" dxfId="385" priority="192" operator="lessThan">
      <formula>7.9</formula>
    </cfRule>
    <cfRule type="cellIs" dxfId="384" priority="193" operator="lessThan">
      <formula>6.9</formula>
    </cfRule>
    <cfRule type="cellIs" dxfId="383" priority="194" operator="lessThan">
      <formula>7.4</formula>
    </cfRule>
    <cfRule type="cellIs" dxfId="382" priority="195" operator="lessThan">
      <formula>7.9</formula>
    </cfRule>
    <cfRule type="cellIs" dxfId="381" priority="196" operator="lessThan">
      <formula>6.9</formula>
    </cfRule>
    <cfRule type="cellIs" dxfId="380" priority="197" operator="lessThan">
      <formula>7.4</formula>
    </cfRule>
    <cfRule type="cellIs" dxfId="379" priority="198" operator="lessThan">
      <formula>6.9</formula>
    </cfRule>
    <cfRule type="cellIs" dxfId="378" priority="199" operator="lessThan">
      <formula>7.4</formula>
    </cfRule>
    <cfRule type="cellIs" dxfId="377" priority="200" operator="lessThan">
      <formula>7.9</formula>
    </cfRule>
    <cfRule type="cellIs" dxfId="376" priority="201" operator="lessThan">
      <formula>6.9</formula>
    </cfRule>
    <cfRule type="cellIs" dxfId="375" priority="202" operator="lessThan">
      <formula>7.4</formula>
    </cfRule>
    <cfRule type="cellIs" dxfId="374" priority="203" operator="lessThan">
      <formula>6.9</formula>
    </cfRule>
    <cfRule type="cellIs" dxfId="373" priority="204" operator="lessThan">
      <formula>7.4</formula>
    </cfRule>
    <cfRule type="cellIs" dxfId="372" priority="205" operator="lessThan">
      <formula>7.9</formula>
    </cfRule>
    <cfRule type="cellIs" dxfId="371" priority="206" operator="lessThan">
      <formula>6.9</formula>
    </cfRule>
    <cfRule type="cellIs" dxfId="370" priority="207" operator="lessThan">
      <formula>7.4</formula>
    </cfRule>
    <cfRule type="cellIs" dxfId="369" priority="208" operator="lessThan">
      <formula>7.9</formula>
    </cfRule>
    <cfRule type="cellIs" dxfId="368" priority="209" operator="lessThan">
      <formula>6.9</formula>
    </cfRule>
    <cfRule type="cellIs" dxfId="367" priority="210" operator="lessThan">
      <formula>7.9</formula>
    </cfRule>
    <cfRule type="cellIs" dxfId="366" priority="211" operator="lessThan">
      <formula>7.4</formula>
    </cfRule>
    <cfRule type="cellIs" dxfId="365" priority="212" operator="lessThan">
      <formula>6.9</formula>
    </cfRule>
    <cfRule type="cellIs" dxfId="364" priority="213" operator="lessThan">
      <formula>7.4</formula>
    </cfRule>
    <cfRule type="cellIs" dxfId="363" priority="214" operator="lessThan">
      <formula>7.9</formula>
    </cfRule>
    <cfRule type="cellIs" dxfId="362" priority="215" operator="lessThan">
      <formula>6.9</formula>
    </cfRule>
    <cfRule type="cellIs" dxfId="361" priority="216" operator="lessThan">
      <formula>7.9</formula>
    </cfRule>
    <cfRule type="cellIs" dxfId="360" priority="217" operator="lessThan">
      <formula>6.9</formula>
    </cfRule>
    <cfRule type="cellIs" dxfId="359" priority="218" operator="lessThan">
      <formula>7.4</formula>
    </cfRule>
    <cfRule type="cellIs" dxfId="358" priority="219" operator="lessThan">
      <formula>7.9</formula>
    </cfRule>
    <cfRule type="cellIs" dxfId="357" priority="220" operator="lessThan">
      <formula>6.9</formula>
    </cfRule>
    <cfRule type="cellIs" dxfId="356" priority="221" operator="lessThan">
      <formula>7.4</formula>
    </cfRule>
    <cfRule type="cellIs" dxfId="355" priority="222" operator="lessThan">
      <formula>6.9</formula>
    </cfRule>
    <cfRule type="cellIs" dxfId="354" priority="223" operator="lessThan">
      <formula>7.4</formula>
    </cfRule>
    <cfRule type="cellIs" dxfId="353" priority="224" operator="lessThan">
      <formula>7.9</formula>
    </cfRule>
    <cfRule type="cellIs" dxfId="352" priority="225" operator="lessThan">
      <formula>6.9</formula>
    </cfRule>
    <cfRule type="cellIs" dxfId="351" priority="226" operator="lessThan">
      <formula>7.4</formula>
    </cfRule>
    <cfRule type="cellIs" dxfId="350" priority="227" operator="lessThan">
      <formula>6.9</formula>
    </cfRule>
    <cfRule type="cellIs" dxfId="349" priority="228" operator="lessThan">
      <formula>7.4</formula>
    </cfRule>
    <cfRule type="cellIs" dxfId="348" priority="229" operator="lessThan">
      <formula>7.9</formula>
    </cfRule>
    <cfRule type="cellIs" dxfId="347" priority="230" operator="lessThan">
      <formula>6.9</formula>
    </cfRule>
    <cfRule type="cellIs" dxfId="346" priority="231" operator="lessThan">
      <formula>7.4</formula>
    </cfRule>
    <cfRule type="cellIs" dxfId="345" priority="421" operator="lessThan">
      <formula>7.9</formula>
    </cfRule>
    <cfRule type="cellIs" dxfId="344" priority="422" operator="lessThan">
      <formula>6.9</formula>
    </cfRule>
    <cfRule type="cellIs" dxfId="343" priority="423" operator="lessThan">
      <formula>7.4</formula>
    </cfRule>
  </conditionalFormatting>
  <conditionalFormatting sqref="AC4:AC19">
    <cfRule type="cellIs" dxfId="342" priority="581" operator="lessThan">
      <formula>7.9</formula>
    </cfRule>
  </conditionalFormatting>
  <conditionalFormatting sqref="AD3:AD18">
    <cfRule type="cellIs" dxfId="341" priority="537" operator="lessThan">
      <formula>6.9</formula>
    </cfRule>
  </conditionalFormatting>
  <conditionalFormatting sqref="AD3:AD19">
    <cfRule type="cellIs" dxfId="340" priority="538" operator="lessThan">
      <formula>7.4</formula>
    </cfRule>
  </conditionalFormatting>
  <conditionalFormatting sqref="AE3:AF18 G17:H18 M17:N18 P17:Q18 Y17:Z18 AB17:AC18 AF19">
    <cfRule type="cellIs" dxfId="339" priority="571" operator="lessThan">
      <formula>7.4</formula>
    </cfRule>
  </conditionalFormatting>
  <conditionalFormatting sqref="AE3:AF18 AF19 G17:H18 M17:N18 P17:Q18 Y17:Z18 AB17:AC18">
    <cfRule type="cellIs" dxfId="338" priority="570" operator="lessThan">
      <formula>6.9</formula>
    </cfRule>
  </conditionalFormatting>
  <conditionalFormatting sqref="AE3:AF19 B3:B19">
    <cfRule type="cellIs" dxfId="337" priority="569" operator="lessThan">
      <formula>7.9</formula>
    </cfRule>
  </conditionalFormatting>
  <conditionalFormatting sqref="AE3:AF19">
    <cfRule type="cellIs" dxfId="336" priority="564" operator="lessThan">
      <formula>6.9</formula>
    </cfRule>
    <cfRule type="cellIs" dxfId="335" priority="565" operator="lessThan">
      <formula>7.4</formula>
    </cfRule>
  </conditionalFormatting>
  <conditionalFormatting sqref="AF3:AF19">
    <cfRule type="cellIs" dxfId="334" priority="18" operator="lessThan">
      <formula>6.9</formula>
    </cfRule>
    <cfRule type="cellIs" dxfId="333" priority="19" operator="lessThan">
      <formula>7.4</formula>
    </cfRule>
    <cfRule type="cellIs" dxfId="332" priority="20" operator="lessThan">
      <formula>7.9</formula>
    </cfRule>
    <cfRule type="cellIs" dxfId="331" priority="21" operator="lessThan">
      <formula>6.9</formula>
    </cfRule>
    <cfRule type="cellIs" dxfId="330" priority="22" operator="lessThan">
      <formula>7.9</formula>
    </cfRule>
    <cfRule type="cellIs" dxfId="329" priority="23" operator="lessThan">
      <formula>7.4</formula>
    </cfRule>
    <cfRule type="cellIs" dxfId="328" priority="24" operator="lessThan">
      <formula>6.9</formula>
    </cfRule>
    <cfRule type="cellIs" dxfId="327" priority="25" operator="lessThan">
      <formula>7.4</formula>
    </cfRule>
    <cfRule type="cellIs" dxfId="326" priority="26" operator="lessThan">
      <formula>7.9</formula>
    </cfRule>
    <cfRule type="cellIs" dxfId="325" priority="27" operator="lessThan">
      <formula>6.9</formula>
    </cfRule>
    <cfRule type="cellIs" dxfId="324" priority="28" operator="lessThan">
      <formula>7.9</formula>
    </cfRule>
    <cfRule type="cellIs" dxfId="323" priority="29" operator="lessThan">
      <formula>6.9</formula>
    </cfRule>
    <cfRule type="cellIs" dxfId="322" priority="30" operator="lessThan">
      <formula>7.4</formula>
    </cfRule>
    <cfRule type="cellIs" dxfId="321" priority="31" operator="lessThan">
      <formula>7.9</formula>
    </cfRule>
    <cfRule type="cellIs" dxfId="320" priority="32" operator="lessThan">
      <formula>6.9</formula>
    </cfRule>
    <cfRule type="cellIs" dxfId="319" priority="33" operator="lessThan">
      <formula>7.4</formula>
    </cfRule>
    <cfRule type="cellIs" dxfId="318" priority="34" operator="lessThan">
      <formula>6.9</formula>
    </cfRule>
    <cfRule type="cellIs" dxfId="317" priority="35" operator="lessThan">
      <formula>7.4</formula>
    </cfRule>
    <cfRule type="cellIs" dxfId="316" priority="36" operator="lessThan">
      <formula>7.9</formula>
    </cfRule>
    <cfRule type="cellIs" dxfId="315" priority="37" operator="lessThan">
      <formula>6.9</formula>
    </cfRule>
    <cfRule type="cellIs" dxfId="314" priority="38" operator="lessThan">
      <formula>7.9</formula>
    </cfRule>
    <cfRule type="cellIs" dxfId="313" priority="39" operator="lessThan">
      <formula>7.4</formula>
    </cfRule>
    <cfRule type="cellIs" dxfId="312" priority="40" operator="lessThan">
      <formula>6.9</formula>
    </cfRule>
    <cfRule type="cellIs" dxfId="311" priority="41" operator="lessThan">
      <formula>7.4</formula>
    </cfRule>
    <cfRule type="cellIs" dxfId="310" priority="42" operator="lessThan">
      <formula>7.9</formula>
    </cfRule>
    <cfRule type="cellIs" dxfId="309" priority="43" operator="lessThan">
      <formula>6.9</formula>
    </cfRule>
    <cfRule type="cellIs" dxfId="308" priority="44" operator="lessThan">
      <formula>7.9</formula>
    </cfRule>
    <cfRule type="cellIs" dxfId="307" priority="45" operator="lessThan">
      <formula>6.9</formula>
    </cfRule>
    <cfRule type="cellIs" dxfId="306" priority="46" operator="lessThan">
      <formula>7.4</formula>
    </cfRule>
    <cfRule type="cellIs" dxfId="305" priority="47" operator="lessThan">
      <formula>7.9</formula>
    </cfRule>
    <cfRule type="cellIs" dxfId="304" priority="48" operator="lessThan">
      <formula>6.9</formula>
    </cfRule>
    <cfRule type="cellIs" dxfId="303" priority="49" operator="lessThan">
      <formula>7.4</formula>
    </cfRule>
    <cfRule type="cellIs" dxfId="302" priority="50" operator="lessThan">
      <formula>7.9</formula>
    </cfRule>
    <cfRule type="cellIs" dxfId="301" priority="51" operator="lessThan">
      <formula>6.9</formula>
    </cfRule>
    <cfRule type="cellIs" dxfId="300" priority="52" operator="lessThan">
      <formula>7.4</formula>
    </cfRule>
    <cfRule type="cellIs" dxfId="299" priority="53" operator="lessThan">
      <formula>6.9</formula>
    </cfRule>
    <cfRule type="cellIs" dxfId="298" priority="54" operator="lessThan">
      <formula>7.4</formula>
    </cfRule>
    <cfRule type="cellIs" dxfId="297" priority="55" operator="lessThan">
      <formula>7.9</formula>
    </cfRule>
    <cfRule type="cellIs" dxfId="296" priority="56" operator="lessThan">
      <formula>6.9</formula>
    </cfRule>
    <cfRule type="cellIs" dxfId="295" priority="57" operator="lessThan">
      <formula>7.9</formula>
    </cfRule>
    <cfRule type="cellIs" dxfId="294" priority="58" operator="lessThan">
      <formula>7.4</formula>
    </cfRule>
    <cfRule type="cellIs" dxfId="293" priority="59" operator="lessThan">
      <formula>6.9</formula>
    </cfRule>
    <cfRule type="cellIs" dxfId="292" priority="60" operator="lessThan">
      <formula>7.4</formula>
    </cfRule>
    <cfRule type="cellIs" dxfId="291" priority="61" operator="lessThan">
      <formula>7.9</formula>
    </cfRule>
    <cfRule type="cellIs" dxfId="290" priority="62" operator="lessThan">
      <formula>6.9</formula>
    </cfRule>
    <cfRule type="cellIs" dxfId="289" priority="63" operator="lessThan">
      <formula>7.9</formula>
    </cfRule>
    <cfRule type="cellIs" dxfId="288" priority="64" operator="lessThan">
      <formula>6.9</formula>
    </cfRule>
    <cfRule type="cellIs" dxfId="287" priority="65" operator="lessThan">
      <formula>7.4</formula>
    </cfRule>
    <cfRule type="cellIs" dxfId="286" priority="66" operator="lessThan">
      <formula>7.9</formula>
    </cfRule>
    <cfRule type="cellIs" dxfId="285" priority="67" operator="lessThan">
      <formula>6.9</formula>
    </cfRule>
    <cfRule type="cellIs" dxfId="284" priority="68" operator="lessThan">
      <formula>7.4</formula>
    </cfRule>
    <cfRule type="cellIs" dxfId="283" priority="69" operator="lessThan">
      <formula>6.9</formula>
    </cfRule>
    <cfRule type="cellIs" dxfId="282" priority="70" operator="lessThan">
      <formula>7.4</formula>
    </cfRule>
    <cfRule type="cellIs" dxfId="281" priority="71" operator="lessThan">
      <formula>7.9</formula>
    </cfRule>
    <cfRule type="cellIs" dxfId="280" priority="72" operator="lessThan">
      <formula>6.9</formula>
    </cfRule>
    <cfRule type="cellIs" dxfId="279" priority="73" operator="lessThan">
      <formula>7.4</formula>
    </cfRule>
    <cfRule type="cellIs" dxfId="278" priority="74" operator="lessThan">
      <formula>7.9</formula>
    </cfRule>
    <cfRule type="cellIs" dxfId="277" priority="75" operator="lessThan">
      <formula>6.9</formula>
    </cfRule>
    <cfRule type="cellIs" dxfId="276" priority="76" operator="lessThan">
      <formula>7.9</formula>
    </cfRule>
    <cfRule type="cellIs" dxfId="275" priority="77" operator="lessThan">
      <formula>7.4</formula>
    </cfRule>
    <cfRule type="cellIs" dxfId="274" priority="78" operator="lessThan">
      <formula>6.9</formula>
    </cfRule>
    <cfRule type="cellIs" dxfId="273" priority="79" operator="lessThan">
      <formula>7.4</formula>
    </cfRule>
    <cfRule type="cellIs" dxfId="272" priority="80" operator="lessThan">
      <formula>7.9</formula>
    </cfRule>
    <cfRule type="cellIs" dxfId="271" priority="81" operator="lessThan">
      <formula>6.9</formula>
    </cfRule>
    <cfRule type="cellIs" dxfId="270" priority="82" operator="lessThan">
      <formula>7.9</formula>
    </cfRule>
    <cfRule type="cellIs" dxfId="269" priority="83" operator="lessThan">
      <formula>6.9</formula>
    </cfRule>
    <cfRule type="cellIs" dxfId="268" priority="84" operator="lessThan">
      <formula>7.4</formula>
    </cfRule>
    <cfRule type="cellIs" dxfId="267" priority="85" operator="lessThan">
      <formula>7.9</formula>
    </cfRule>
    <cfRule type="cellIs" dxfId="266" priority="86" operator="lessThan">
      <formula>6.9</formula>
    </cfRule>
    <cfRule type="cellIs" dxfId="265" priority="87" operator="lessThan">
      <formula>7.4</formula>
    </cfRule>
    <cfRule type="cellIs" dxfId="264" priority="88" operator="lessThan">
      <formula>6.9</formula>
    </cfRule>
    <cfRule type="cellIs" dxfId="263" priority="89" operator="lessThan">
      <formula>7.4</formula>
    </cfRule>
    <cfRule type="cellIs" dxfId="262" priority="90" operator="lessThan">
      <formula>7.9</formula>
    </cfRule>
    <cfRule type="cellIs" dxfId="261" priority="91" operator="lessThan">
      <formula>6.9</formula>
    </cfRule>
    <cfRule type="cellIs" dxfId="260" priority="92" operator="lessThan">
      <formula>7.4</formula>
    </cfRule>
    <cfRule type="cellIs" dxfId="259" priority="93" operator="lessThan">
      <formula>6.9</formula>
    </cfRule>
    <cfRule type="cellIs" dxfId="258" priority="94" operator="lessThan">
      <formula>7.4</formula>
    </cfRule>
    <cfRule type="cellIs" dxfId="257" priority="95" operator="lessThan">
      <formula>7.9</formula>
    </cfRule>
    <cfRule type="cellIs" dxfId="256" priority="96" operator="lessThan">
      <formula>6.9</formula>
    </cfRule>
    <cfRule type="cellIs" dxfId="255" priority="97" operator="lessThan">
      <formula>7.4</formula>
    </cfRule>
    <cfRule type="cellIs" dxfId="254" priority="98" operator="lessThan">
      <formula>7.9</formula>
    </cfRule>
    <cfRule type="cellIs" dxfId="253" priority="99" operator="lessThan">
      <formula>6.9</formula>
    </cfRule>
    <cfRule type="cellIs" dxfId="252" priority="100" operator="lessThan">
      <formula>7.9</formula>
    </cfRule>
    <cfRule type="cellIs" dxfId="251" priority="101" operator="lessThan">
      <formula>7.4</formula>
    </cfRule>
    <cfRule type="cellIs" dxfId="250" priority="102" operator="lessThan">
      <formula>6.9</formula>
    </cfRule>
    <cfRule type="cellIs" dxfId="249" priority="103" operator="lessThan">
      <formula>7.4</formula>
    </cfRule>
    <cfRule type="cellIs" dxfId="248" priority="104" operator="lessThan">
      <formula>7.9</formula>
    </cfRule>
    <cfRule type="cellIs" dxfId="247" priority="105" operator="lessThan">
      <formula>6.9</formula>
    </cfRule>
    <cfRule type="cellIs" dxfId="246" priority="106" operator="lessThan">
      <formula>7.9</formula>
    </cfRule>
    <cfRule type="cellIs" dxfId="245" priority="107" operator="lessThan">
      <formula>6.9</formula>
    </cfRule>
    <cfRule type="cellIs" dxfId="244" priority="108" operator="lessThan">
      <formula>7.4</formula>
    </cfRule>
    <cfRule type="cellIs" dxfId="243" priority="109" operator="lessThan">
      <formula>7.9</formula>
    </cfRule>
    <cfRule type="cellIs" dxfId="242" priority="110" operator="lessThan">
      <formula>6.9</formula>
    </cfRule>
    <cfRule type="cellIs" dxfId="241" priority="111" operator="lessThan">
      <formula>7.4</formula>
    </cfRule>
    <cfRule type="cellIs" dxfId="240" priority="112" operator="lessThan">
      <formula>6.9</formula>
    </cfRule>
    <cfRule type="cellIs" dxfId="239" priority="113" operator="lessThan">
      <formula>7.4</formula>
    </cfRule>
    <cfRule type="cellIs" dxfId="238" priority="114" operator="lessThan">
      <formula>7.9</formula>
    </cfRule>
    <cfRule type="cellIs" dxfId="237" priority="115" operator="lessThan">
      <formula>6.9</formula>
    </cfRule>
    <cfRule type="cellIs" dxfId="236" priority="116" operator="lessThan">
      <formula>7.4</formula>
    </cfRule>
    <cfRule type="cellIs" dxfId="235" priority="117" operator="lessThan">
      <formula>6.9</formula>
    </cfRule>
    <cfRule type="cellIs" dxfId="234" priority="118" operator="lessThan">
      <formula>7.4</formula>
    </cfRule>
    <cfRule type="cellIs" dxfId="233" priority="119" operator="lessThan">
      <formula>7.9</formula>
    </cfRule>
    <cfRule type="cellIs" dxfId="232" priority="120" operator="lessThan">
      <formula>6.9</formula>
    </cfRule>
    <cfRule type="cellIs" dxfId="231" priority="121" operator="lessThan">
      <formula>7.4</formula>
    </cfRule>
    <cfRule type="cellIs" dxfId="230" priority="122" operator="lessThan">
      <formula>7.9</formula>
    </cfRule>
    <cfRule type="cellIs" dxfId="229" priority="123" operator="lessThan">
      <formula>6.9</formula>
    </cfRule>
    <cfRule type="cellIs" dxfId="228" priority="124" operator="lessThan">
      <formula>7.4</formula>
    </cfRule>
    <cfRule type="cellIs" dxfId="227" priority="125" operator="lessThan">
      <formula>7.9</formula>
    </cfRule>
    <cfRule type="cellIs" dxfId="226" priority="126" operator="lessThan">
      <formula>6.9</formula>
    </cfRule>
    <cfRule type="cellIs" dxfId="225" priority="127" operator="lessThan">
      <formula>7.4</formula>
    </cfRule>
    <cfRule type="cellIs" dxfId="224" priority="415" operator="lessThan">
      <formula>7.9</formula>
    </cfRule>
    <cfRule type="cellIs" dxfId="223" priority="416" operator="lessThan">
      <formula>6.9</formula>
    </cfRule>
    <cfRule type="cellIs" dxfId="222" priority="417" operator="lessThan">
      <formula>7.4</formula>
    </cfRule>
    <cfRule type="cellIs" dxfId="221" priority="418" operator="lessThan">
      <formula>7.9</formula>
    </cfRule>
    <cfRule type="cellIs" dxfId="220" priority="419" operator="lessThan">
      <formula>6.9</formula>
    </cfRule>
    <cfRule type="cellIs" dxfId="219" priority="420" operator="lessThan">
      <formula>7.4</formula>
    </cfRule>
  </conditionalFormatting>
  <conditionalFormatting sqref="AG3:AG16">
    <cfRule type="cellIs" dxfId="218" priority="10" operator="lessThan">
      <formula>7.4</formula>
    </cfRule>
    <cfRule type="cellIs" dxfId="217" priority="11" operator="lessThan">
      <formula>6.9</formula>
    </cfRule>
  </conditionalFormatting>
  <conditionalFormatting sqref="AG12:AG18">
    <cfRule type="cellIs" dxfId="216" priority="9" operator="lessThan">
      <formula>6.9</formula>
    </cfRule>
  </conditionalFormatting>
  <conditionalFormatting sqref="AG3:AI19">
    <cfRule type="cellIs" dxfId="215" priority="1" operator="lessThan">
      <formula>7.9</formula>
    </cfRule>
    <cfRule type="cellIs" dxfId="214" priority="6" operator="lessThan">
      <formula>7.9</formula>
    </cfRule>
  </conditionalFormatting>
  <conditionalFormatting sqref="AG17:AI19">
    <cfRule type="cellIs" dxfId="213" priority="8" operator="lessThan">
      <formula>7.4</formula>
    </cfRule>
  </conditionalFormatting>
  <conditionalFormatting sqref="AH3:AI16 AI17:AI19">
    <cfRule type="cellIs" dxfId="212" priority="15" operator="lessThan">
      <formula>7.4</formula>
    </cfRule>
    <cfRule type="cellIs" dxfId="211" priority="16" operator="lessThan">
      <formula>6.9</formula>
    </cfRule>
  </conditionalFormatting>
  <conditionalFormatting sqref="AH12:AI16">
    <cfRule type="cellIs" dxfId="210" priority="14" operator="lessThan">
      <formula>6.9</formula>
    </cfRule>
  </conditionalFormatting>
  <conditionalFormatting sqref="AH17:AI18">
    <cfRule type="cellIs" dxfId="209" priority="12" operator="lessThan">
      <formula>6.9</formula>
    </cfRule>
  </conditionalFormatting>
  <conditionalFormatting sqref="AI3:AI19">
    <cfRule type="cellIs" dxfId="208" priority="2" operator="lessThan">
      <formula>6.9</formula>
    </cfRule>
    <cfRule type="cellIs" dxfId="207" priority="3" operator="lessThan">
      <formula>7.4</formula>
    </cfRule>
    <cfRule type="cellIs" dxfId="206" priority="4" operator="lessThan">
      <formula>7.9</formula>
    </cfRule>
    <cfRule type="cellIs" dxfId="205" priority="5" operator="lessThan">
      <formula>6.9</formula>
    </cfRule>
  </conditionalFormatting>
  <conditionalFormatting sqref="AI4:AI19">
    <cfRule type="cellIs" dxfId="204" priority="13" operator="lessThan">
      <formula>7.9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M1000"/>
  <sheetViews>
    <sheetView zoomScale="90" zoomScaleNormal="90" workbookViewId="0">
      <selection activeCell="A10" sqref="A10:B10"/>
    </sheetView>
  </sheetViews>
  <sheetFormatPr baseColWidth="10" defaultColWidth="14.42578125" defaultRowHeight="15.75" customHeight="1" x14ac:dyDescent="0.2"/>
  <cols>
    <col min="1" max="1" width="14.28515625" bestFit="1" customWidth="1"/>
    <col min="2" max="2" width="50.7109375" customWidth="1"/>
    <col min="3" max="3" width="8.28515625" bestFit="1" customWidth="1"/>
    <col min="4" max="4" width="9.42578125" bestFit="1" customWidth="1"/>
    <col min="5" max="5" width="9.5703125" bestFit="1" customWidth="1"/>
    <col min="6" max="35" width="5.7109375" customWidth="1"/>
    <col min="36" max="36" width="16.85546875" bestFit="1" customWidth="1"/>
    <col min="37" max="39" width="10.7109375" customWidth="1"/>
  </cols>
  <sheetData>
    <row r="1" spans="1:39" ht="44.45" customHeight="1" x14ac:dyDescent="0.2">
      <c r="A1" s="76"/>
      <c r="B1" s="46"/>
      <c r="C1" s="47"/>
      <c r="D1" s="47"/>
      <c r="E1" s="47"/>
      <c r="F1" s="200" t="s">
        <v>866</v>
      </c>
      <c r="G1" s="201"/>
      <c r="H1" s="202"/>
      <c r="I1" s="203" t="s">
        <v>870</v>
      </c>
      <c r="J1" s="204"/>
      <c r="K1" s="205"/>
      <c r="L1" s="194" t="s">
        <v>542</v>
      </c>
      <c r="M1" s="195"/>
      <c r="N1" s="196"/>
      <c r="O1" s="194" t="s">
        <v>543</v>
      </c>
      <c r="P1" s="195"/>
      <c r="Q1" s="196"/>
      <c r="R1" s="194" t="s">
        <v>871</v>
      </c>
      <c r="S1" s="195"/>
      <c r="T1" s="196"/>
      <c r="U1" s="194" t="s">
        <v>544</v>
      </c>
      <c r="V1" s="195"/>
      <c r="W1" s="196"/>
      <c r="X1" s="194" t="s">
        <v>0</v>
      </c>
      <c r="Y1" s="195"/>
      <c r="Z1" s="196"/>
      <c r="AA1" s="194" t="s">
        <v>872</v>
      </c>
      <c r="AB1" s="195"/>
      <c r="AC1" s="196"/>
      <c r="AD1" s="194" t="s">
        <v>873</v>
      </c>
      <c r="AE1" s="195"/>
      <c r="AF1" s="196"/>
      <c r="AG1" s="194" t="s">
        <v>874</v>
      </c>
      <c r="AH1" s="195"/>
      <c r="AI1" s="196"/>
      <c r="AJ1" s="71" t="s">
        <v>2</v>
      </c>
      <c r="AK1" s="48"/>
      <c r="AL1" s="48"/>
      <c r="AM1" s="48"/>
    </row>
    <row r="2" spans="1:39" x14ac:dyDescent="0.2">
      <c r="A2" s="73" t="s">
        <v>875</v>
      </c>
      <c r="B2" s="80" t="s">
        <v>876</v>
      </c>
      <c r="C2" s="75" t="s">
        <v>877</v>
      </c>
      <c r="D2" s="75" t="s">
        <v>878</v>
      </c>
      <c r="E2" s="75" t="s">
        <v>879</v>
      </c>
      <c r="F2" s="75" t="s">
        <v>774</v>
      </c>
      <c r="G2" s="75" t="s">
        <v>775</v>
      </c>
      <c r="H2" s="68" t="s">
        <v>11</v>
      </c>
      <c r="I2" s="75" t="s">
        <v>774</v>
      </c>
      <c r="J2" s="75" t="s">
        <v>775</v>
      </c>
      <c r="K2" s="68" t="s">
        <v>11</v>
      </c>
      <c r="L2" s="75" t="s">
        <v>774</v>
      </c>
      <c r="M2" s="75" t="s">
        <v>775</v>
      </c>
      <c r="N2" s="68" t="s">
        <v>11</v>
      </c>
      <c r="O2" s="75" t="s">
        <v>774</v>
      </c>
      <c r="P2" s="75" t="s">
        <v>775</v>
      </c>
      <c r="Q2" s="68" t="s">
        <v>11</v>
      </c>
      <c r="R2" s="75" t="s">
        <v>774</v>
      </c>
      <c r="S2" s="75" t="s">
        <v>775</v>
      </c>
      <c r="T2" s="68" t="s">
        <v>11</v>
      </c>
      <c r="U2" s="75" t="s">
        <v>774</v>
      </c>
      <c r="V2" s="75" t="s">
        <v>775</v>
      </c>
      <c r="W2" s="68" t="s">
        <v>11</v>
      </c>
      <c r="X2" s="75" t="s">
        <v>774</v>
      </c>
      <c r="Y2" s="75" t="s">
        <v>775</v>
      </c>
      <c r="Z2" s="68" t="s">
        <v>11</v>
      </c>
      <c r="AA2" s="75" t="s">
        <v>774</v>
      </c>
      <c r="AB2" s="75" t="s">
        <v>775</v>
      </c>
      <c r="AC2" s="68" t="s">
        <v>11</v>
      </c>
      <c r="AD2" s="75" t="s">
        <v>774</v>
      </c>
      <c r="AE2" s="75" t="s">
        <v>775</v>
      </c>
      <c r="AF2" s="68" t="s">
        <v>11</v>
      </c>
      <c r="AG2" s="75" t="s">
        <v>774</v>
      </c>
      <c r="AH2" s="75" t="s">
        <v>775</v>
      </c>
      <c r="AI2" s="68" t="s">
        <v>11</v>
      </c>
      <c r="AJ2" s="72" t="s">
        <v>12</v>
      </c>
      <c r="AK2" s="49"/>
      <c r="AL2" s="49"/>
      <c r="AM2" s="49"/>
    </row>
    <row r="3" spans="1:39" ht="16.5" customHeight="1" x14ac:dyDescent="0.25">
      <c r="A3" s="88" t="s">
        <v>834</v>
      </c>
      <c r="B3" s="50" t="s">
        <v>835</v>
      </c>
      <c r="C3" s="24" t="s">
        <v>15</v>
      </c>
      <c r="D3" s="50">
        <v>401</v>
      </c>
      <c r="E3" s="50"/>
      <c r="F3" s="14">
        <v>8</v>
      </c>
      <c r="G3" s="40">
        <v>9</v>
      </c>
      <c r="H3" s="81">
        <f>AVERAGE(F3:G3)</f>
        <v>8.5</v>
      </c>
      <c r="I3" s="41">
        <v>10</v>
      </c>
      <c r="J3" s="39">
        <v>10</v>
      </c>
      <c r="K3" s="81">
        <f>AVERAGE(I3:J3)</f>
        <v>10</v>
      </c>
      <c r="L3" s="14">
        <v>9</v>
      </c>
      <c r="M3" s="39">
        <v>9</v>
      </c>
      <c r="N3" s="81">
        <f>AVERAGE(L3:M3)</f>
        <v>9</v>
      </c>
      <c r="O3" s="14">
        <v>10</v>
      </c>
      <c r="P3" s="39">
        <v>10</v>
      </c>
      <c r="Q3" s="81">
        <f>AVERAGE(O3:P3)</f>
        <v>10</v>
      </c>
      <c r="R3" s="32">
        <v>9</v>
      </c>
      <c r="S3" s="39">
        <v>10</v>
      </c>
      <c r="T3" s="81">
        <f>AVERAGE(R3:S3)</f>
        <v>9.5</v>
      </c>
      <c r="U3" s="33">
        <v>10</v>
      </c>
      <c r="V3" s="39">
        <v>10</v>
      </c>
      <c r="W3" s="81">
        <f>AVERAGE(U3:V3)</f>
        <v>10</v>
      </c>
      <c r="X3" s="33">
        <v>10</v>
      </c>
      <c r="Y3" s="39">
        <v>10</v>
      </c>
      <c r="Z3" s="81">
        <f>AVERAGE(X3:Y3)</f>
        <v>10</v>
      </c>
      <c r="AA3" s="37">
        <v>10</v>
      </c>
      <c r="AB3" s="38">
        <v>10</v>
      </c>
      <c r="AC3" s="81">
        <f>AVERAGE(AA3:AB3)</f>
        <v>10</v>
      </c>
      <c r="AD3" s="14">
        <v>10</v>
      </c>
      <c r="AE3" s="39">
        <v>10</v>
      </c>
      <c r="AF3" s="81">
        <f>AVERAGE(AD3:AE3)</f>
        <v>10</v>
      </c>
      <c r="AG3" s="37">
        <v>10</v>
      </c>
      <c r="AH3" s="39">
        <v>10</v>
      </c>
      <c r="AI3" s="81">
        <f>AVERAGE(AG3:AH3)</f>
        <v>10</v>
      </c>
      <c r="AJ3" s="64">
        <f>AVERAGE(H3,K3,N3,Q3,T3,W3,Z3,AC3,AF3,AI3)</f>
        <v>9.6999999999999993</v>
      </c>
      <c r="AK3" s="49"/>
      <c r="AL3" s="49"/>
      <c r="AM3" s="49"/>
    </row>
    <row r="4" spans="1:39" ht="16.5" customHeight="1" x14ac:dyDescent="0.25">
      <c r="A4" s="88" t="s">
        <v>805</v>
      </c>
      <c r="B4" s="51" t="s">
        <v>806</v>
      </c>
      <c r="C4" s="24" t="s">
        <v>15</v>
      </c>
      <c r="D4" s="50">
        <v>401</v>
      </c>
      <c r="E4" s="51"/>
      <c r="F4" s="14">
        <v>4.8</v>
      </c>
      <c r="G4" s="40">
        <v>8</v>
      </c>
      <c r="H4" s="81">
        <f t="shared" ref="H4:H19" si="0">AVERAGE(F4:G4)</f>
        <v>6.4</v>
      </c>
      <c r="I4" s="14">
        <v>5</v>
      </c>
      <c r="J4" s="39">
        <v>10</v>
      </c>
      <c r="K4" s="81">
        <f t="shared" ref="K4:K19" si="1">AVERAGE(I4:J4)</f>
        <v>7.5</v>
      </c>
      <c r="L4" s="14">
        <v>7</v>
      </c>
      <c r="M4" s="39">
        <v>8</v>
      </c>
      <c r="N4" s="81">
        <f t="shared" ref="N4:N19" si="2">AVERAGE(L4:M4)</f>
        <v>7.5</v>
      </c>
      <c r="O4" s="14">
        <v>8</v>
      </c>
      <c r="P4" s="39">
        <v>8</v>
      </c>
      <c r="Q4" s="81">
        <f t="shared" ref="Q4:Q19" si="3">AVERAGE(O4:P4)</f>
        <v>8</v>
      </c>
      <c r="R4" s="32">
        <v>9</v>
      </c>
      <c r="S4" s="39">
        <v>8</v>
      </c>
      <c r="T4" s="81">
        <f t="shared" ref="T4:T19" si="4">AVERAGE(R4:S4)</f>
        <v>8.5</v>
      </c>
      <c r="U4" s="33">
        <v>10</v>
      </c>
      <c r="V4" s="39">
        <v>10</v>
      </c>
      <c r="W4" s="81">
        <f t="shared" ref="W4:W19" si="5">AVERAGE(U4:V4)</f>
        <v>10</v>
      </c>
      <c r="X4" s="33">
        <v>10</v>
      </c>
      <c r="Y4" s="39">
        <v>10</v>
      </c>
      <c r="Z4" s="81">
        <f t="shared" ref="Z4:Z19" si="6">AVERAGE(X4:Y4)</f>
        <v>10</v>
      </c>
      <c r="AA4" s="37">
        <v>10</v>
      </c>
      <c r="AB4" s="38">
        <v>10</v>
      </c>
      <c r="AC4" s="81">
        <f t="shared" ref="AC4:AC19" si="7">AVERAGE(AA4:AB4)</f>
        <v>10</v>
      </c>
      <c r="AD4" s="14">
        <v>9</v>
      </c>
      <c r="AE4" s="39">
        <v>9</v>
      </c>
      <c r="AF4" s="81">
        <f t="shared" ref="AF4:AF19" si="8">AVERAGE(AD4:AE4)</f>
        <v>9</v>
      </c>
      <c r="AG4" s="37">
        <v>10</v>
      </c>
      <c r="AH4" s="39">
        <v>10</v>
      </c>
      <c r="AI4" s="81">
        <f t="shared" ref="AI4:AI19" si="9">AVERAGE(AG4:AH4)</f>
        <v>10</v>
      </c>
      <c r="AJ4" s="64">
        <f t="shared" ref="AJ4:AJ19" si="10">AVERAGE(H4,K4,N4,Q4,T4,W4,Z4,AC4,AF4,AI4)</f>
        <v>8.6900000000000013</v>
      </c>
      <c r="AK4" s="49"/>
      <c r="AL4" s="49"/>
      <c r="AM4" s="49"/>
    </row>
    <row r="5" spans="1:39" ht="16.5" customHeight="1" x14ac:dyDescent="0.25">
      <c r="A5" s="88" t="s">
        <v>811</v>
      </c>
      <c r="B5" s="50" t="s">
        <v>880</v>
      </c>
      <c r="C5" s="24" t="s">
        <v>15</v>
      </c>
      <c r="D5" s="50">
        <v>401</v>
      </c>
      <c r="E5" s="50"/>
      <c r="F5" s="14">
        <v>5</v>
      </c>
      <c r="G5" s="40">
        <v>9</v>
      </c>
      <c r="H5" s="81">
        <v>7.5</v>
      </c>
      <c r="I5" s="14">
        <v>10</v>
      </c>
      <c r="J5" s="39">
        <v>10</v>
      </c>
      <c r="K5" s="81">
        <f t="shared" si="1"/>
        <v>10</v>
      </c>
      <c r="L5" s="14">
        <v>7</v>
      </c>
      <c r="M5" s="39">
        <v>8</v>
      </c>
      <c r="N5" s="81">
        <f t="shared" si="2"/>
        <v>7.5</v>
      </c>
      <c r="O5" s="14">
        <v>9</v>
      </c>
      <c r="P5" s="39">
        <v>9</v>
      </c>
      <c r="Q5" s="81">
        <f t="shared" si="3"/>
        <v>9</v>
      </c>
      <c r="R5" s="14">
        <v>9</v>
      </c>
      <c r="S5" s="39">
        <v>8</v>
      </c>
      <c r="T5" s="81">
        <f t="shared" si="4"/>
        <v>8.5</v>
      </c>
      <c r="U5" s="33">
        <v>10</v>
      </c>
      <c r="V5" s="39">
        <v>10</v>
      </c>
      <c r="W5" s="81">
        <f t="shared" si="5"/>
        <v>10</v>
      </c>
      <c r="X5" s="33">
        <v>10</v>
      </c>
      <c r="Y5" s="39">
        <v>10</v>
      </c>
      <c r="Z5" s="81">
        <f t="shared" si="6"/>
        <v>10</v>
      </c>
      <c r="AA5" s="37">
        <v>10</v>
      </c>
      <c r="AB5" s="38">
        <v>10</v>
      </c>
      <c r="AC5" s="81">
        <f t="shared" si="7"/>
        <v>10</v>
      </c>
      <c r="AD5" s="14">
        <v>9</v>
      </c>
      <c r="AE5" s="39">
        <v>9</v>
      </c>
      <c r="AF5" s="81">
        <f t="shared" si="8"/>
        <v>9</v>
      </c>
      <c r="AG5" s="37">
        <v>10</v>
      </c>
      <c r="AH5" s="39">
        <v>10</v>
      </c>
      <c r="AI5" s="81">
        <f t="shared" si="9"/>
        <v>10</v>
      </c>
      <c r="AJ5" s="64">
        <f t="shared" si="10"/>
        <v>9.15</v>
      </c>
      <c r="AK5" s="49"/>
      <c r="AL5" s="49"/>
      <c r="AM5" s="49"/>
    </row>
    <row r="6" spans="1:39" ht="16.5" customHeight="1" x14ac:dyDescent="0.25">
      <c r="A6" s="88" t="s">
        <v>832</v>
      </c>
      <c r="B6" s="50" t="s">
        <v>833</v>
      </c>
      <c r="C6" s="24" t="s">
        <v>15</v>
      </c>
      <c r="D6" s="50">
        <v>401</v>
      </c>
      <c r="E6" s="50"/>
      <c r="F6" s="14">
        <v>4</v>
      </c>
      <c r="G6" s="40">
        <v>8.1</v>
      </c>
      <c r="H6" s="81">
        <f t="shared" si="0"/>
        <v>6.05</v>
      </c>
      <c r="I6" s="14">
        <v>10</v>
      </c>
      <c r="J6" s="39">
        <v>10</v>
      </c>
      <c r="K6" s="81">
        <f t="shared" si="1"/>
        <v>10</v>
      </c>
      <c r="L6" s="14">
        <v>8</v>
      </c>
      <c r="M6" s="39">
        <v>8</v>
      </c>
      <c r="N6" s="81">
        <f t="shared" si="2"/>
        <v>8</v>
      </c>
      <c r="O6" s="14">
        <v>9</v>
      </c>
      <c r="P6" s="39">
        <v>9</v>
      </c>
      <c r="Q6" s="81">
        <f t="shared" si="3"/>
        <v>9</v>
      </c>
      <c r="R6" s="14">
        <v>9</v>
      </c>
      <c r="S6" s="39">
        <v>8</v>
      </c>
      <c r="T6" s="81">
        <f t="shared" si="4"/>
        <v>8.5</v>
      </c>
      <c r="U6" s="33">
        <v>10</v>
      </c>
      <c r="V6" s="39">
        <v>10</v>
      </c>
      <c r="W6" s="81">
        <f t="shared" si="5"/>
        <v>10</v>
      </c>
      <c r="X6" s="33">
        <v>10</v>
      </c>
      <c r="Y6" s="39">
        <v>10</v>
      </c>
      <c r="Z6" s="81">
        <f t="shared" si="6"/>
        <v>10</v>
      </c>
      <c r="AA6" s="37">
        <v>10</v>
      </c>
      <c r="AB6" s="38">
        <v>10</v>
      </c>
      <c r="AC6" s="81">
        <f t="shared" si="7"/>
        <v>10</v>
      </c>
      <c r="AD6" s="14">
        <v>8</v>
      </c>
      <c r="AE6" s="39">
        <v>8</v>
      </c>
      <c r="AF6" s="81">
        <f t="shared" si="8"/>
        <v>8</v>
      </c>
      <c r="AG6" s="37">
        <v>10</v>
      </c>
      <c r="AH6" s="39">
        <v>10</v>
      </c>
      <c r="AI6" s="81">
        <f t="shared" si="9"/>
        <v>10</v>
      </c>
      <c r="AJ6" s="64">
        <f t="shared" si="10"/>
        <v>8.9550000000000001</v>
      </c>
      <c r="AK6" s="49"/>
      <c r="AL6" s="49"/>
      <c r="AM6" s="49"/>
    </row>
    <row r="7" spans="1:39" ht="15.4" customHeight="1" x14ac:dyDescent="0.25">
      <c r="A7" s="88" t="s">
        <v>828</v>
      </c>
      <c r="B7" s="51" t="s">
        <v>829</v>
      </c>
      <c r="C7" s="24" t="s">
        <v>15</v>
      </c>
      <c r="D7" s="50">
        <v>401</v>
      </c>
      <c r="E7" s="51"/>
      <c r="F7" s="14">
        <v>9</v>
      </c>
      <c r="G7" s="40">
        <v>10</v>
      </c>
      <c r="H7" s="81">
        <f t="shared" si="0"/>
        <v>9.5</v>
      </c>
      <c r="I7" s="14">
        <v>10</v>
      </c>
      <c r="J7" s="39">
        <v>10</v>
      </c>
      <c r="K7" s="81">
        <f t="shared" si="1"/>
        <v>10</v>
      </c>
      <c r="L7" s="14">
        <v>9</v>
      </c>
      <c r="M7" s="39">
        <v>9</v>
      </c>
      <c r="N7" s="81">
        <f t="shared" si="2"/>
        <v>9</v>
      </c>
      <c r="O7" s="14">
        <v>8</v>
      </c>
      <c r="P7" s="39">
        <v>8</v>
      </c>
      <c r="Q7" s="81">
        <f t="shared" si="3"/>
        <v>8</v>
      </c>
      <c r="R7" s="14">
        <v>9</v>
      </c>
      <c r="S7" s="39">
        <v>8</v>
      </c>
      <c r="T7" s="81">
        <f t="shared" si="4"/>
        <v>8.5</v>
      </c>
      <c r="U7" s="33">
        <v>10</v>
      </c>
      <c r="V7" s="39">
        <v>10</v>
      </c>
      <c r="W7" s="81">
        <f t="shared" si="5"/>
        <v>10</v>
      </c>
      <c r="X7" s="33">
        <v>10</v>
      </c>
      <c r="Y7" s="39">
        <v>10</v>
      </c>
      <c r="Z7" s="81">
        <f t="shared" si="6"/>
        <v>10</v>
      </c>
      <c r="AA7" s="37">
        <v>10</v>
      </c>
      <c r="AB7" s="38">
        <v>10</v>
      </c>
      <c r="AC7" s="81">
        <f t="shared" si="7"/>
        <v>10</v>
      </c>
      <c r="AD7" s="14">
        <v>10</v>
      </c>
      <c r="AE7" s="39">
        <v>10</v>
      </c>
      <c r="AF7" s="81">
        <f t="shared" si="8"/>
        <v>10</v>
      </c>
      <c r="AG7" s="37">
        <v>10</v>
      </c>
      <c r="AH7" s="39">
        <v>10</v>
      </c>
      <c r="AI7" s="81">
        <f t="shared" si="9"/>
        <v>10</v>
      </c>
      <c r="AJ7" s="64">
        <f t="shared" si="10"/>
        <v>9.5</v>
      </c>
      <c r="AK7" s="49"/>
      <c r="AL7" s="49"/>
      <c r="AM7" s="49"/>
    </row>
    <row r="8" spans="1:39" x14ac:dyDescent="0.25">
      <c r="A8" s="88" t="s">
        <v>807</v>
      </c>
      <c r="B8" s="51" t="s">
        <v>808</v>
      </c>
      <c r="C8" s="24" t="s">
        <v>15</v>
      </c>
      <c r="D8" s="50">
        <v>401</v>
      </c>
      <c r="E8" s="51"/>
      <c r="F8" s="14">
        <v>10</v>
      </c>
      <c r="G8" s="40">
        <v>10</v>
      </c>
      <c r="H8" s="81">
        <f t="shared" si="0"/>
        <v>10</v>
      </c>
      <c r="I8" s="14">
        <v>10</v>
      </c>
      <c r="J8" s="39">
        <v>10</v>
      </c>
      <c r="K8" s="81">
        <f t="shared" si="1"/>
        <v>10</v>
      </c>
      <c r="L8" s="14">
        <v>10</v>
      </c>
      <c r="M8" s="39">
        <v>10</v>
      </c>
      <c r="N8" s="81">
        <f t="shared" si="2"/>
        <v>10</v>
      </c>
      <c r="O8" s="14">
        <v>10</v>
      </c>
      <c r="P8" s="39">
        <v>10</v>
      </c>
      <c r="Q8" s="81">
        <f t="shared" si="3"/>
        <v>10</v>
      </c>
      <c r="R8" s="14">
        <v>10</v>
      </c>
      <c r="S8" s="39">
        <v>10</v>
      </c>
      <c r="T8" s="81">
        <f t="shared" si="4"/>
        <v>10</v>
      </c>
      <c r="U8" s="33">
        <v>10</v>
      </c>
      <c r="V8" s="39">
        <v>10</v>
      </c>
      <c r="W8" s="81">
        <f t="shared" si="5"/>
        <v>10</v>
      </c>
      <c r="X8" s="33">
        <v>10</v>
      </c>
      <c r="Y8" s="39">
        <v>10</v>
      </c>
      <c r="Z8" s="81">
        <f t="shared" si="6"/>
        <v>10</v>
      </c>
      <c r="AA8" s="37">
        <v>10</v>
      </c>
      <c r="AB8" s="38">
        <v>10</v>
      </c>
      <c r="AC8" s="81">
        <f t="shared" si="7"/>
        <v>10</v>
      </c>
      <c r="AD8" s="14">
        <v>10</v>
      </c>
      <c r="AE8" s="39">
        <v>10</v>
      </c>
      <c r="AF8" s="81">
        <f t="shared" si="8"/>
        <v>10</v>
      </c>
      <c r="AG8" s="37">
        <v>10</v>
      </c>
      <c r="AH8" s="39">
        <v>10</v>
      </c>
      <c r="AI8" s="81">
        <f t="shared" si="9"/>
        <v>10</v>
      </c>
      <c r="AJ8" s="64">
        <f t="shared" si="10"/>
        <v>10</v>
      </c>
      <c r="AK8" s="49"/>
      <c r="AL8" s="49"/>
      <c r="AM8" s="49"/>
    </row>
    <row r="9" spans="1:39" ht="16.5" customHeight="1" x14ac:dyDescent="0.25">
      <c r="A9" s="88" t="s">
        <v>821</v>
      </c>
      <c r="B9" s="51" t="s">
        <v>822</v>
      </c>
      <c r="C9" s="24" t="s">
        <v>15</v>
      </c>
      <c r="D9" s="50">
        <v>401</v>
      </c>
      <c r="E9" s="51"/>
      <c r="F9" s="42">
        <v>9.5</v>
      </c>
      <c r="G9" s="43">
        <v>9.8000000000000007</v>
      </c>
      <c r="H9" s="81">
        <f t="shared" si="0"/>
        <v>9.65</v>
      </c>
      <c r="I9" s="14">
        <v>10</v>
      </c>
      <c r="J9" s="39">
        <v>10</v>
      </c>
      <c r="K9" s="81">
        <f t="shared" si="1"/>
        <v>10</v>
      </c>
      <c r="L9" s="19">
        <v>10</v>
      </c>
      <c r="M9" s="39">
        <v>10</v>
      </c>
      <c r="N9" s="81">
        <f t="shared" si="2"/>
        <v>10</v>
      </c>
      <c r="O9" s="14">
        <v>10</v>
      </c>
      <c r="P9" s="39">
        <v>10</v>
      </c>
      <c r="Q9" s="81">
        <f t="shared" si="3"/>
        <v>10</v>
      </c>
      <c r="R9" s="14">
        <v>10</v>
      </c>
      <c r="S9" s="39">
        <v>9</v>
      </c>
      <c r="T9" s="81">
        <f t="shared" si="4"/>
        <v>9.5</v>
      </c>
      <c r="U9" s="33">
        <v>10</v>
      </c>
      <c r="V9" s="39">
        <v>10</v>
      </c>
      <c r="W9" s="81">
        <f t="shared" si="5"/>
        <v>10</v>
      </c>
      <c r="X9" s="33">
        <v>10</v>
      </c>
      <c r="Y9" s="39">
        <v>10</v>
      </c>
      <c r="Z9" s="81">
        <f t="shared" si="6"/>
        <v>10</v>
      </c>
      <c r="AA9" s="37">
        <v>10</v>
      </c>
      <c r="AB9" s="38">
        <v>9</v>
      </c>
      <c r="AC9" s="81">
        <f t="shared" si="7"/>
        <v>9.5</v>
      </c>
      <c r="AD9" s="14">
        <v>8</v>
      </c>
      <c r="AE9" s="39">
        <v>8</v>
      </c>
      <c r="AF9" s="81">
        <f t="shared" si="8"/>
        <v>8</v>
      </c>
      <c r="AG9" s="37">
        <v>10</v>
      </c>
      <c r="AH9" s="39">
        <v>10</v>
      </c>
      <c r="AI9" s="81">
        <f t="shared" si="9"/>
        <v>10</v>
      </c>
      <c r="AJ9" s="64">
        <f t="shared" si="10"/>
        <v>9.6650000000000009</v>
      </c>
      <c r="AK9" s="49"/>
      <c r="AL9" s="49"/>
      <c r="AM9" s="49"/>
    </row>
    <row r="10" spans="1:39" ht="16.5" customHeight="1" x14ac:dyDescent="0.25">
      <c r="A10" s="230" t="s">
        <v>899</v>
      </c>
      <c r="B10" s="229" t="s">
        <v>820</v>
      </c>
      <c r="C10" s="24" t="s">
        <v>15</v>
      </c>
      <c r="D10" s="50">
        <v>401</v>
      </c>
      <c r="E10" s="50"/>
      <c r="F10" s="14">
        <v>10</v>
      </c>
      <c r="G10" s="40">
        <v>9.8000000000000007</v>
      </c>
      <c r="H10" s="81">
        <f t="shared" si="0"/>
        <v>9.9</v>
      </c>
      <c r="I10" s="14">
        <v>10</v>
      </c>
      <c r="J10" s="39">
        <v>10</v>
      </c>
      <c r="K10" s="81">
        <f t="shared" si="1"/>
        <v>10</v>
      </c>
      <c r="L10" s="14">
        <v>10</v>
      </c>
      <c r="M10" s="39">
        <v>10</v>
      </c>
      <c r="N10" s="81">
        <f t="shared" si="2"/>
        <v>10</v>
      </c>
      <c r="O10" s="14">
        <v>10</v>
      </c>
      <c r="P10" s="39">
        <v>10</v>
      </c>
      <c r="Q10" s="81">
        <f t="shared" si="3"/>
        <v>10</v>
      </c>
      <c r="R10" s="14">
        <v>10</v>
      </c>
      <c r="S10" s="39">
        <v>9</v>
      </c>
      <c r="T10" s="81">
        <f t="shared" si="4"/>
        <v>9.5</v>
      </c>
      <c r="U10" s="33">
        <v>10</v>
      </c>
      <c r="V10" s="39">
        <v>10</v>
      </c>
      <c r="W10" s="81">
        <f t="shared" si="5"/>
        <v>10</v>
      </c>
      <c r="X10" s="33">
        <v>10</v>
      </c>
      <c r="Y10" s="39">
        <v>10</v>
      </c>
      <c r="Z10" s="81">
        <f t="shared" si="6"/>
        <v>10</v>
      </c>
      <c r="AA10" s="37">
        <v>10</v>
      </c>
      <c r="AB10" s="38">
        <v>10</v>
      </c>
      <c r="AC10" s="81">
        <f t="shared" si="7"/>
        <v>10</v>
      </c>
      <c r="AD10" s="14">
        <v>10</v>
      </c>
      <c r="AE10" s="39">
        <v>10</v>
      </c>
      <c r="AF10" s="81">
        <f t="shared" si="8"/>
        <v>10</v>
      </c>
      <c r="AG10" s="37">
        <v>10</v>
      </c>
      <c r="AH10" s="39">
        <v>10</v>
      </c>
      <c r="AI10" s="81">
        <f t="shared" si="9"/>
        <v>10</v>
      </c>
      <c r="AJ10" s="64">
        <f t="shared" si="10"/>
        <v>9.9400000000000013</v>
      </c>
      <c r="AK10" s="49"/>
      <c r="AL10" s="49"/>
      <c r="AM10" s="49"/>
    </row>
    <row r="11" spans="1:39" ht="16.5" customHeight="1" x14ac:dyDescent="0.25">
      <c r="A11" s="88" t="s">
        <v>814</v>
      </c>
      <c r="B11" s="50" t="s">
        <v>815</v>
      </c>
      <c r="C11" s="24" t="s">
        <v>15</v>
      </c>
      <c r="D11" s="50">
        <v>401</v>
      </c>
      <c r="E11" s="50"/>
      <c r="F11" s="14">
        <v>8</v>
      </c>
      <c r="G11" s="40">
        <v>8.3000000000000007</v>
      </c>
      <c r="H11" s="81">
        <f t="shared" si="0"/>
        <v>8.15</v>
      </c>
      <c r="I11" s="14">
        <v>9</v>
      </c>
      <c r="J11" s="39">
        <v>10</v>
      </c>
      <c r="K11" s="81">
        <f t="shared" si="1"/>
        <v>9.5</v>
      </c>
      <c r="L11" s="14">
        <v>8</v>
      </c>
      <c r="M11" s="39">
        <v>9</v>
      </c>
      <c r="N11" s="81">
        <f t="shared" si="2"/>
        <v>8.5</v>
      </c>
      <c r="O11" s="32">
        <v>8</v>
      </c>
      <c r="P11" s="39">
        <v>8</v>
      </c>
      <c r="Q11" s="81">
        <f t="shared" si="3"/>
        <v>8</v>
      </c>
      <c r="R11" s="32">
        <v>9</v>
      </c>
      <c r="S11" s="39">
        <v>8</v>
      </c>
      <c r="T11" s="81">
        <f t="shared" si="4"/>
        <v>8.5</v>
      </c>
      <c r="U11" s="33">
        <v>10</v>
      </c>
      <c r="V11" s="39">
        <v>10</v>
      </c>
      <c r="W11" s="81">
        <f t="shared" si="5"/>
        <v>10</v>
      </c>
      <c r="X11" s="33">
        <v>10</v>
      </c>
      <c r="Y11" s="39">
        <v>10</v>
      </c>
      <c r="Z11" s="81">
        <f t="shared" si="6"/>
        <v>10</v>
      </c>
      <c r="AA11" s="37">
        <v>9</v>
      </c>
      <c r="AB11" s="38">
        <v>9</v>
      </c>
      <c r="AC11" s="81">
        <f t="shared" si="7"/>
        <v>9</v>
      </c>
      <c r="AD11" s="14">
        <v>9</v>
      </c>
      <c r="AE11" s="39">
        <v>9</v>
      </c>
      <c r="AF11" s="81">
        <f t="shared" si="8"/>
        <v>9</v>
      </c>
      <c r="AG11" s="37">
        <v>10</v>
      </c>
      <c r="AH11" s="39">
        <v>10</v>
      </c>
      <c r="AI11" s="81">
        <f t="shared" si="9"/>
        <v>10</v>
      </c>
      <c r="AJ11" s="64">
        <f t="shared" si="10"/>
        <v>9.0650000000000013</v>
      </c>
      <c r="AK11" s="49"/>
      <c r="AL11" s="49"/>
      <c r="AM11" s="49"/>
    </row>
    <row r="12" spans="1:39" ht="15.4" hidden="1" customHeight="1" x14ac:dyDescent="0.25">
      <c r="A12" s="88" t="s">
        <v>812</v>
      </c>
      <c r="B12" s="51" t="s">
        <v>825</v>
      </c>
      <c r="C12" s="24" t="s">
        <v>15</v>
      </c>
      <c r="D12" s="50">
        <v>401</v>
      </c>
      <c r="E12" s="51"/>
      <c r="F12" s="14"/>
      <c r="G12" s="44"/>
      <c r="H12" s="81" t="e">
        <f t="shared" si="0"/>
        <v>#DIV/0!</v>
      </c>
      <c r="I12" s="14"/>
      <c r="J12" s="39"/>
      <c r="K12" s="81" t="e">
        <f t="shared" si="1"/>
        <v>#DIV/0!</v>
      </c>
      <c r="L12" s="14">
        <v>0</v>
      </c>
      <c r="M12" s="39"/>
      <c r="N12" s="81">
        <f t="shared" si="2"/>
        <v>0</v>
      </c>
      <c r="O12" s="32">
        <v>0</v>
      </c>
      <c r="P12" s="39"/>
      <c r="Q12" s="81">
        <f t="shared" si="3"/>
        <v>0</v>
      </c>
      <c r="R12" s="32">
        <v>10</v>
      </c>
      <c r="S12" s="39"/>
      <c r="T12" s="81">
        <f t="shared" si="4"/>
        <v>10</v>
      </c>
      <c r="U12" s="33">
        <v>10</v>
      </c>
      <c r="V12" s="39">
        <v>10</v>
      </c>
      <c r="W12" s="81">
        <f t="shared" si="5"/>
        <v>10</v>
      </c>
      <c r="X12" s="33">
        <v>10</v>
      </c>
      <c r="Y12" s="39">
        <v>10</v>
      </c>
      <c r="Z12" s="81">
        <f t="shared" si="6"/>
        <v>10</v>
      </c>
      <c r="AA12" s="37">
        <v>8</v>
      </c>
      <c r="AB12" s="38">
        <v>8</v>
      </c>
      <c r="AC12" s="81">
        <f t="shared" si="7"/>
        <v>8</v>
      </c>
      <c r="AD12" s="14"/>
      <c r="AE12" s="39">
        <v>8</v>
      </c>
      <c r="AF12" s="81">
        <f t="shared" si="8"/>
        <v>8</v>
      </c>
      <c r="AG12" s="37">
        <v>10</v>
      </c>
      <c r="AH12" s="39">
        <v>10</v>
      </c>
      <c r="AI12" s="81">
        <f t="shared" si="9"/>
        <v>10</v>
      </c>
      <c r="AJ12" s="64" t="e">
        <f t="shared" si="10"/>
        <v>#DIV/0!</v>
      </c>
      <c r="AK12" s="49"/>
      <c r="AL12" s="49"/>
      <c r="AM12" s="49"/>
    </row>
    <row r="13" spans="1:39" x14ac:dyDescent="0.25">
      <c r="A13" s="88" t="s">
        <v>812</v>
      </c>
      <c r="B13" s="50" t="s">
        <v>813</v>
      </c>
      <c r="C13" s="24" t="s">
        <v>15</v>
      </c>
      <c r="D13" s="50">
        <v>401</v>
      </c>
      <c r="E13" s="50"/>
      <c r="F13" s="42">
        <v>9.8000000000000007</v>
      </c>
      <c r="G13" s="45">
        <v>8</v>
      </c>
      <c r="H13" s="81">
        <f t="shared" si="0"/>
        <v>8.9</v>
      </c>
      <c r="I13" s="14">
        <v>10</v>
      </c>
      <c r="J13" s="39">
        <v>10</v>
      </c>
      <c r="K13" s="81">
        <f t="shared" si="1"/>
        <v>10</v>
      </c>
      <c r="L13" s="14">
        <v>8</v>
      </c>
      <c r="M13" s="39">
        <v>8</v>
      </c>
      <c r="N13" s="81">
        <f t="shared" si="2"/>
        <v>8</v>
      </c>
      <c r="O13" s="14">
        <v>10</v>
      </c>
      <c r="P13" s="39">
        <v>10</v>
      </c>
      <c r="Q13" s="81">
        <f t="shared" si="3"/>
        <v>10</v>
      </c>
      <c r="R13" s="32">
        <v>9</v>
      </c>
      <c r="S13" s="39">
        <v>8</v>
      </c>
      <c r="T13" s="81">
        <f t="shared" si="4"/>
        <v>8.5</v>
      </c>
      <c r="U13" s="33">
        <v>10</v>
      </c>
      <c r="V13" s="39">
        <v>10</v>
      </c>
      <c r="W13" s="81">
        <f t="shared" si="5"/>
        <v>10</v>
      </c>
      <c r="X13" s="33">
        <v>10</v>
      </c>
      <c r="Y13" s="39">
        <v>10</v>
      </c>
      <c r="Z13" s="81">
        <f t="shared" si="6"/>
        <v>10</v>
      </c>
      <c r="AA13" s="37">
        <v>10</v>
      </c>
      <c r="AB13" s="38">
        <v>10</v>
      </c>
      <c r="AC13" s="81">
        <f t="shared" si="7"/>
        <v>10</v>
      </c>
      <c r="AD13" s="14">
        <v>8</v>
      </c>
      <c r="AE13" s="39">
        <v>8</v>
      </c>
      <c r="AF13" s="81">
        <f t="shared" si="8"/>
        <v>8</v>
      </c>
      <c r="AG13" s="37">
        <v>10</v>
      </c>
      <c r="AH13" s="39">
        <v>10</v>
      </c>
      <c r="AI13" s="81">
        <f t="shared" si="9"/>
        <v>10</v>
      </c>
      <c r="AJ13" s="64">
        <f t="shared" si="10"/>
        <v>9.34</v>
      </c>
      <c r="AK13" s="49"/>
      <c r="AL13" s="49"/>
      <c r="AM13" s="49"/>
    </row>
    <row r="14" spans="1:39" x14ac:dyDescent="0.25">
      <c r="A14" s="88" t="s">
        <v>830</v>
      </c>
      <c r="B14" s="51" t="s">
        <v>831</v>
      </c>
      <c r="C14" s="24" t="s">
        <v>15</v>
      </c>
      <c r="D14" s="50">
        <v>401</v>
      </c>
      <c r="E14" s="51"/>
      <c r="F14" s="14">
        <v>4</v>
      </c>
      <c r="G14" s="40">
        <v>8</v>
      </c>
      <c r="H14" s="81">
        <f t="shared" si="0"/>
        <v>6</v>
      </c>
      <c r="I14" s="14">
        <v>10</v>
      </c>
      <c r="J14" s="39">
        <v>10</v>
      </c>
      <c r="K14" s="81">
        <f t="shared" si="1"/>
        <v>10</v>
      </c>
      <c r="L14" s="14">
        <v>10</v>
      </c>
      <c r="M14" s="39">
        <v>10</v>
      </c>
      <c r="N14" s="81">
        <f t="shared" si="2"/>
        <v>10</v>
      </c>
      <c r="O14" s="14">
        <v>9</v>
      </c>
      <c r="P14" s="39">
        <v>10</v>
      </c>
      <c r="Q14" s="81">
        <f t="shared" si="3"/>
        <v>9.5</v>
      </c>
      <c r="R14" s="14">
        <v>9</v>
      </c>
      <c r="S14" s="39">
        <v>8</v>
      </c>
      <c r="T14" s="81">
        <f t="shared" si="4"/>
        <v>8.5</v>
      </c>
      <c r="U14" s="33">
        <v>10</v>
      </c>
      <c r="V14" s="39">
        <v>10</v>
      </c>
      <c r="W14" s="81">
        <f t="shared" si="5"/>
        <v>10</v>
      </c>
      <c r="X14" s="33">
        <v>10</v>
      </c>
      <c r="Y14" s="39">
        <v>10</v>
      </c>
      <c r="Z14" s="81">
        <f t="shared" si="6"/>
        <v>10</v>
      </c>
      <c r="AA14" s="37">
        <v>10</v>
      </c>
      <c r="AB14" s="38">
        <v>10</v>
      </c>
      <c r="AC14" s="81">
        <f t="shared" si="7"/>
        <v>10</v>
      </c>
      <c r="AD14" s="14">
        <v>10</v>
      </c>
      <c r="AE14" s="39">
        <v>10</v>
      </c>
      <c r="AF14" s="81">
        <f t="shared" si="8"/>
        <v>10</v>
      </c>
      <c r="AG14" s="37">
        <v>10</v>
      </c>
      <c r="AH14" s="39">
        <v>10</v>
      </c>
      <c r="AI14" s="81">
        <f t="shared" si="9"/>
        <v>10</v>
      </c>
      <c r="AJ14" s="64">
        <f t="shared" si="10"/>
        <v>9.4</v>
      </c>
      <c r="AK14" s="49"/>
      <c r="AL14" s="49"/>
      <c r="AM14" s="49"/>
    </row>
    <row r="15" spans="1:39" x14ac:dyDescent="0.25">
      <c r="A15" s="88" t="s">
        <v>809</v>
      </c>
      <c r="B15" s="50" t="s">
        <v>810</v>
      </c>
      <c r="C15" s="24" t="s">
        <v>15</v>
      </c>
      <c r="D15" s="50">
        <v>401</v>
      </c>
      <c r="E15" s="50"/>
      <c r="F15" s="42">
        <v>9.5</v>
      </c>
      <c r="G15" s="43">
        <v>9.8000000000000007</v>
      </c>
      <c r="H15" s="81">
        <f t="shared" si="0"/>
        <v>9.65</v>
      </c>
      <c r="I15" s="14">
        <v>10</v>
      </c>
      <c r="J15" s="39">
        <v>10</v>
      </c>
      <c r="K15" s="81">
        <f t="shared" si="1"/>
        <v>10</v>
      </c>
      <c r="L15" s="14">
        <v>10</v>
      </c>
      <c r="M15" s="39">
        <v>10</v>
      </c>
      <c r="N15" s="81">
        <f t="shared" si="2"/>
        <v>10</v>
      </c>
      <c r="O15" s="14">
        <v>10</v>
      </c>
      <c r="P15" s="39">
        <v>10</v>
      </c>
      <c r="Q15" s="81">
        <f t="shared" si="3"/>
        <v>10</v>
      </c>
      <c r="R15" s="14">
        <v>10</v>
      </c>
      <c r="S15" s="39">
        <v>9</v>
      </c>
      <c r="T15" s="81">
        <f t="shared" si="4"/>
        <v>9.5</v>
      </c>
      <c r="U15" s="33">
        <v>10</v>
      </c>
      <c r="V15" s="39">
        <v>10</v>
      </c>
      <c r="W15" s="81">
        <f t="shared" si="5"/>
        <v>10</v>
      </c>
      <c r="X15" s="33">
        <v>10</v>
      </c>
      <c r="Y15" s="39">
        <v>10</v>
      </c>
      <c r="Z15" s="81">
        <f t="shared" si="6"/>
        <v>10</v>
      </c>
      <c r="AA15" s="37">
        <v>10</v>
      </c>
      <c r="AB15" s="38">
        <v>10</v>
      </c>
      <c r="AC15" s="81">
        <f t="shared" si="7"/>
        <v>10</v>
      </c>
      <c r="AD15" s="14">
        <v>10</v>
      </c>
      <c r="AE15" s="39">
        <v>10</v>
      </c>
      <c r="AF15" s="81">
        <f t="shared" si="8"/>
        <v>10</v>
      </c>
      <c r="AG15" s="37">
        <v>10</v>
      </c>
      <c r="AH15" s="39">
        <v>10</v>
      </c>
      <c r="AI15" s="81">
        <f t="shared" si="9"/>
        <v>10</v>
      </c>
      <c r="AJ15" s="64">
        <f t="shared" si="10"/>
        <v>9.9150000000000009</v>
      </c>
      <c r="AK15" s="49"/>
      <c r="AL15" s="49"/>
      <c r="AM15" s="49"/>
    </row>
    <row r="16" spans="1:39" x14ac:dyDescent="0.25">
      <c r="A16" s="88" t="s">
        <v>826</v>
      </c>
      <c r="B16" s="51" t="s">
        <v>827</v>
      </c>
      <c r="C16" s="24" t="s">
        <v>15</v>
      </c>
      <c r="D16" s="50">
        <v>401</v>
      </c>
      <c r="E16" s="51"/>
      <c r="F16" s="42">
        <v>9.5</v>
      </c>
      <c r="G16" s="43">
        <v>9.5</v>
      </c>
      <c r="H16" s="81">
        <f t="shared" si="0"/>
        <v>9.5</v>
      </c>
      <c r="I16" s="14">
        <v>10</v>
      </c>
      <c r="J16" s="39">
        <v>10</v>
      </c>
      <c r="K16" s="81">
        <f t="shared" si="1"/>
        <v>10</v>
      </c>
      <c r="L16" s="14">
        <v>10</v>
      </c>
      <c r="M16" s="39">
        <v>10</v>
      </c>
      <c r="N16" s="81">
        <f t="shared" si="2"/>
        <v>10</v>
      </c>
      <c r="O16" s="14">
        <v>10</v>
      </c>
      <c r="P16" s="39">
        <v>10</v>
      </c>
      <c r="Q16" s="81">
        <f t="shared" si="3"/>
        <v>10</v>
      </c>
      <c r="R16" s="14">
        <v>10</v>
      </c>
      <c r="S16" s="39">
        <v>10</v>
      </c>
      <c r="T16" s="81">
        <f t="shared" si="4"/>
        <v>10</v>
      </c>
      <c r="U16" s="33">
        <v>10</v>
      </c>
      <c r="V16" s="39">
        <v>10</v>
      </c>
      <c r="W16" s="81">
        <f t="shared" si="5"/>
        <v>10</v>
      </c>
      <c r="X16" s="33">
        <v>10</v>
      </c>
      <c r="Y16" s="39">
        <v>10</v>
      </c>
      <c r="Z16" s="81">
        <f t="shared" si="6"/>
        <v>10</v>
      </c>
      <c r="AA16" s="37">
        <v>10</v>
      </c>
      <c r="AB16" s="38">
        <v>10</v>
      </c>
      <c r="AC16" s="81">
        <f t="shared" si="7"/>
        <v>10</v>
      </c>
      <c r="AD16" s="14">
        <v>10</v>
      </c>
      <c r="AE16" s="39">
        <v>10</v>
      </c>
      <c r="AF16" s="81">
        <f t="shared" si="8"/>
        <v>10</v>
      </c>
      <c r="AG16" s="37">
        <v>10</v>
      </c>
      <c r="AH16" s="39">
        <v>10</v>
      </c>
      <c r="AI16" s="81">
        <f t="shared" si="9"/>
        <v>10</v>
      </c>
      <c r="AJ16" s="64">
        <f t="shared" si="10"/>
        <v>9.9499999999999993</v>
      </c>
      <c r="AK16" s="49"/>
      <c r="AL16" s="49"/>
      <c r="AM16" s="49"/>
    </row>
    <row r="17" spans="1:39" x14ac:dyDescent="0.25">
      <c r="A17" s="88" t="s">
        <v>818</v>
      </c>
      <c r="B17" s="50" t="s">
        <v>819</v>
      </c>
      <c r="C17" s="24" t="s">
        <v>15</v>
      </c>
      <c r="D17" s="50">
        <v>401</v>
      </c>
      <c r="E17" s="50"/>
      <c r="F17" s="42">
        <v>9.5</v>
      </c>
      <c r="G17" s="43">
        <v>9.8000000000000007</v>
      </c>
      <c r="H17" s="81">
        <f t="shared" si="0"/>
        <v>9.65</v>
      </c>
      <c r="I17" s="14">
        <v>10</v>
      </c>
      <c r="J17" s="39">
        <v>10</v>
      </c>
      <c r="K17" s="81">
        <f t="shared" si="1"/>
        <v>10</v>
      </c>
      <c r="L17" s="14">
        <v>10</v>
      </c>
      <c r="M17" s="39">
        <v>10</v>
      </c>
      <c r="N17" s="81">
        <f t="shared" si="2"/>
        <v>10</v>
      </c>
      <c r="O17" s="14">
        <v>10</v>
      </c>
      <c r="P17" s="39">
        <v>10</v>
      </c>
      <c r="Q17" s="81">
        <f t="shared" si="3"/>
        <v>10</v>
      </c>
      <c r="R17" s="19">
        <v>9</v>
      </c>
      <c r="S17" s="39">
        <v>10</v>
      </c>
      <c r="T17" s="81">
        <f t="shared" si="4"/>
        <v>9.5</v>
      </c>
      <c r="U17" s="33">
        <v>10</v>
      </c>
      <c r="V17" s="39">
        <v>10</v>
      </c>
      <c r="W17" s="81">
        <f t="shared" si="5"/>
        <v>10</v>
      </c>
      <c r="X17" s="33">
        <v>10</v>
      </c>
      <c r="Y17" s="39">
        <v>10</v>
      </c>
      <c r="Z17" s="81">
        <f t="shared" si="6"/>
        <v>10</v>
      </c>
      <c r="AA17" s="37">
        <v>10</v>
      </c>
      <c r="AB17" s="38">
        <v>10</v>
      </c>
      <c r="AC17" s="81">
        <f t="shared" si="7"/>
        <v>10</v>
      </c>
      <c r="AD17" s="14">
        <v>10</v>
      </c>
      <c r="AE17" s="39">
        <v>10</v>
      </c>
      <c r="AF17" s="81">
        <f t="shared" si="8"/>
        <v>10</v>
      </c>
      <c r="AG17" s="37">
        <v>10</v>
      </c>
      <c r="AH17" s="39">
        <v>10</v>
      </c>
      <c r="AI17" s="81">
        <f t="shared" si="9"/>
        <v>10</v>
      </c>
      <c r="AJ17" s="64">
        <f t="shared" si="10"/>
        <v>9.9150000000000009</v>
      </c>
      <c r="AK17" s="49"/>
      <c r="AL17" s="49"/>
      <c r="AM17" s="49"/>
    </row>
    <row r="18" spans="1:39" ht="15" customHeight="1" x14ac:dyDescent="0.25">
      <c r="A18" s="88" t="s">
        <v>823</v>
      </c>
      <c r="B18" s="51" t="s">
        <v>824</v>
      </c>
      <c r="C18" s="24" t="s">
        <v>15</v>
      </c>
      <c r="D18" s="50">
        <v>401</v>
      </c>
      <c r="E18" s="51"/>
      <c r="F18" s="42">
        <v>8.5</v>
      </c>
      <c r="G18" s="40">
        <v>9</v>
      </c>
      <c r="H18" s="81">
        <f t="shared" si="0"/>
        <v>8.75</v>
      </c>
      <c r="I18" s="14">
        <v>10</v>
      </c>
      <c r="J18" s="38">
        <v>9</v>
      </c>
      <c r="K18" s="81">
        <f t="shared" si="1"/>
        <v>9.5</v>
      </c>
      <c r="L18" s="14">
        <v>8</v>
      </c>
      <c r="M18" s="38">
        <v>8</v>
      </c>
      <c r="N18" s="81">
        <f t="shared" si="2"/>
        <v>8</v>
      </c>
      <c r="O18" s="32">
        <v>10</v>
      </c>
      <c r="P18" s="38">
        <v>10</v>
      </c>
      <c r="Q18" s="81">
        <f t="shared" si="3"/>
        <v>10</v>
      </c>
      <c r="R18" s="32">
        <v>9</v>
      </c>
      <c r="S18" s="38">
        <v>10</v>
      </c>
      <c r="T18" s="81">
        <f t="shared" si="4"/>
        <v>9.5</v>
      </c>
      <c r="U18" s="33">
        <v>10</v>
      </c>
      <c r="V18" s="39">
        <v>10</v>
      </c>
      <c r="W18" s="81">
        <f t="shared" si="5"/>
        <v>10</v>
      </c>
      <c r="X18" s="33">
        <v>10</v>
      </c>
      <c r="Y18" s="39">
        <v>10</v>
      </c>
      <c r="Z18" s="81">
        <f t="shared" si="6"/>
        <v>10</v>
      </c>
      <c r="AA18" s="37">
        <v>10</v>
      </c>
      <c r="AB18" s="38">
        <v>10</v>
      </c>
      <c r="AC18" s="81">
        <f t="shared" si="7"/>
        <v>10</v>
      </c>
      <c r="AD18" s="14">
        <v>10</v>
      </c>
      <c r="AE18" s="38">
        <v>10</v>
      </c>
      <c r="AF18" s="81">
        <f t="shared" si="8"/>
        <v>10</v>
      </c>
      <c r="AG18" s="37">
        <v>10</v>
      </c>
      <c r="AH18" s="39">
        <v>10</v>
      </c>
      <c r="AI18" s="81">
        <f t="shared" si="9"/>
        <v>10</v>
      </c>
      <c r="AJ18" s="64">
        <f t="shared" si="10"/>
        <v>9.5749999999999993</v>
      </c>
      <c r="AK18" s="49"/>
      <c r="AL18" s="49"/>
      <c r="AM18" s="49"/>
    </row>
    <row r="19" spans="1:39" ht="15.75" customHeight="1" x14ac:dyDescent="0.25">
      <c r="A19" s="88" t="s">
        <v>816</v>
      </c>
      <c r="B19" s="50" t="s">
        <v>817</v>
      </c>
      <c r="C19" s="24" t="s">
        <v>15</v>
      </c>
      <c r="D19" s="50">
        <v>401</v>
      </c>
      <c r="E19" s="50"/>
      <c r="F19" s="14">
        <v>9</v>
      </c>
      <c r="G19" s="40">
        <v>10</v>
      </c>
      <c r="H19" s="81">
        <f t="shared" si="0"/>
        <v>9.5</v>
      </c>
      <c r="I19" s="14">
        <v>10</v>
      </c>
      <c r="J19" s="38">
        <v>10</v>
      </c>
      <c r="K19" s="81">
        <f t="shared" si="1"/>
        <v>10</v>
      </c>
      <c r="L19" s="14">
        <v>8</v>
      </c>
      <c r="M19" s="38">
        <v>9</v>
      </c>
      <c r="N19" s="81">
        <f t="shared" si="2"/>
        <v>8.5</v>
      </c>
      <c r="O19" s="38">
        <v>9</v>
      </c>
      <c r="P19" s="38">
        <v>10</v>
      </c>
      <c r="Q19" s="81">
        <f t="shared" si="3"/>
        <v>9.5</v>
      </c>
      <c r="R19" s="14">
        <v>10</v>
      </c>
      <c r="S19" s="38">
        <v>10</v>
      </c>
      <c r="T19" s="81">
        <f t="shared" si="4"/>
        <v>10</v>
      </c>
      <c r="U19" s="33">
        <v>10</v>
      </c>
      <c r="V19" s="39">
        <v>10</v>
      </c>
      <c r="W19" s="81">
        <f t="shared" si="5"/>
        <v>10</v>
      </c>
      <c r="X19" s="33">
        <v>10</v>
      </c>
      <c r="Y19" s="39">
        <v>10</v>
      </c>
      <c r="Z19" s="81">
        <f t="shared" si="6"/>
        <v>10</v>
      </c>
      <c r="AA19" s="37">
        <v>10</v>
      </c>
      <c r="AB19" s="38">
        <v>10</v>
      </c>
      <c r="AC19" s="81">
        <f t="shared" si="7"/>
        <v>10</v>
      </c>
      <c r="AD19" s="14">
        <v>8</v>
      </c>
      <c r="AE19" s="38">
        <v>8</v>
      </c>
      <c r="AF19" s="81">
        <f t="shared" si="8"/>
        <v>8</v>
      </c>
      <c r="AG19" s="37">
        <v>10</v>
      </c>
      <c r="AH19" s="39">
        <v>10</v>
      </c>
      <c r="AI19" s="81">
        <f t="shared" si="9"/>
        <v>10</v>
      </c>
      <c r="AJ19" s="64">
        <f t="shared" si="10"/>
        <v>9.5500000000000007</v>
      </c>
      <c r="AK19" s="49"/>
      <c r="AL19" s="49"/>
      <c r="AM19" s="49"/>
    </row>
    <row r="20" spans="1:39" ht="15.75" customHeight="1" x14ac:dyDescent="0.2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</row>
    <row r="21" spans="1:39" ht="15.7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</row>
    <row r="22" spans="1:39" ht="15.75" customHeight="1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ht="15.75" customHeight="1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</row>
    <row r="24" spans="1:39" ht="15.75" customHeight="1" x14ac:dyDescent="0.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</row>
    <row r="25" spans="1:39" ht="15.75" customHeight="1" x14ac:dyDescent="0.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1:39" ht="15.75" customHeight="1" x14ac:dyDescent="0.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 ht="15.75" customHeight="1" x14ac:dyDescent="0.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1:39" ht="15.75" customHeight="1" x14ac:dyDescent="0.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1:39" ht="15.75" customHeight="1" x14ac:dyDescent="0.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</row>
    <row r="30" spans="1:39" ht="15.75" customHeight="1" x14ac:dyDescent="0.2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</row>
    <row r="31" spans="1:39" ht="15.75" customHeight="1" x14ac:dyDescent="0.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 ht="15.75" customHeight="1" x14ac:dyDescent="0.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</row>
    <row r="33" spans="1:39" ht="15.75" customHeight="1" x14ac:dyDescent="0.2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 ht="15.75" customHeight="1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</row>
    <row r="35" spans="1:39" ht="15.75" customHeight="1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39" ht="15.75" customHeight="1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</row>
    <row r="37" spans="1:39" ht="15.75" customHeight="1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</row>
    <row r="38" spans="1:39" ht="15.75" customHeight="1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 ht="15.75" customHeight="1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</row>
    <row r="40" spans="1:39" ht="15.75" customHeight="1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1:39" ht="15.75" customHeight="1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1:39" ht="15.75" customHeight="1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</row>
    <row r="43" spans="1:39" ht="15.75" customHeight="1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</row>
    <row r="44" spans="1:39" ht="15.75" customHeight="1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</row>
    <row r="45" spans="1:39" ht="15.75" customHeight="1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 ht="15.75" customHeight="1" x14ac:dyDescent="0.2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</row>
    <row r="47" spans="1:39" ht="15.75" customHeight="1" x14ac:dyDescent="0.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1:39" ht="15.7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</row>
    <row r="49" spans="1:39" ht="15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</row>
    <row r="50" spans="1:39" ht="15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</row>
    <row r="51" spans="1:39" ht="15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</row>
    <row r="52" spans="1:39" ht="15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</row>
    <row r="53" spans="1:39" ht="15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</row>
    <row r="54" spans="1:39" ht="15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1:39" ht="15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5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  <row r="57" spans="1:39" ht="15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</row>
    <row r="58" spans="1:39" ht="15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 spans="1:39" ht="15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 spans="1:39" ht="15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 spans="1:39" ht="15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</row>
    <row r="62" spans="1:39" ht="15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 spans="1:39" ht="15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</row>
    <row r="64" spans="1:39" ht="15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 spans="1:39" ht="15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</row>
    <row r="66" spans="1:39" ht="15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</row>
    <row r="67" spans="1:39" ht="15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</row>
    <row r="68" spans="1:39" ht="15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</row>
    <row r="69" spans="1:39" ht="15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 spans="1:39" ht="15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</row>
    <row r="71" spans="1:39" ht="15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</row>
    <row r="72" spans="1:39" ht="15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</row>
    <row r="73" spans="1:39" ht="15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 spans="1:39" ht="15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</row>
    <row r="75" spans="1:39" ht="15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</row>
    <row r="76" spans="1:39" ht="15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</row>
    <row r="77" spans="1:39" ht="15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 spans="1:39" ht="15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 spans="1:39" ht="15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</row>
    <row r="80" spans="1:39" ht="15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</row>
    <row r="81" spans="1:39" ht="15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</row>
    <row r="82" spans="1:39" ht="15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</row>
    <row r="83" spans="1:39" ht="15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</row>
    <row r="84" spans="1:39" ht="15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 spans="1:39" ht="15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</row>
    <row r="86" spans="1:39" ht="15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</row>
    <row r="87" spans="1:39" ht="15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 spans="1:39" ht="15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</row>
    <row r="89" spans="1:39" ht="15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</row>
    <row r="90" spans="1:39" ht="15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</row>
    <row r="91" spans="1:39" ht="15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</row>
    <row r="92" spans="1:39" ht="15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</row>
    <row r="93" spans="1:39" ht="15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</row>
    <row r="94" spans="1:39" ht="15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</row>
    <row r="95" spans="1:39" ht="15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</row>
    <row r="96" spans="1:39" ht="15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</row>
    <row r="97" spans="1:39" ht="15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</row>
    <row r="98" spans="1:39" ht="15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</row>
    <row r="99" spans="1:39" ht="15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</row>
    <row r="100" spans="1:39" ht="15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</row>
    <row r="101" spans="1:39" ht="15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</row>
    <row r="102" spans="1:39" ht="15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</row>
    <row r="103" spans="1:39" ht="15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</row>
    <row r="104" spans="1:39" ht="15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</row>
    <row r="105" spans="1:39" ht="15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</row>
    <row r="106" spans="1:39" ht="15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</row>
    <row r="107" spans="1:39" ht="15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</row>
    <row r="108" spans="1:39" ht="15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</row>
    <row r="109" spans="1:39" ht="15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</row>
    <row r="110" spans="1:39" ht="15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</row>
    <row r="111" spans="1:39" ht="15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</row>
    <row r="112" spans="1:39" ht="15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</row>
    <row r="113" spans="1:39" ht="15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</row>
    <row r="114" spans="1:39" ht="15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</row>
    <row r="115" spans="1:39" ht="15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</row>
    <row r="116" spans="1:39" ht="15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</row>
    <row r="117" spans="1:39" ht="15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</row>
    <row r="118" spans="1:39" ht="15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</row>
    <row r="119" spans="1:39" ht="15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 spans="1:39" ht="15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</row>
    <row r="121" spans="1:39" ht="15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</row>
    <row r="122" spans="1:39" ht="15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</row>
    <row r="123" spans="1:39" ht="15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</row>
    <row r="124" spans="1:39" ht="15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</row>
    <row r="125" spans="1:39" ht="15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</row>
    <row r="126" spans="1:39" ht="15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</row>
    <row r="127" spans="1:39" ht="15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</row>
    <row r="128" spans="1:39" ht="15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</row>
    <row r="129" spans="1:39" ht="15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</row>
    <row r="130" spans="1:39" ht="15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</row>
    <row r="131" spans="1:39" ht="15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</row>
    <row r="132" spans="1:39" ht="15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 spans="1:39" ht="15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</row>
    <row r="134" spans="1:39" ht="15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</row>
    <row r="135" spans="1:39" ht="15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</row>
    <row r="136" spans="1:39" ht="15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</row>
    <row r="137" spans="1:39" ht="15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</row>
    <row r="138" spans="1:39" ht="15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</row>
    <row r="139" spans="1:39" ht="15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</row>
    <row r="140" spans="1:39" ht="15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</row>
    <row r="141" spans="1:39" ht="15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 spans="1:39" ht="15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</row>
    <row r="143" spans="1:39" ht="15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</row>
    <row r="144" spans="1:39" ht="15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</row>
    <row r="145" spans="1:39" ht="15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</row>
    <row r="146" spans="1:39" ht="15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</row>
    <row r="147" spans="1:39" ht="15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</row>
    <row r="148" spans="1:39" ht="15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</row>
    <row r="149" spans="1:39" ht="15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</row>
    <row r="150" spans="1:39" ht="15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</row>
    <row r="151" spans="1:39" ht="15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</row>
    <row r="152" spans="1:39" ht="15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</row>
    <row r="153" spans="1:39" ht="15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</row>
    <row r="154" spans="1:39" ht="15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</row>
    <row r="155" spans="1:39" ht="15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</row>
    <row r="156" spans="1:39" ht="15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</row>
    <row r="157" spans="1:39" ht="15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</row>
    <row r="158" spans="1:39" ht="15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</row>
    <row r="159" spans="1:39" ht="15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</row>
    <row r="160" spans="1:39" ht="15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</row>
    <row r="161" spans="1:39" ht="15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</row>
    <row r="162" spans="1:39" ht="15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</row>
    <row r="163" spans="1:39" ht="15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</row>
    <row r="164" spans="1:39" ht="15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  <row r="165" spans="1:39" ht="15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</row>
    <row r="166" spans="1:39" ht="15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</row>
    <row r="167" spans="1:39" ht="15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</row>
    <row r="168" spans="1:39" ht="15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</row>
    <row r="169" spans="1:39" ht="15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</row>
    <row r="170" spans="1:39" ht="15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</row>
    <row r="171" spans="1:39" ht="15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</row>
    <row r="172" spans="1:39" ht="15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</row>
    <row r="173" spans="1:39" ht="15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</row>
    <row r="174" spans="1:39" ht="15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</row>
    <row r="175" spans="1:39" ht="15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</row>
    <row r="176" spans="1:39" ht="15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</row>
    <row r="177" spans="1:39" ht="15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</row>
    <row r="178" spans="1:39" ht="15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</row>
    <row r="179" spans="1:39" ht="15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</row>
    <row r="180" spans="1:39" ht="15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</row>
    <row r="181" spans="1:39" ht="15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</row>
    <row r="182" spans="1:39" ht="15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</row>
    <row r="183" spans="1:39" ht="15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</row>
    <row r="184" spans="1:39" ht="15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</row>
    <row r="185" spans="1:39" ht="15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</row>
    <row r="186" spans="1:39" ht="15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</row>
    <row r="187" spans="1:39" ht="15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</row>
    <row r="188" spans="1:39" ht="15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</row>
    <row r="189" spans="1:39" ht="15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</row>
    <row r="190" spans="1:39" ht="15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</row>
    <row r="191" spans="1:39" ht="15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</row>
    <row r="192" spans="1:39" ht="15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</row>
    <row r="193" spans="1:39" ht="15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</row>
    <row r="194" spans="1:39" ht="15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</row>
    <row r="195" spans="1:39" ht="15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</row>
    <row r="196" spans="1:39" ht="15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</row>
    <row r="197" spans="1:39" ht="15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</row>
    <row r="198" spans="1:39" ht="15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</row>
    <row r="199" spans="1:39" ht="15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</row>
    <row r="200" spans="1:39" ht="15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</row>
    <row r="201" spans="1:39" ht="15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</row>
    <row r="202" spans="1:39" ht="15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</row>
    <row r="203" spans="1:39" ht="15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</row>
    <row r="204" spans="1:39" ht="15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</row>
    <row r="205" spans="1:39" ht="15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</row>
    <row r="206" spans="1:39" ht="15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</row>
    <row r="207" spans="1:39" ht="15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</row>
    <row r="208" spans="1:39" ht="15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</row>
    <row r="209" spans="1:39" ht="15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</row>
    <row r="210" spans="1:39" ht="15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</row>
    <row r="211" spans="1:39" ht="15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</row>
    <row r="212" spans="1:39" ht="15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</row>
    <row r="213" spans="1:39" ht="15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</row>
    <row r="214" spans="1:39" ht="15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</row>
    <row r="215" spans="1:39" ht="15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</row>
    <row r="216" spans="1:39" ht="15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</row>
    <row r="217" spans="1:39" ht="15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</row>
    <row r="218" spans="1:39" ht="15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</row>
    <row r="219" spans="1:39" ht="15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</row>
    <row r="220" spans="1:39" ht="15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</row>
    <row r="221" spans="1:39" ht="15.75" customHeight="1" x14ac:dyDescent="0.2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</row>
    <row r="222" spans="1:39" ht="15.75" customHeight="1" x14ac:dyDescent="0.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</row>
    <row r="223" spans="1:39" ht="15.75" customHeight="1" x14ac:dyDescent="0.2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</row>
    <row r="224" spans="1:39" ht="15.75" customHeight="1" x14ac:dyDescent="0.2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</row>
    <row r="225" spans="1:39" ht="15.75" customHeight="1" x14ac:dyDescent="0.2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</row>
    <row r="226" spans="1:39" ht="15.75" customHeight="1" x14ac:dyDescent="0.2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</row>
    <row r="227" spans="1:39" ht="15.75" customHeight="1" x14ac:dyDescent="0.2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</row>
    <row r="228" spans="1:39" ht="15.75" customHeight="1" x14ac:dyDescent="0.2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</row>
    <row r="229" spans="1:39" ht="15.75" customHeight="1" x14ac:dyDescent="0.2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</row>
    <row r="230" spans="1:39" ht="15.75" customHeight="1" x14ac:dyDescent="0.2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</row>
    <row r="231" spans="1:39" ht="15.75" customHeight="1" x14ac:dyDescent="0.2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</row>
    <row r="232" spans="1:39" ht="15.75" customHeight="1" x14ac:dyDescent="0.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</row>
    <row r="233" spans="1:39" ht="15.75" customHeight="1" x14ac:dyDescent="0.2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</row>
    <row r="234" spans="1:39" ht="15.75" customHeight="1" x14ac:dyDescent="0.2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</row>
    <row r="235" spans="1:39" ht="15.75" customHeight="1" x14ac:dyDescent="0.2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</row>
    <row r="236" spans="1:39" ht="15.75" customHeight="1" x14ac:dyDescent="0.2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</row>
    <row r="237" spans="1:39" ht="15.75" customHeight="1" x14ac:dyDescent="0.2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</row>
    <row r="238" spans="1:39" ht="15.75" customHeight="1" x14ac:dyDescent="0.2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</row>
    <row r="239" spans="1:39" ht="15.75" customHeight="1" x14ac:dyDescent="0.2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</row>
    <row r="240" spans="1:39" ht="15.75" customHeight="1" x14ac:dyDescent="0.2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</row>
    <row r="241" spans="1:39" ht="15.75" customHeight="1" x14ac:dyDescent="0.2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</row>
    <row r="242" spans="1:39" ht="15.75" customHeight="1" x14ac:dyDescent="0.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</row>
    <row r="243" spans="1:39" ht="15.75" customHeight="1" x14ac:dyDescent="0.2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</row>
    <row r="244" spans="1:39" ht="15.75" customHeight="1" x14ac:dyDescent="0.2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</row>
    <row r="245" spans="1:39" ht="15.75" customHeight="1" x14ac:dyDescent="0.2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</row>
    <row r="246" spans="1:39" ht="15.75" customHeight="1" x14ac:dyDescent="0.2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</row>
    <row r="247" spans="1:39" ht="15.75" customHeight="1" x14ac:dyDescent="0.2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</row>
    <row r="248" spans="1:39" ht="15.75" customHeight="1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</row>
    <row r="249" spans="1:39" ht="15.75" customHeight="1" x14ac:dyDescent="0.2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</row>
    <row r="250" spans="1:39" ht="15.75" customHeight="1" x14ac:dyDescent="0.2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</row>
    <row r="251" spans="1:39" ht="15.75" customHeight="1" x14ac:dyDescent="0.2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</row>
    <row r="252" spans="1:39" ht="15.75" customHeight="1" x14ac:dyDescent="0.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</row>
    <row r="253" spans="1:39" ht="15.75" customHeight="1" x14ac:dyDescent="0.2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</row>
    <row r="254" spans="1:39" ht="15.75" customHeight="1" x14ac:dyDescent="0.2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</row>
    <row r="255" spans="1:39" ht="15.75" customHeight="1" x14ac:dyDescent="0.2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</row>
    <row r="256" spans="1:39" ht="15.75" customHeight="1" x14ac:dyDescent="0.2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</row>
    <row r="257" spans="1:39" ht="15.75" customHeight="1" x14ac:dyDescent="0.2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</row>
    <row r="258" spans="1:39" ht="15.75" customHeight="1" x14ac:dyDescent="0.2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</row>
    <row r="259" spans="1:39" ht="15.75" customHeight="1" x14ac:dyDescent="0.2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</row>
    <row r="260" spans="1:39" ht="15.75" customHeight="1" x14ac:dyDescent="0.2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</row>
    <row r="261" spans="1:39" ht="15.75" customHeight="1" x14ac:dyDescent="0.2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</row>
    <row r="262" spans="1:39" ht="15.75" customHeight="1" x14ac:dyDescent="0.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</row>
    <row r="263" spans="1:39" ht="15.75" customHeight="1" x14ac:dyDescent="0.2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</row>
    <row r="264" spans="1:39" ht="15.75" customHeight="1" x14ac:dyDescent="0.2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</row>
    <row r="265" spans="1:39" ht="15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</row>
    <row r="266" spans="1:39" ht="15.75" customHeight="1" x14ac:dyDescent="0.2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</row>
    <row r="267" spans="1:39" ht="15.75" customHeight="1" x14ac:dyDescent="0.2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</row>
    <row r="268" spans="1:39" ht="15.75" customHeight="1" x14ac:dyDescent="0.2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</row>
    <row r="269" spans="1:39" ht="15.75" customHeight="1" x14ac:dyDescent="0.2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</row>
    <row r="270" spans="1:39" ht="15.75" customHeight="1" x14ac:dyDescent="0.2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</row>
    <row r="271" spans="1:39" ht="15.75" customHeight="1" x14ac:dyDescent="0.2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</row>
    <row r="272" spans="1:39" ht="15.75" customHeight="1" x14ac:dyDescent="0.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</row>
    <row r="273" spans="1:39" ht="15.75" customHeight="1" x14ac:dyDescent="0.2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</row>
    <row r="274" spans="1:39" ht="15.75" customHeight="1" x14ac:dyDescent="0.2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</row>
    <row r="275" spans="1:39" ht="15.75" customHeight="1" x14ac:dyDescent="0.2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</row>
    <row r="276" spans="1:39" ht="15.75" customHeight="1" x14ac:dyDescent="0.2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</row>
    <row r="277" spans="1:39" ht="15.75" customHeight="1" x14ac:dyDescent="0.2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</row>
    <row r="278" spans="1:39" ht="15.75" customHeight="1" x14ac:dyDescent="0.2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</row>
    <row r="279" spans="1:39" ht="15.75" customHeight="1" x14ac:dyDescent="0.2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</row>
    <row r="280" spans="1:39" ht="15.75" customHeight="1" x14ac:dyDescent="0.2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</row>
    <row r="281" spans="1:39" ht="15.75" customHeight="1" x14ac:dyDescent="0.2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</row>
    <row r="282" spans="1:39" ht="15.75" customHeight="1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</row>
    <row r="283" spans="1:39" ht="15.75" customHeight="1" x14ac:dyDescent="0.2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</row>
    <row r="284" spans="1:39" ht="15.75" customHeight="1" x14ac:dyDescent="0.2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</row>
    <row r="285" spans="1:39" ht="15.75" customHeight="1" x14ac:dyDescent="0.2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</row>
    <row r="286" spans="1:39" ht="15.75" customHeight="1" x14ac:dyDescent="0.2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</row>
    <row r="287" spans="1:39" ht="15.75" customHeight="1" x14ac:dyDescent="0.2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</row>
    <row r="288" spans="1:39" ht="15.75" customHeight="1" x14ac:dyDescent="0.2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</row>
    <row r="289" spans="1:39" ht="15.75" customHeight="1" x14ac:dyDescent="0.2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</row>
    <row r="290" spans="1:39" ht="15.75" customHeight="1" x14ac:dyDescent="0.2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</row>
    <row r="291" spans="1:39" ht="15.75" customHeight="1" x14ac:dyDescent="0.2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</row>
    <row r="292" spans="1:39" ht="15.75" customHeight="1" x14ac:dyDescent="0.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</row>
    <row r="293" spans="1:39" ht="15.75" customHeight="1" x14ac:dyDescent="0.2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</row>
    <row r="294" spans="1:39" ht="15.75" customHeight="1" x14ac:dyDescent="0.2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</row>
    <row r="295" spans="1:39" ht="15.75" customHeight="1" x14ac:dyDescent="0.2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</row>
    <row r="296" spans="1:39" ht="15.75" customHeight="1" x14ac:dyDescent="0.2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</row>
    <row r="297" spans="1:39" ht="15.75" customHeight="1" x14ac:dyDescent="0.2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</row>
    <row r="298" spans="1:39" ht="15.75" customHeight="1" x14ac:dyDescent="0.2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</row>
    <row r="299" spans="1:39" ht="15.75" customHeight="1" x14ac:dyDescent="0.2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</row>
    <row r="300" spans="1:39" ht="15.75" customHeight="1" x14ac:dyDescent="0.2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</row>
    <row r="301" spans="1:39" ht="15.75" customHeight="1" x14ac:dyDescent="0.2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</row>
    <row r="302" spans="1:39" ht="15.75" customHeight="1" x14ac:dyDescent="0.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</row>
    <row r="303" spans="1:39" ht="15.75" customHeight="1" x14ac:dyDescent="0.2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</row>
    <row r="304" spans="1:39" ht="15.75" customHeight="1" x14ac:dyDescent="0.2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</row>
    <row r="305" spans="1:39" ht="15.75" customHeight="1" x14ac:dyDescent="0.2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</row>
    <row r="306" spans="1:39" ht="15.75" customHeight="1" x14ac:dyDescent="0.2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</row>
    <row r="307" spans="1:39" ht="15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</row>
    <row r="308" spans="1:39" ht="15.75" customHeight="1" x14ac:dyDescent="0.2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</row>
    <row r="309" spans="1:39" ht="15.75" customHeight="1" x14ac:dyDescent="0.2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</row>
    <row r="310" spans="1:39" ht="15.75" customHeight="1" x14ac:dyDescent="0.2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</row>
    <row r="311" spans="1:39" ht="15.75" customHeight="1" x14ac:dyDescent="0.2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</row>
    <row r="312" spans="1:39" ht="15.75" customHeight="1" x14ac:dyDescent="0.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</row>
    <row r="313" spans="1:39" ht="15.75" customHeight="1" x14ac:dyDescent="0.2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</row>
    <row r="314" spans="1:39" ht="15.75" customHeight="1" x14ac:dyDescent="0.2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</row>
    <row r="315" spans="1:39" ht="15.75" customHeight="1" x14ac:dyDescent="0.2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</row>
    <row r="316" spans="1:39" ht="15.75" customHeight="1" x14ac:dyDescent="0.2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</row>
    <row r="317" spans="1:39" ht="15.75" customHeight="1" x14ac:dyDescent="0.2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</row>
    <row r="318" spans="1:39" ht="15.75" customHeight="1" x14ac:dyDescent="0.2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</row>
    <row r="319" spans="1:39" ht="15.75" customHeight="1" x14ac:dyDescent="0.2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</row>
    <row r="320" spans="1:39" ht="15.75" customHeight="1" x14ac:dyDescent="0.2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</row>
    <row r="321" spans="1:39" ht="15.75" customHeight="1" x14ac:dyDescent="0.2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</row>
    <row r="322" spans="1:39" ht="15.75" customHeight="1" x14ac:dyDescent="0.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</row>
    <row r="323" spans="1:39" ht="15.75" customHeight="1" x14ac:dyDescent="0.2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</row>
    <row r="324" spans="1:39" ht="15.75" customHeight="1" x14ac:dyDescent="0.2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</row>
    <row r="325" spans="1:39" ht="15.75" customHeight="1" x14ac:dyDescent="0.2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</row>
    <row r="326" spans="1:39" ht="15.75" customHeight="1" x14ac:dyDescent="0.2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</row>
    <row r="327" spans="1:39" ht="15.75" customHeight="1" x14ac:dyDescent="0.2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</row>
    <row r="328" spans="1:39" ht="15.75" customHeight="1" x14ac:dyDescent="0.2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</row>
    <row r="329" spans="1:39" ht="15.75" customHeight="1" x14ac:dyDescent="0.2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</row>
    <row r="330" spans="1:39" ht="15.75" customHeight="1" x14ac:dyDescent="0.2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</row>
    <row r="331" spans="1:39" ht="15.75" customHeight="1" x14ac:dyDescent="0.2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</row>
    <row r="332" spans="1:39" ht="15.75" customHeight="1" x14ac:dyDescent="0.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</row>
    <row r="333" spans="1:39" ht="15.75" customHeight="1" x14ac:dyDescent="0.2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</row>
    <row r="334" spans="1:39" ht="15.75" customHeight="1" x14ac:dyDescent="0.2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</row>
    <row r="335" spans="1:39" ht="15.75" customHeight="1" x14ac:dyDescent="0.2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</row>
    <row r="336" spans="1:39" ht="15.75" customHeight="1" x14ac:dyDescent="0.2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</row>
    <row r="337" spans="1:39" ht="15.75" customHeight="1" x14ac:dyDescent="0.2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</row>
    <row r="338" spans="1:39" ht="15.75" customHeight="1" x14ac:dyDescent="0.2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</row>
    <row r="339" spans="1:39" ht="15.75" customHeight="1" x14ac:dyDescent="0.2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</row>
    <row r="340" spans="1:39" ht="15.75" customHeight="1" x14ac:dyDescent="0.2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</row>
    <row r="341" spans="1:39" ht="15.75" customHeight="1" x14ac:dyDescent="0.2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</row>
    <row r="342" spans="1:39" ht="15.75" customHeight="1" x14ac:dyDescent="0.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</row>
    <row r="343" spans="1:39" ht="15.75" customHeight="1" x14ac:dyDescent="0.2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</row>
    <row r="344" spans="1:39" ht="15.75" customHeight="1" x14ac:dyDescent="0.2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</row>
    <row r="345" spans="1:39" ht="15.75" customHeight="1" x14ac:dyDescent="0.2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</row>
    <row r="346" spans="1:39" ht="15.75" customHeight="1" x14ac:dyDescent="0.2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</row>
    <row r="347" spans="1:39" ht="15.75" customHeight="1" x14ac:dyDescent="0.2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</row>
    <row r="348" spans="1:39" ht="15.75" customHeight="1" x14ac:dyDescent="0.2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</row>
    <row r="349" spans="1:39" ht="15.75" customHeight="1" x14ac:dyDescent="0.2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</row>
    <row r="350" spans="1:39" ht="15.75" customHeight="1" x14ac:dyDescent="0.2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</row>
    <row r="351" spans="1:39" ht="15.75" customHeight="1" x14ac:dyDescent="0.2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</row>
    <row r="352" spans="1:39" ht="15.75" customHeight="1" x14ac:dyDescent="0.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</row>
    <row r="353" spans="1:39" ht="15.75" customHeight="1" x14ac:dyDescent="0.2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</row>
    <row r="354" spans="1:39" ht="15.75" customHeight="1" x14ac:dyDescent="0.2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</row>
    <row r="355" spans="1:39" ht="15.75" customHeight="1" x14ac:dyDescent="0.2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</row>
    <row r="356" spans="1:39" ht="15.75" customHeight="1" x14ac:dyDescent="0.2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</row>
    <row r="357" spans="1:39" ht="15.75" customHeight="1" x14ac:dyDescent="0.2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</row>
    <row r="358" spans="1:39" ht="15.75" customHeight="1" x14ac:dyDescent="0.2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</row>
    <row r="359" spans="1:39" ht="15.75" customHeight="1" x14ac:dyDescent="0.2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</row>
    <row r="360" spans="1:39" ht="15.75" customHeight="1" x14ac:dyDescent="0.2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</row>
    <row r="361" spans="1:39" ht="15.75" customHeight="1" x14ac:dyDescent="0.2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</row>
    <row r="362" spans="1:39" ht="15.75" customHeight="1" x14ac:dyDescent="0.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</row>
    <row r="363" spans="1:39" ht="15.75" customHeight="1" x14ac:dyDescent="0.2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</row>
    <row r="364" spans="1:39" ht="15.75" customHeight="1" x14ac:dyDescent="0.2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</row>
    <row r="365" spans="1:39" ht="15.75" customHeight="1" x14ac:dyDescent="0.2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</row>
    <row r="366" spans="1:39" ht="15.75" customHeight="1" x14ac:dyDescent="0.2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</row>
    <row r="367" spans="1:39" ht="15.75" customHeight="1" x14ac:dyDescent="0.2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</row>
    <row r="368" spans="1:39" ht="15.75" customHeight="1" x14ac:dyDescent="0.2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</row>
    <row r="369" spans="1:39" ht="15.75" customHeight="1" x14ac:dyDescent="0.2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</row>
    <row r="370" spans="1:39" ht="15.75" customHeight="1" x14ac:dyDescent="0.2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</row>
    <row r="371" spans="1:39" ht="15.75" customHeight="1" x14ac:dyDescent="0.2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</row>
    <row r="372" spans="1:39" ht="15.75" customHeight="1" x14ac:dyDescent="0.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</row>
    <row r="373" spans="1:39" ht="15.75" customHeight="1" x14ac:dyDescent="0.2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</row>
    <row r="374" spans="1:39" ht="15.75" customHeight="1" x14ac:dyDescent="0.2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</row>
    <row r="375" spans="1:39" ht="15.75" customHeight="1" x14ac:dyDescent="0.2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</row>
    <row r="376" spans="1:39" ht="15.75" customHeight="1" x14ac:dyDescent="0.2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</row>
    <row r="377" spans="1:39" ht="15.75" customHeight="1" x14ac:dyDescent="0.2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</row>
    <row r="378" spans="1:39" ht="15.75" customHeight="1" x14ac:dyDescent="0.2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</row>
    <row r="379" spans="1:39" ht="15.75" customHeight="1" x14ac:dyDescent="0.2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 spans="1:39" ht="15.75" customHeight="1" x14ac:dyDescent="0.2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 spans="1:39" ht="15.75" customHeight="1" x14ac:dyDescent="0.2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 spans="1:39" ht="15.75" customHeight="1" x14ac:dyDescent="0.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 spans="1:39" ht="15.75" customHeight="1" x14ac:dyDescent="0.2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 spans="1:39" ht="15.75" customHeight="1" x14ac:dyDescent="0.2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 spans="1:39" ht="15.75" customHeight="1" x14ac:dyDescent="0.2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 spans="1:39" ht="15.75" customHeight="1" x14ac:dyDescent="0.2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 spans="1:39" ht="15.75" customHeight="1" x14ac:dyDescent="0.2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 spans="1:39" ht="15.75" customHeight="1" x14ac:dyDescent="0.2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 spans="1:39" ht="15.75" customHeight="1" x14ac:dyDescent="0.2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 spans="1:39" ht="15.75" customHeight="1" x14ac:dyDescent="0.2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 spans="1:39" ht="15.75" customHeight="1" x14ac:dyDescent="0.2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 spans="1:39" ht="15.75" customHeight="1" x14ac:dyDescent="0.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 spans="1:39" ht="15.75" customHeight="1" x14ac:dyDescent="0.2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 spans="1:39" ht="15.75" customHeight="1" x14ac:dyDescent="0.2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 spans="1:39" ht="15.75" customHeight="1" x14ac:dyDescent="0.2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 spans="1:39" ht="15.75" customHeight="1" x14ac:dyDescent="0.2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 spans="1:39" ht="15.75" customHeight="1" x14ac:dyDescent="0.2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 spans="1:39" ht="15.75" customHeight="1" x14ac:dyDescent="0.2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 spans="1:39" ht="15.75" customHeight="1" x14ac:dyDescent="0.2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 spans="1:39" ht="15.75" customHeight="1" x14ac:dyDescent="0.2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 spans="1:39" ht="15.75" customHeight="1" x14ac:dyDescent="0.2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 spans="1:39" ht="15.75" customHeight="1" x14ac:dyDescent="0.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 spans="1:39" ht="15.75" customHeight="1" x14ac:dyDescent="0.2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 spans="1:39" ht="15.75" customHeight="1" x14ac:dyDescent="0.2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 spans="1:39" ht="15.75" customHeight="1" x14ac:dyDescent="0.2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 spans="1:39" ht="15.75" customHeight="1" x14ac:dyDescent="0.2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 spans="1:39" ht="15.75" customHeight="1" x14ac:dyDescent="0.2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 spans="1:39" ht="15.75" customHeight="1" x14ac:dyDescent="0.2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 spans="1:39" ht="15.75" customHeight="1" x14ac:dyDescent="0.2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 spans="1:39" ht="15.75" customHeight="1" x14ac:dyDescent="0.2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 spans="1:39" ht="15.75" customHeight="1" x14ac:dyDescent="0.2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 spans="1:39" ht="15.75" customHeight="1" x14ac:dyDescent="0.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 spans="1:39" ht="15.75" customHeight="1" x14ac:dyDescent="0.2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 spans="1:39" ht="15.75" customHeight="1" x14ac:dyDescent="0.2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 spans="1:39" ht="15.75" customHeight="1" x14ac:dyDescent="0.2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 spans="1:39" ht="15.75" customHeight="1" x14ac:dyDescent="0.2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 spans="1:39" ht="15.75" customHeight="1" x14ac:dyDescent="0.2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 spans="1:39" ht="15.75" customHeight="1" x14ac:dyDescent="0.2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 spans="1:39" ht="15.75" customHeight="1" x14ac:dyDescent="0.2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 spans="1:39" ht="15.75" customHeight="1" x14ac:dyDescent="0.2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 spans="1:39" ht="15.75" customHeight="1" x14ac:dyDescent="0.2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 spans="1:39" ht="15.75" customHeight="1" x14ac:dyDescent="0.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 spans="1:39" ht="15.75" customHeight="1" x14ac:dyDescent="0.2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 spans="1:39" ht="15.75" customHeight="1" x14ac:dyDescent="0.2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 spans="1:39" ht="15.75" customHeight="1" x14ac:dyDescent="0.2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 spans="1:39" ht="15.75" customHeight="1" x14ac:dyDescent="0.2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 spans="1:39" ht="15.75" customHeight="1" x14ac:dyDescent="0.2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 spans="1:39" ht="15.75" customHeight="1" x14ac:dyDescent="0.2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 spans="1:39" ht="15.75" customHeight="1" x14ac:dyDescent="0.2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 spans="1:39" ht="15.75" customHeight="1" x14ac:dyDescent="0.2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 spans="1:39" ht="15.75" customHeight="1" x14ac:dyDescent="0.2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 spans="1:39" ht="15.75" customHeight="1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 spans="1:39" ht="15.75" customHeight="1" x14ac:dyDescent="0.2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 spans="1:39" ht="15.75" customHeight="1" x14ac:dyDescent="0.2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 spans="1:39" ht="15.75" customHeight="1" x14ac:dyDescent="0.2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 spans="1:39" ht="15.75" customHeight="1" x14ac:dyDescent="0.2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 spans="1:39" ht="15.75" customHeight="1" x14ac:dyDescent="0.2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 spans="1:39" ht="15.75" customHeight="1" x14ac:dyDescent="0.2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 spans="1:39" ht="15.75" customHeight="1" x14ac:dyDescent="0.2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 spans="1:39" ht="15.75" customHeight="1" x14ac:dyDescent="0.2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 spans="1:39" ht="15.75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 spans="1:39" ht="15.75" customHeight="1" x14ac:dyDescent="0.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 spans="1:39" ht="15.75" customHeight="1" x14ac:dyDescent="0.2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 spans="1:39" ht="15.75" customHeight="1" x14ac:dyDescent="0.2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 spans="1:39" ht="15.75" customHeight="1" x14ac:dyDescent="0.2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 spans="1:39" ht="15.75" customHeight="1" x14ac:dyDescent="0.2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 spans="1:39" ht="15.75" customHeight="1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 spans="1:39" ht="15.75" customHeight="1" x14ac:dyDescent="0.2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 spans="1:39" ht="15.75" customHeight="1" x14ac:dyDescent="0.2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 spans="1:39" ht="15.75" customHeight="1" x14ac:dyDescent="0.2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 spans="1:39" ht="15.75" customHeight="1" x14ac:dyDescent="0.2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 spans="1:39" ht="15.75" customHeight="1" x14ac:dyDescent="0.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 spans="1:39" ht="15.75" customHeight="1" x14ac:dyDescent="0.2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 spans="1:39" ht="15.75" customHeight="1" x14ac:dyDescent="0.2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 spans="1:39" ht="15.75" customHeight="1" x14ac:dyDescent="0.2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 spans="1:39" ht="15.75" customHeight="1" x14ac:dyDescent="0.2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 spans="1:39" ht="15.75" customHeight="1" x14ac:dyDescent="0.2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 spans="1:39" ht="15.75" customHeight="1" x14ac:dyDescent="0.2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 spans="1:39" ht="15.75" customHeight="1" x14ac:dyDescent="0.2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 spans="1:39" ht="15.75" customHeight="1" x14ac:dyDescent="0.2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 spans="1:39" ht="15.75" customHeight="1" x14ac:dyDescent="0.2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 spans="1:39" ht="15.75" customHeight="1" x14ac:dyDescent="0.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 spans="1:39" ht="15.75" customHeight="1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 spans="1:39" ht="15.75" customHeight="1" x14ac:dyDescent="0.2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 spans="1:39" ht="15.75" customHeight="1" x14ac:dyDescent="0.2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 spans="1:39" ht="15.75" customHeight="1" x14ac:dyDescent="0.2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 spans="1:39" ht="15.75" customHeight="1" x14ac:dyDescent="0.2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 spans="1:39" ht="15.75" customHeight="1" x14ac:dyDescent="0.2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 spans="1:39" ht="15.75" customHeight="1" x14ac:dyDescent="0.2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 spans="1:39" ht="15.75" customHeight="1" x14ac:dyDescent="0.2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 spans="1:39" ht="15.75" customHeight="1" x14ac:dyDescent="0.2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 spans="1:39" ht="15.75" customHeight="1" x14ac:dyDescent="0.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 spans="1:39" ht="15.75" customHeight="1" x14ac:dyDescent="0.2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 spans="1:39" ht="15.75" customHeight="1" x14ac:dyDescent="0.2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 spans="1:39" ht="15.75" customHeight="1" x14ac:dyDescent="0.2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 spans="1:39" ht="15.75" customHeight="1" x14ac:dyDescent="0.2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 spans="1:39" ht="15.75" customHeight="1" x14ac:dyDescent="0.2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 spans="1:39" ht="15.75" customHeight="1" x14ac:dyDescent="0.2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 spans="1:39" ht="15.75" customHeight="1" x14ac:dyDescent="0.2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 spans="1:39" ht="15.75" customHeight="1" x14ac:dyDescent="0.2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 spans="1:39" ht="15.75" customHeight="1" x14ac:dyDescent="0.2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 spans="1:39" ht="15.75" customHeight="1" x14ac:dyDescent="0.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 spans="1:39" ht="15.75" customHeight="1" x14ac:dyDescent="0.2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 spans="1:39" ht="15.75" customHeight="1" x14ac:dyDescent="0.2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 spans="1:39" ht="15.75" customHeight="1" x14ac:dyDescent="0.2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 spans="1:39" ht="15.75" customHeight="1" x14ac:dyDescent="0.2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 spans="1:39" ht="15.75" customHeight="1" x14ac:dyDescent="0.2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 spans="1:39" ht="15.75" customHeight="1" x14ac:dyDescent="0.2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 spans="1:39" ht="15.75" customHeight="1" x14ac:dyDescent="0.2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 spans="1:39" ht="15.75" customHeight="1" x14ac:dyDescent="0.2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 spans="1:39" ht="15.75" customHeight="1" x14ac:dyDescent="0.2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 spans="1:39" ht="15.75" customHeight="1" x14ac:dyDescent="0.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 spans="1:39" ht="15.75" customHeight="1" x14ac:dyDescent="0.2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 spans="1:39" ht="15.75" customHeight="1" x14ac:dyDescent="0.2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 spans="1:39" ht="15.75" customHeight="1" x14ac:dyDescent="0.2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 spans="1:39" ht="15.75" customHeight="1" x14ac:dyDescent="0.2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 spans="1:39" ht="15.75" customHeight="1" x14ac:dyDescent="0.2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 spans="1:39" ht="15.75" customHeight="1" x14ac:dyDescent="0.2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 spans="1:39" ht="15.75" customHeight="1" x14ac:dyDescent="0.2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 spans="1:39" ht="15.75" customHeight="1" x14ac:dyDescent="0.2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 spans="1:39" ht="15.75" customHeight="1" x14ac:dyDescent="0.2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 spans="1:39" ht="15.75" customHeight="1" x14ac:dyDescent="0.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 spans="1:39" ht="15.75" customHeight="1" x14ac:dyDescent="0.2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 spans="1:39" ht="15.75" customHeight="1" x14ac:dyDescent="0.2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 spans="1:39" ht="15.75" customHeight="1" x14ac:dyDescent="0.2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 spans="1:39" ht="15.75" customHeight="1" x14ac:dyDescent="0.2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  <row r="507" spans="1:39" ht="15.75" customHeight="1" x14ac:dyDescent="0.2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</row>
    <row r="508" spans="1:39" ht="15.75" customHeight="1" x14ac:dyDescent="0.2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</row>
    <row r="509" spans="1:39" ht="15.75" customHeight="1" x14ac:dyDescent="0.2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</row>
    <row r="510" spans="1:39" ht="15.75" customHeight="1" x14ac:dyDescent="0.2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</row>
    <row r="511" spans="1:39" ht="15.75" customHeight="1" x14ac:dyDescent="0.2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</row>
    <row r="512" spans="1:39" ht="15.75" customHeight="1" x14ac:dyDescent="0.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</row>
    <row r="513" spans="1:39" ht="15.75" customHeight="1" x14ac:dyDescent="0.2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</row>
    <row r="514" spans="1:39" ht="15.75" customHeight="1" x14ac:dyDescent="0.2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</row>
    <row r="515" spans="1:39" ht="15.75" customHeight="1" x14ac:dyDescent="0.2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</row>
    <row r="516" spans="1:39" ht="15.75" customHeight="1" x14ac:dyDescent="0.2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</row>
    <row r="517" spans="1:39" ht="15.75" customHeight="1" x14ac:dyDescent="0.2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</row>
    <row r="518" spans="1:39" ht="15.75" customHeight="1" x14ac:dyDescent="0.2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</row>
    <row r="519" spans="1:39" ht="15.75" customHeight="1" x14ac:dyDescent="0.2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</row>
    <row r="520" spans="1:39" ht="15.75" customHeight="1" x14ac:dyDescent="0.2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</row>
    <row r="521" spans="1:39" ht="15.75" customHeight="1" x14ac:dyDescent="0.2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</row>
    <row r="522" spans="1:39" ht="15.75" customHeight="1" x14ac:dyDescent="0.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</row>
    <row r="523" spans="1:39" ht="15.75" customHeight="1" x14ac:dyDescent="0.2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</row>
    <row r="524" spans="1:39" ht="15.75" customHeight="1" x14ac:dyDescent="0.2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</row>
    <row r="525" spans="1:39" ht="15.75" customHeight="1" x14ac:dyDescent="0.2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</row>
    <row r="526" spans="1:39" ht="15.75" customHeight="1" x14ac:dyDescent="0.2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</row>
    <row r="527" spans="1:39" ht="15.75" customHeight="1" x14ac:dyDescent="0.2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</row>
    <row r="528" spans="1:39" ht="15.75" customHeight="1" x14ac:dyDescent="0.2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</row>
    <row r="529" spans="1:39" ht="15.75" customHeight="1" x14ac:dyDescent="0.2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</row>
    <row r="530" spans="1:39" ht="15.75" customHeight="1" x14ac:dyDescent="0.2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</row>
    <row r="531" spans="1:39" ht="15.75" customHeight="1" x14ac:dyDescent="0.2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</row>
    <row r="532" spans="1:39" ht="15.75" customHeight="1" x14ac:dyDescent="0.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</row>
    <row r="533" spans="1:39" ht="15.75" customHeight="1" x14ac:dyDescent="0.2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</row>
    <row r="534" spans="1:39" ht="15.75" customHeight="1" x14ac:dyDescent="0.2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</row>
    <row r="535" spans="1:39" ht="15.75" customHeight="1" x14ac:dyDescent="0.2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</row>
    <row r="536" spans="1:39" ht="15.75" customHeight="1" x14ac:dyDescent="0.2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</row>
    <row r="537" spans="1:39" ht="15.75" customHeight="1" x14ac:dyDescent="0.2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</row>
    <row r="538" spans="1:39" ht="15.75" customHeight="1" x14ac:dyDescent="0.2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</row>
    <row r="539" spans="1:39" ht="15.75" customHeight="1" x14ac:dyDescent="0.2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</row>
    <row r="540" spans="1:39" ht="15.75" customHeight="1" x14ac:dyDescent="0.2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</row>
    <row r="541" spans="1:39" ht="15.75" customHeight="1" x14ac:dyDescent="0.2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</row>
    <row r="542" spans="1:39" ht="15.75" customHeight="1" x14ac:dyDescent="0.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</row>
    <row r="543" spans="1:39" ht="15.75" customHeight="1" x14ac:dyDescent="0.2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</row>
    <row r="544" spans="1:39" ht="15.75" customHeight="1" x14ac:dyDescent="0.2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</row>
    <row r="545" spans="1:39" ht="15.75" customHeight="1" x14ac:dyDescent="0.2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</row>
    <row r="546" spans="1:39" ht="15.75" customHeight="1" x14ac:dyDescent="0.2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</row>
    <row r="547" spans="1:39" ht="15.75" customHeight="1" x14ac:dyDescent="0.2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</row>
    <row r="548" spans="1:39" ht="15.75" customHeight="1" x14ac:dyDescent="0.2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</row>
    <row r="549" spans="1:39" ht="15.75" customHeight="1" x14ac:dyDescent="0.2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</row>
    <row r="550" spans="1:39" ht="15.75" customHeight="1" x14ac:dyDescent="0.2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</row>
    <row r="551" spans="1:39" ht="15.75" customHeight="1" x14ac:dyDescent="0.2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</row>
    <row r="552" spans="1:39" ht="15.75" customHeight="1" x14ac:dyDescent="0.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</row>
    <row r="553" spans="1:39" ht="15.75" customHeight="1" x14ac:dyDescent="0.2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</row>
    <row r="554" spans="1:39" ht="15.75" customHeight="1" x14ac:dyDescent="0.2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</row>
    <row r="555" spans="1:39" ht="15.75" customHeight="1" x14ac:dyDescent="0.2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</row>
    <row r="556" spans="1:39" ht="15.75" customHeight="1" x14ac:dyDescent="0.2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</row>
    <row r="557" spans="1:39" ht="15.75" customHeight="1" x14ac:dyDescent="0.2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</row>
    <row r="558" spans="1:39" ht="15.75" customHeight="1" x14ac:dyDescent="0.2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</row>
    <row r="559" spans="1:39" ht="15.75" customHeight="1" x14ac:dyDescent="0.2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</row>
    <row r="560" spans="1:39" ht="15.75" customHeight="1" x14ac:dyDescent="0.2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</row>
    <row r="561" spans="1:39" ht="15.75" customHeight="1" x14ac:dyDescent="0.2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</row>
    <row r="562" spans="1:39" ht="15.75" customHeight="1" x14ac:dyDescent="0.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</row>
    <row r="563" spans="1:39" ht="15.75" customHeight="1" x14ac:dyDescent="0.2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</row>
    <row r="564" spans="1:39" ht="15.75" customHeight="1" x14ac:dyDescent="0.2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</row>
    <row r="565" spans="1:39" ht="15.75" customHeight="1" x14ac:dyDescent="0.2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</row>
    <row r="566" spans="1:39" ht="15.75" customHeight="1" x14ac:dyDescent="0.2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</row>
    <row r="567" spans="1:39" ht="15.75" customHeight="1" x14ac:dyDescent="0.2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</row>
    <row r="568" spans="1:39" ht="15.75" customHeight="1" x14ac:dyDescent="0.2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</row>
    <row r="569" spans="1:39" ht="15.75" customHeight="1" x14ac:dyDescent="0.2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</row>
    <row r="570" spans="1:39" ht="15.75" customHeight="1" x14ac:dyDescent="0.2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</row>
    <row r="571" spans="1:39" ht="15.75" customHeight="1" x14ac:dyDescent="0.2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</row>
    <row r="572" spans="1:39" ht="15.75" customHeight="1" x14ac:dyDescent="0.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</row>
    <row r="573" spans="1:39" ht="15.75" customHeight="1" x14ac:dyDescent="0.2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</row>
    <row r="574" spans="1:39" ht="15.75" customHeight="1" x14ac:dyDescent="0.2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</row>
    <row r="575" spans="1:39" ht="15.75" customHeight="1" x14ac:dyDescent="0.2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</row>
    <row r="576" spans="1:39" ht="15.75" customHeight="1" x14ac:dyDescent="0.2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</row>
    <row r="577" spans="1:39" ht="15.75" customHeight="1" x14ac:dyDescent="0.2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</row>
    <row r="578" spans="1:39" ht="15.75" customHeight="1" x14ac:dyDescent="0.2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</row>
    <row r="579" spans="1:39" ht="15.75" customHeight="1" x14ac:dyDescent="0.2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</row>
    <row r="580" spans="1:39" ht="15.75" customHeight="1" x14ac:dyDescent="0.2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</row>
    <row r="581" spans="1:39" ht="15.75" customHeight="1" x14ac:dyDescent="0.2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</row>
    <row r="582" spans="1:39" ht="15.75" customHeight="1" x14ac:dyDescent="0.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</row>
    <row r="583" spans="1:39" ht="15.75" customHeight="1" x14ac:dyDescent="0.2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</row>
    <row r="584" spans="1:39" ht="15.75" customHeight="1" x14ac:dyDescent="0.2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</row>
    <row r="585" spans="1:39" ht="15.75" customHeight="1" x14ac:dyDescent="0.2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</row>
    <row r="586" spans="1:39" ht="15.75" customHeight="1" x14ac:dyDescent="0.2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</row>
    <row r="587" spans="1:39" ht="15.75" customHeight="1" x14ac:dyDescent="0.2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</row>
    <row r="588" spans="1:39" ht="15.75" customHeight="1" x14ac:dyDescent="0.2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</row>
    <row r="589" spans="1:39" ht="15.75" customHeight="1" x14ac:dyDescent="0.2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</row>
    <row r="590" spans="1:39" ht="15.75" customHeight="1" x14ac:dyDescent="0.2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</row>
    <row r="591" spans="1:39" ht="15.75" customHeight="1" x14ac:dyDescent="0.2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</row>
    <row r="592" spans="1:39" ht="15.75" customHeight="1" x14ac:dyDescent="0.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</row>
    <row r="593" spans="1:39" ht="15.75" customHeight="1" x14ac:dyDescent="0.2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</row>
    <row r="594" spans="1:39" ht="15.75" customHeight="1" x14ac:dyDescent="0.2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</row>
    <row r="595" spans="1:39" ht="15.75" customHeight="1" x14ac:dyDescent="0.2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</row>
    <row r="596" spans="1:39" ht="15.75" customHeight="1" x14ac:dyDescent="0.2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</row>
    <row r="597" spans="1:39" ht="15.75" customHeight="1" x14ac:dyDescent="0.2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</row>
    <row r="598" spans="1:39" ht="15.75" customHeight="1" x14ac:dyDescent="0.2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</row>
    <row r="599" spans="1:39" ht="15.75" customHeight="1" x14ac:dyDescent="0.2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</row>
    <row r="600" spans="1:39" ht="15.75" customHeight="1" x14ac:dyDescent="0.2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</row>
    <row r="601" spans="1:39" ht="15.75" customHeight="1" x14ac:dyDescent="0.2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</row>
    <row r="602" spans="1:39" ht="15.75" customHeight="1" x14ac:dyDescent="0.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</row>
    <row r="603" spans="1:39" ht="15.75" customHeight="1" x14ac:dyDescent="0.2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</row>
    <row r="604" spans="1:39" ht="15.75" customHeight="1" x14ac:dyDescent="0.2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</row>
    <row r="605" spans="1:39" ht="15.75" customHeight="1" x14ac:dyDescent="0.2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</row>
    <row r="606" spans="1:39" ht="15.75" customHeight="1" x14ac:dyDescent="0.2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</row>
    <row r="607" spans="1:39" ht="15.75" customHeight="1" x14ac:dyDescent="0.2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</row>
    <row r="608" spans="1:39" ht="15.75" customHeight="1" x14ac:dyDescent="0.2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</row>
    <row r="609" spans="1:39" ht="15.75" customHeight="1" x14ac:dyDescent="0.2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</row>
    <row r="610" spans="1:39" ht="15.75" customHeight="1" x14ac:dyDescent="0.2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</row>
    <row r="611" spans="1:39" ht="15.75" customHeight="1" x14ac:dyDescent="0.2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</row>
    <row r="612" spans="1:39" ht="15.75" customHeight="1" x14ac:dyDescent="0.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</row>
    <row r="613" spans="1:39" ht="15.75" customHeight="1" x14ac:dyDescent="0.2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</row>
    <row r="614" spans="1:39" ht="15.75" customHeight="1" x14ac:dyDescent="0.2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</row>
    <row r="615" spans="1:39" ht="15.75" customHeight="1" x14ac:dyDescent="0.2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</row>
    <row r="616" spans="1:39" ht="15.75" customHeight="1" x14ac:dyDescent="0.2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</row>
    <row r="617" spans="1:39" ht="15.75" customHeight="1" x14ac:dyDescent="0.2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</row>
    <row r="618" spans="1:39" ht="15.75" customHeight="1" x14ac:dyDescent="0.2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</row>
    <row r="619" spans="1:39" ht="15.75" customHeight="1" x14ac:dyDescent="0.2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</row>
    <row r="620" spans="1:39" ht="15.75" customHeight="1" x14ac:dyDescent="0.2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</row>
    <row r="621" spans="1:39" ht="15.75" customHeight="1" x14ac:dyDescent="0.2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</row>
    <row r="622" spans="1:39" ht="15.75" customHeight="1" x14ac:dyDescent="0.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</row>
    <row r="623" spans="1:39" ht="15.75" customHeight="1" x14ac:dyDescent="0.2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</row>
    <row r="624" spans="1:39" ht="15.75" customHeight="1" x14ac:dyDescent="0.2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</row>
    <row r="625" spans="1:39" ht="15.75" customHeight="1" x14ac:dyDescent="0.2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</row>
    <row r="626" spans="1:39" ht="15.75" customHeight="1" x14ac:dyDescent="0.2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</row>
    <row r="627" spans="1:39" ht="15.75" customHeight="1" x14ac:dyDescent="0.2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</row>
    <row r="628" spans="1:39" ht="15.75" customHeight="1" x14ac:dyDescent="0.2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</row>
    <row r="629" spans="1:39" ht="15.75" customHeight="1" x14ac:dyDescent="0.2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</row>
    <row r="630" spans="1:39" ht="15.75" customHeight="1" x14ac:dyDescent="0.2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</row>
    <row r="631" spans="1:39" ht="15.75" customHeight="1" x14ac:dyDescent="0.2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</row>
    <row r="632" spans="1:39" ht="15.75" customHeight="1" x14ac:dyDescent="0.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</row>
    <row r="633" spans="1:39" ht="15.75" customHeight="1" x14ac:dyDescent="0.2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</row>
    <row r="634" spans="1:39" ht="15.75" customHeight="1" x14ac:dyDescent="0.2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</row>
    <row r="635" spans="1:39" ht="15.75" customHeight="1" x14ac:dyDescent="0.2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</row>
    <row r="636" spans="1:39" ht="15.75" customHeight="1" x14ac:dyDescent="0.2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</row>
    <row r="637" spans="1:39" ht="15.75" customHeight="1" x14ac:dyDescent="0.2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</row>
    <row r="638" spans="1:39" ht="15.75" customHeight="1" x14ac:dyDescent="0.2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</row>
    <row r="639" spans="1:39" ht="15.75" customHeight="1" x14ac:dyDescent="0.2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</row>
    <row r="640" spans="1:39" ht="15.75" customHeight="1" x14ac:dyDescent="0.2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</row>
    <row r="641" spans="1:39" ht="15.75" customHeight="1" x14ac:dyDescent="0.2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</row>
    <row r="642" spans="1:39" ht="15.75" customHeight="1" x14ac:dyDescent="0.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</row>
    <row r="643" spans="1:39" ht="15.75" customHeight="1" x14ac:dyDescent="0.2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</row>
    <row r="644" spans="1:39" ht="15.75" customHeight="1" x14ac:dyDescent="0.2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</row>
    <row r="645" spans="1:39" ht="15.75" customHeight="1" x14ac:dyDescent="0.2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</row>
    <row r="646" spans="1:39" ht="15.75" customHeight="1" x14ac:dyDescent="0.2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</row>
    <row r="647" spans="1:39" ht="15.75" customHeight="1" x14ac:dyDescent="0.2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</row>
    <row r="648" spans="1:39" ht="15.75" customHeight="1" x14ac:dyDescent="0.2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</row>
    <row r="649" spans="1:39" ht="15.75" customHeight="1" x14ac:dyDescent="0.2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</row>
    <row r="650" spans="1:39" ht="15.75" customHeight="1" x14ac:dyDescent="0.2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</row>
    <row r="651" spans="1:39" ht="15.75" customHeight="1" x14ac:dyDescent="0.2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</row>
    <row r="652" spans="1:39" ht="15.75" customHeight="1" x14ac:dyDescent="0.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</row>
    <row r="653" spans="1:39" ht="15.75" customHeight="1" x14ac:dyDescent="0.2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</row>
    <row r="654" spans="1:39" ht="15.75" customHeight="1" x14ac:dyDescent="0.2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</row>
    <row r="655" spans="1:39" ht="15.75" customHeight="1" x14ac:dyDescent="0.2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</row>
    <row r="656" spans="1:39" ht="15.75" customHeight="1" x14ac:dyDescent="0.2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</row>
    <row r="657" spans="1:39" ht="15.75" customHeight="1" x14ac:dyDescent="0.2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</row>
    <row r="658" spans="1:39" ht="15.75" customHeight="1" x14ac:dyDescent="0.2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</row>
    <row r="659" spans="1:39" ht="15.75" customHeight="1" x14ac:dyDescent="0.2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</row>
    <row r="660" spans="1:39" ht="15.75" customHeight="1" x14ac:dyDescent="0.2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</row>
    <row r="661" spans="1:39" ht="15.75" customHeight="1" x14ac:dyDescent="0.2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</row>
    <row r="662" spans="1:39" ht="15.75" customHeight="1" x14ac:dyDescent="0.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</row>
    <row r="663" spans="1:39" ht="15.75" customHeight="1" x14ac:dyDescent="0.2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</row>
    <row r="664" spans="1:39" ht="15.75" customHeight="1" x14ac:dyDescent="0.2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</row>
    <row r="665" spans="1:39" ht="15.75" customHeight="1" x14ac:dyDescent="0.2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</row>
    <row r="666" spans="1:39" ht="15.75" customHeight="1" x14ac:dyDescent="0.2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</row>
    <row r="667" spans="1:39" ht="15.75" customHeight="1" x14ac:dyDescent="0.2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</row>
    <row r="668" spans="1:39" ht="15.75" customHeight="1" x14ac:dyDescent="0.2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</row>
    <row r="669" spans="1:39" ht="15.75" customHeight="1" x14ac:dyDescent="0.2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</row>
    <row r="670" spans="1:39" ht="15.75" customHeight="1" x14ac:dyDescent="0.2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</row>
    <row r="671" spans="1:39" ht="15.75" customHeight="1" x14ac:dyDescent="0.2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</row>
    <row r="672" spans="1:39" ht="15.75" customHeight="1" x14ac:dyDescent="0.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</row>
    <row r="673" spans="1:39" ht="15.75" customHeight="1" x14ac:dyDescent="0.2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</row>
    <row r="674" spans="1:39" ht="15.75" customHeight="1" x14ac:dyDescent="0.2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</row>
    <row r="675" spans="1:39" ht="15.75" customHeight="1" x14ac:dyDescent="0.2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</row>
    <row r="676" spans="1:39" ht="15.75" customHeight="1" x14ac:dyDescent="0.2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</row>
    <row r="677" spans="1:39" ht="15.75" customHeight="1" x14ac:dyDescent="0.2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</row>
    <row r="678" spans="1:39" ht="15.75" customHeight="1" x14ac:dyDescent="0.2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</row>
    <row r="679" spans="1:39" ht="15.75" customHeight="1" x14ac:dyDescent="0.2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</row>
    <row r="680" spans="1:39" ht="15.75" customHeight="1" x14ac:dyDescent="0.2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</row>
    <row r="681" spans="1:39" ht="15.75" customHeight="1" x14ac:dyDescent="0.2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</row>
    <row r="682" spans="1:39" ht="15.75" customHeight="1" x14ac:dyDescent="0.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</row>
    <row r="683" spans="1:39" ht="15.75" customHeight="1" x14ac:dyDescent="0.2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</row>
    <row r="684" spans="1:39" ht="15.75" customHeight="1" x14ac:dyDescent="0.2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</row>
    <row r="685" spans="1:39" ht="15.75" customHeight="1" x14ac:dyDescent="0.2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</row>
    <row r="686" spans="1:39" ht="15.75" customHeight="1" x14ac:dyDescent="0.2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</row>
    <row r="687" spans="1:39" ht="15.75" customHeight="1" x14ac:dyDescent="0.2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</row>
    <row r="688" spans="1:39" ht="15.75" customHeight="1" x14ac:dyDescent="0.2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</row>
    <row r="689" spans="1:39" ht="15.75" customHeight="1" x14ac:dyDescent="0.2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</row>
    <row r="690" spans="1:39" ht="15.75" customHeight="1" x14ac:dyDescent="0.2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</row>
    <row r="691" spans="1:39" ht="15.75" customHeight="1" x14ac:dyDescent="0.2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</row>
    <row r="692" spans="1:39" ht="15.75" customHeight="1" x14ac:dyDescent="0.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</row>
    <row r="693" spans="1:39" ht="15.75" customHeight="1" x14ac:dyDescent="0.2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</row>
    <row r="694" spans="1:39" ht="15.75" customHeight="1" x14ac:dyDescent="0.2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</row>
    <row r="695" spans="1:39" ht="15.75" customHeight="1" x14ac:dyDescent="0.2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</row>
    <row r="696" spans="1:39" ht="15.75" customHeight="1" x14ac:dyDescent="0.2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</row>
    <row r="697" spans="1:39" ht="15.75" customHeight="1" x14ac:dyDescent="0.2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</row>
    <row r="698" spans="1:39" ht="15.75" customHeight="1" x14ac:dyDescent="0.2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</row>
    <row r="699" spans="1:39" ht="15.75" customHeight="1" x14ac:dyDescent="0.2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</row>
    <row r="700" spans="1:39" ht="15.75" customHeight="1" x14ac:dyDescent="0.2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</row>
    <row r="701" spans="1:39" ht="15.75" customHeight="1" x14ac:dyDescent="0.2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</row>
    <row r="702" spans="1:39" ht="15.75" customHeight="1" x14ac:dyDescent="0.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</row>
    <row r="703" spans="1:39" ht="15.75" customHeight="1" x14ac:dyDescent="0.2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</row>
    <row r="704" spans="1:39" ht="15.75" customHeight="1" x14ac:dyDescent="0.2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</row>
    <row r="705" spans="1:39" ht="15.75" customHeight="1" x14ac:dyDescent="0.2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</row>
    <row r="706" spans="1:39" ht="15.75" customHeight="1" x14ac:dyDescent="0.2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</row>
    <row r="707" spans="1:39" ht="15.75" customHeight="1" x14ac:dyDescent="0.2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</row>
    <row r="708" spans="1:39" ht="15.75" customHeight="1" x14ac:dyDescent="0.2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</row>
    <row r="709" spans="1:39" ht="15.75" customHeight="1" x14ac:dyDescent="0.2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</row>
    <row r="710" spans="1:39" ht="15.75" customHeight="1" x14ac:dyDescent="0.2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</row>
    <row r="711" spans="1:39" ht="15.75" customHeight="1" x14ac:dyDescent="0.2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</row>
    <row r="712" spans="1:39" ht="15.75" customHeight="1" x14ac:dyDescent="0.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</row>
    <row r="713" spans="1:39" ht="15.75" customHeight="1" x14ac:dyDescent="0.2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</row>
    <row r="714" spans="1:39" ht="15.75" customHeight="1" x14ac:dyDescent="0.2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</row>
    <row r="715" spans="1:39" ht="15.75" customHeight="1" x14ac:dyDescent="0.2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</row>
    <row r="716" spans="1:39" ht="15.75" customHeight="1" x14ac:dyDescent="0.2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</row>
    <row r="717" spans="1:39" ht="15.75" customHeight="1" x14ac:dyDescent="0.2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</row>
    <row r="718" spans="1:39" ht="15.75" customHeight="1" x14ac:dyDescent="0.2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</row>
    <row r="719" spans="1:39" ht="15.75" customHeight="1" x14ac:dyDescent="0.2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</row>
    <row r="720" spans="1:39" ht="15.75" customHeight="1" x14ac:dyDescent="0.2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</row>
    <row r="721" spans="1:39" ht="15.75" customHeight="1" x14ac:dyDescent="0.2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</row>
    <row r="722" spans="1:39" ht="15.75" customHeight="1" x14ac:dyDescent="0.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</row>
    <row r="723" spans="1:39" ht="15.75" customHeight="1" x14ac:dyDescent="0.2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</row>
    <row r="724" spans="1:39" ht="15.75" customHeight="1" x14ac:dyDescent="0.2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</row>
    <row r="725" spans="1:39" ht="15.75" customHeight="1" x14ac:dyDescent="0.2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</row>
    <row r="726" spans="1:39" ht="15.75" customHeight="1" x14ac:dyDescent="0.2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</row>
    <row r="727" spans="1:39" ht="15.75" customHeight="1" x14ac:dyDescent="0.2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</row>
    <row r="728" spans="1:39" ht="15.75" customHeight="1" x14ac:dyDescent="0.2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</row>
    <row r="729" spans="1:39" ht="15.75" customHeight="1" x14ac:dyDescent="0.2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</row>
    <row r="730" spans="1:39" ht="15.75" customHeight="1" x14ac:dyDescent="0.2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</row>
    <row r="731" spans="1:39" ht="15.75" customHeight="1" x14ac:dyDescent="0.2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</row>
    <row r="732" spans="1:39" ht="15.75" customHeight="1" x14ac:dyDescent="0.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</row>
    <row r="733" spans="1:39" ht="15.75" customHeight="1" x14ac:dyDescent="0.2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</row>
    <row r="734" spans="1:39" ht="15.75" customHeight="1" x14ac:dyDescent="0.2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</row>
    <row r="735" spans="1:39" ht="15.75" customHeight="1" x14ac:dyDescent="0.2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</row>
    <row r="736" spans="1:39" ht="15.75" customHeight="1" x14ac:dyDescent="0.2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</row>
    <row r="737" spans="1:39" ht="15.75" customHeight="1" x14ac:dyDescent="0.2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</row>
    <row r="738" spans="1:39" ht="15.75" customHeight="1" x14ac:dyDescent="0.2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</row>
    <row r="739" spans="1:39" ht="15.75" customHeight="1" x14ac:dyDescent="0.2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</row>
    <row r="740" spans="1:39" ht="15.75" customHeight="1" x14ac:dyDescent="0.2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</row>
    <row r="741" spans="1:39" ht="15.75" customHeight="1" x14ac:dyDescent="0.2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</row>
    <row r="742" spans="1:39" ht="15.75" customHeight="1" x14ac:dyDescent="0.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</row>
    <row r="743" spans="1:39" ht="15.75" customHeight="1" x14ac:dyDescent="0.2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</row>
    <row r="744" spans="1:39" ht="15.75" customHeight="1" x14ac:dyDescent="0.2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</row>
    <row r="745" spans="1:39" ht="15.75" customHeight="1" x14ac:dyDescent="0.2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</row>
    <row r="746" spans="1:39" ht="15.75" customHeight="1" x14ac:dyDescent="0.2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</row>
    <row r="747" spans="1:39" ht="15.75" customHeight="1" x14ac:dyDescent="0.2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</row>
    <row r="748" spans="1:39" ht="15.75" customHeight="1" x14ac:dyDescent="0.2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</row>
    <row r="749" spans="1:39" ht="15.75" customHeight="1" x14ac:dyDescent="0.2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</row>
    <row r="750" spans="1:39" ht="15.75" customHeight="1" x14ac:dyDescent="0.2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</row>
    <row r="751" spans="1:39" ht="15.75" customHeight="1" x14ac:dyDescent="0.2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</row>
    <row r="752" spans="1:39" ht="15.75" customHeight="1" x14ac:dyDescent="0.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</row>
    <row r="753" spans="1:39" ht="15.75" customHeight="1" x14ac:dyDescent="0.2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</row>
    <row r="754" spans="1:39" ht="15.75" customHeight="1" x14ac:dyDescent="0.2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</row>
    <row r="755" spans="1:39" ht="15.75" customHeight="1" x14ac:dyDescent="0.2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</row>
    <row r="756" spans="1:39" ht="15.75" customHeight="1" x14ac:dyDescent="0.2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</row>
    <row r="757" spans="1:39" ht="15.75" customHeight="1" x14ac:dyDescent="0.2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</row>
    <row r="758" spans="1:39" ht="15.75" customHeight="1" x14ac:dyDescent="0.2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</row>
    <row r="759" spans="1:39" ht="15.75" customHeight="1" x14ac:dyDescent="0.2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</row>
    <row r="760" spans="1:39" ht="15.75" customHeight="1" x14ac:dyDescent="0.2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</row>
    <row r="761" spans="1:39" ht="15.75" customHeight="1" x14ac:dyDescent="0.2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</row>
    <row r="762" spans="1:39" ht="15.75" customHeight="1" x14ac:dyDescent="0.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</row>
    <row r="763" spans="1:39" ht="15.75" customHeight="1" x14ac:dyDescent="0.2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</row>
    <row r="764" spans="1:39" ht="15.75" customHeight="1" x14ac:dyDescent="0.2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</row>
    <row r="765" spans="1:39" ht="15.75" customHeight="1" x14ac:dyDescent="0.2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</row>
    <row r="766" spans="1:39" ht="15.75" customHeight="1" x14ac:dyDescent="0.2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</row>
    <row r="767" spans="1:39" ht="15.75" customHeight="1" x14ac:dyDescent="0.2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</row>
    <row r="768" spans="1:39" ht="15.75" customHeight="1" x14ac:dyDescent="0.2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</row>
    <row r="769" spans="1:39" ht="15.75" customHeight="1" x14ac:dyDescent="0.2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</row>
    <row r="770" spans="1:39" ht="15.75" customHeight="1" x14ac:dyDescent="0.2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</row>
    <row r="771" spans="1:39" ht="15.75" customHeight="1" x14ac:dyDescent="0.2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</row>
    <row r="772" spans="1:39" ht="15.75" customHeight="1" x14ac:dyDescent="0.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</row>
    <row r="773" spans="1:39" ht="15.75" customHeight="1" x14ac:dyDescent="0.2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</row>
    <row r="774" spans="1:39" ht="15.75" customHeight="1" x14ac:dyDescent="0.2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</row>
    <row r="775" spans="1:39" ht="15.75" customHeight="1" x14ac:dyDescent="0.2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</row>
    <row r="776" spans="1:39" ht="15.75" customHeight="1" x14ac:dyDescent="0.2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</row>
    <row r="777" spans="1:39" ht="15.75" customHeight="1" x14ac:dyDescent="0.2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</row>
    <row r="778" spans="1:39" ht="15.75" customHeight="1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</row>
    <row r="779" spans="1:39" ht="15.75" customHeight="1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</row>
    <row r="780" spans="1:39" ht="15.75" customHeight="1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</row>
    <row r="781" spans="1:39" ht="15.75" customHeight="1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</row>
    <row r="782" spans="1:39" ht="15.75" customHeight="1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</row>
    <row r="783" spans="1:39" ht="15.75" customHeight="1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</row>
    <row r="784" spans="1:39" ht="15.75" customHeight="1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</row>
    <row r="785" spans="1:39" ht="15.75" customHeight="1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</row>
    <row r="786" spans="1:39" ht="15.75" customHeight="1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</row>
    <row r="787" spans="1:39" ht="15.75" customHeight="1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</row>
    <row r="788" spans="1:39" ht="15.75" customHeight="1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</row>
    <row r="789" spans="1:39" ht="15.75" customHeight="1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</row>
    <row r="790" spans="1:39" ht="15.75" customHeight="1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</row>
    <row r="791" spans="1:39" ht="15.75" customHeight="1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</row>
    <row r="792" spans="1:39" ht="15.75" customHeight="1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</row>
    <row r="793" spans="1:39" ht="15.75" customHeight="1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</row>
    <row r="794" spans="1:39" ht="15.75" customHeight="1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</row>
    <row r="795" spans="1:39" ht="15.75" customHeight="1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</row>
    <row r="796" spans="1:39" ht="15.75" customHeight="1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</row>
    <row r="797" spans="1:39" ht="15.75" customHeight="1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</row>
    <row r="798" spans="1:39" ht="15.75" customHeight="1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</row>
    <row r="799" spans="1:39" ht="15.75" customHeight="1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</row>
    <row r="800" spans="1:39" ht="15.75" customHeight="1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</row>
    <row r="801" spans="1:39" ht="15.75" customHeight="1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</row>
    <row r="802" spans="1:39" ht="15.75" customHeight="1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</row>
    <row r="803" spans="1:39" ht="15.75" customHeight="1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</row>
    <row r="804" spans="1:39" ht="15.75" customHeight="1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</row>
    <row r="805" spans="1:39" ht="15.75" customHeight="1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</row>
    <row r="806" spans="1:39" ht="15.75" customHeight="1" x14ac:dyDescent="0.2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</row>
    <row r="807" spans="1:39" ht="15.75" customHeight="1" x14ac:dyDescent="0.2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</row>
    <row r="808" spans="1:39" ht="15.75" customHeight="1" x14ac:dyDescent="0.2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</row>
    <row r="809" spans="1:39" ht="15.75" customHeight="1" x14ac:dyDescent="0.2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</row>
    <row r="810" spans="1:39" ht="15.75" customHeight="1" x14ac:dyDescent="0.2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</row>
    <row r="811" spans="1:39" ht="15.75" customHeight="1" x14ac:dyDescent="0.2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</row>
    <row r="812" spans="1:39" ht="15.75" customHeight="1" x14ac:dyDescent="0.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</row>
    <row r="813" spans="1:39" ht="15.75" customHeight="1" x14ac:dyDescent="0.2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</row>
    <row r="814" spans="1:39" ht="15.75" customHeight="1" x14ac:dyDescent="0.2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</row>
    <row r="815" spans="1:39" ht="15.75" customHeight="1" x14ac:dyDescent="0.2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</row>
    <row r="816" spans="1:39" ht="15.75" customHeight="1" x14ac:dyDescent="0.2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</row>
    <row r="817" spans="1:39" ht="15.75" customHeight="1" x14ac:dyDescent="0.2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</row>
    <row r="818" spans="1:39" ht="15.75" customHeight="1" x14ac:dyDescent="0.2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</row>
    <row r="819" spans="1:39" ht="15.75" customHeight="1" x14ac:dyDescent="0.2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</row>
    <row r="820" spans="1:39" ht="15.75" customHeight="1" x14ac:dyDescent="0.2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</row>
    <row r="821" spans="1:39" ht="15.75" customHeight="1" x14ac:dyDescent="0.2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</row>
    <row r="822" spans="1:39" ht="15.75" customHeight="1" x14ac:dyDescent="0.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</row>
    <row r="823" spans="1:39" ht="15.75" customHeight="1" x14ac:dyDescent="0.2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</row>
    <row r="824" spans="1:39" ht="15.75" customHeight="1" x14ac:dyDescent="0.2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</row>
    <row r="825" spans="1:39" ht="15.75" customHeight="1" x14ac:dyDescent="0.2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</row>
    <row r="826" spans="1:39" ht="15.75" customHeight="1" x14ac:dyDescent="0.2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</row>
    <row r="827" spans="1:39" ht="15.75" customHeight="1" x14ac:dyDescent="0.2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</row>
    <row r="828" spans="1:39" ht="15.75" customHeight="1" x14ac:dyDescent="0.2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</row>
    <row r="829" spans="1:39" ht="15.75" customHeight="1" x14ac:dyDescent="0.2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</row>
    <row r="830" spans="1:39" ht="15.75" customHeight="1" x14ac:dyDescent="0.2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</row>
    <row r="831" spans="1:39" ht="15.75" customHeight="1" x14ac:dyDescent="0.2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</row>
    <row r="832" spans="1:39" ht="15.75" customHeight="1" x14ac:dyDescent="0.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</row>
    <row r="833" spans="1:39" ht="15.75" customHeight="1" x14ac:dyDescent="0.2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</row>
    <row r="834" spans="1:39" ht="15.75" customHeight="1" x14ac:dyDescent="0.2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</row>
    <row r="835" spans="1:39" ht="15.75" customHeight="1" x14ac:dyDescent="0.2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</row>
    <row r="836" spans="1:39" ht="15.75" customHeight="1" x14ac:dyDescent="0.2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</row>
    <row r="837" spans="1:39" ht="15.75" customHeight="1" x14ac:dyDescent="0.2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</row>
    <row r="838" spans="1:39" ht="15.75" customHeight="1" x14ac:dyDescent="0.2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</row>
    <row r="839" spans="1:39" ht="15.75" customHeight="1" x14ac:dyDescent="0.2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</row>
    <row r="840" spans="1:39" ht="15.75" customHeight="1" x14ac:dyDescent="0.2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</row>
    <row r="841" spans="1:39" ht="15.75" customHeight="1" x14ac:dyDescent="0.2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</row>
    <row r="842" spans="1:39" ht="15.75" customHeight="1" x14ac:dyDescent="0.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</row>
    <row r="843" spans="1:39" ht="15.75" customHeight="1" x14ac:dyDescent="0.2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</row>
    <row r="844" spans="1:39" ht="15.75" customHeight="1" x14ac:dyDescent="0.2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</row>
    <row r="845" spans="1:39" ht="15.75" customHeight="1" x14ac:dyDescent="0.2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</row>
    <row r="846" spans="1:39" ht="15.75" customHeight="1" x14ac:dyDescent="0.2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</row>
    <row r="847" spans="1:39" ht="15.75" customHeight="1" x14ac:dyDescent="0.2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</row>
    <row r="848" spans="1:39" ht="15.75" customHeight="1" x14ac:dyDescent="0.2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</row>
    <row r="849" spans="1:39" ht="15.75" customHeight="1" x14ac:dyDescent="0.2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</row>
    <row r="850" spans="1:39" ht="15.75" customHeight="1" x14ac:dyDescent="0.2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</row>
    <row r="851" spans="1:39" ht="15.75" customHeight="1" x14ac:dyDescent="0.2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</row>
    <row r="852" spans="1:39" ht="15.75" customHeight="1" x14ac:dyDescent="0.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</row>
    <row r="853" spans="1:39" ht="15.75" customHeight="1" x14ac:dyDescent="0.2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</row>
    <row r="854" spans="1:39" ht="15.75" customHeight="1" x14ac:dyDescent="0.2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</row>
    <row r="855" spans="1:39" ht="15.75" customHeight="1" x14ac:dyDescent="0.2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</row>
    <row r="856" spans="1:39" ht="15.75" customHeight="1" x14ac:dyDescent="0.2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</row>
    <row r="857" spans="1:39" ht="15.75" customHeight="1" x14ac:dyDescent="0.2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</row>
    <row r="858" spans="1:39" ht="15.75" customHeight="1" x14ac:dyDescent="0.2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</row>
    <row r="859" spans="1:39" ht="15.75" customHeight="1" x14ac:dyDescent="0.2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</row>
    <row r="860" spans="1:39" ht="15.75" customHeight="1" x14ac:dyDescent="0.2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</row>
    <row r="861" spans="1:39" ht="15.75" customHeight="1" x14ac:dyDescent="0.2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</row>
    <row r="862" spans="1:39" ht="15.75" customHeight="1" x14ac:dyDescent="0.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</row>
    <row r="863" spans="1:39" ht="15.75" customHeight="1" x14ac:dyDescent="0.2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</row>
    <row r="864" spans="1:39" ht="15.75" customHeight="1" x14ac:dyDescent="0.2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</row>
    <row r="865" spans="1:39" ht="15.75" customHeight="1" x14ac:dyDescent="0.2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</row>
    <row r="866" spans="1:39" ht="15.75" customHeight="1" x14ac:dyDescent="0.2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</row>
    <row r="867" spans="1:39" ht="15.75" customHeight="1" x14ac:dyDescent="0.2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</row>
    <row r="868" spans="1:39" ht="15.75" customHeight="1" x14ac:dyDescent="0.2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</row>
    <row r="869" spans="1:39" ht="15.75" customHeight="1" x14ac:dyDescent="0.2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</row>
    <row r="870" spans="1:39" ht="15.75" customHeight="1" x14ac:dyDescent="0.2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</row>
    <row r="871" spans="1:39" ht="15.75" customHeight="1" x14ac:dyDescent="0.2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</row>
    <row r="872" spans="1:39" ht="15.75" customHeight="1" x14ac:dyDescent="0.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</row>
    <row r="873" spans="1:39" ht="15.75" customHeight="1" x14ac:dyDescent="0.2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</row>
    <row r="874" spans="1:39" ht="15.75" customHeight="1" x14ac:dyDescent="0.2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</row>
    <row r="875" spans="1:39" ht="15.75" customHeight="1" x14ac:dyDescent="0.2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</row>
    <row r="876" spans="1:39" ht="15.75" customHeight="1" x14ac:dyDescent="0.2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</row>
    <row r="877" spans="1:39" ht="15.75" customHeight="1" x14ac:dyDescent="0.2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</row>
    <row r="878" spans="1:39" ht="15.75" customHeight="1" x14ac:dyDescent="0.2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</row>
    <row r="879" spans="1:39" ht="15.75" customHeight="1" x14ac:dyDescent="0.2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</row>
    <row r="880" spans="1:39" ht="15.75" customHeight="1" x14ac:dyDescent="0.2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</row>
    <row r="881" spans="1:39" ht="15.75" customHeight="1" x14ac:dyDescent="0.2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</row>
    <row r="882" spans="1:39" ht="15.75" customHeight="1" x14ac:dyDescent="0.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</row>
    <row r="883" spans="1:39" ht="15.75" customHeight="1" x14ac:dyDescent="0.2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</row>
    <row r="884" spans="1:39" ht="15.75" customHeight="1" x14ac:dyDescent="0.2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</row>
    <row r="885" spans="1:39" ht="15.75" customHeight="1" x14ac:dyDescent="0.2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</row>
    <row r="886" spans="1:39" ht="15.75" customHeight="1" x14ac:dyDescent="0.2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</row>
    <row r="887" spans="1:39" ht="15.75" customHeight="1" x14ac:dyDescent="0.2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</row>
    <row r="888" spans="1:39" ht="15.75" customHeight="1" x14ac:dyDescent="0.2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</row>
    <row r="889" spans="1:39" ht="15.75" customHeight="1" x14ac:dyDescent="0.2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</row>
    <row r="890" spans="1:39" ht="15.75" customHeight="1" x14ac:dyDescent="0.2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</row>
    <row r="891" spans="1:39" ht="15.75" customHeight="1" x14ac:dyDescent="0.2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</row>
    <row r="892" spans="1:39" ht="15.75" customHeight="1" x14ac:dyDescent="0.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</row>
    <row r="893" spans="1:39" ht="15.75" customHeight="1" x14ac:dyDescent="0.2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</row>
    <row r="894" spans="1:39" ht="15.75" customHeight="1" x14ac:dyDescent="0.2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</row>
    <row r="895" spans="1:39" ht="15.75" customHeight="1" x14ac:dyDescent="0.2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</row>
    <row r="896" spans="1:39" ht="15.75" customHeight="1" x14ac:dyDescent="0.2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</row>
    <row r="897" spans="1:39" ht="15.75" customHeight="1" x14ac:dyDescent="0.2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</row>
    <row r="898" spans="1:39" ht="15.75" customHeight="1" x14ac:dyDescent="0.2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</row>
    <row r="899" spans="1:39" ht="15.75" customHeight="1" x14ac:dyDescent="0.2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</row>
    <row r="900" spans="1:39" ht="15.75" customHeight="1" x14ac:dyDescent="0.2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</row>
    <row r="901" spans="1:39" ht="15.75" customHeight="1" x14ac:dyDescent="0.2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</row>
    <row r="902" spans="1:39" ht="15.75" customHeight="1" x14ac:dyDescent="0.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</row>
    <row r="903" spans="1:39" ht="15.75" customHeight="1" x14ac:dyDescent="0.2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</row>
    <row r="904" spans="1:39" ht="15.75" customHeight="1" x14ac:dyDescent="0.2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</row>
    <row r="905" spans="1:39" ht="15.75" customHeight="1" x14ac:dyDescent="0.2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</row>
    <row r="906" spans="1:39" ht="15.75" customHeight="1" x14ac:dyDescent="0.2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</row>
    <row r="907" spans="1:39" ht="15.75" customHeight="1" x14ac:dyDescent="0.2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</row>
    <row r="908" spans="1:39" ht="15.75" customHeight="1" x14ac:dyDescent="0.2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</row>
    <row r="909" spans="1:39" ht="15.75" customHeight="1" x14ac:dyDescent="0.2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</row>
    <row r="910" spans="1:39" ht="15.75" customHeight="1" x14ac:dyDescent="0.2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</row>
    <row r="911" spans="1:39" ht="15.75" customHeight="1" x14ac:dyDescent="0.2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</row>
    <row r="912" spans="1:39" ht="15.75" customHeight="1" x14ac:dyDescent="0.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</row>
    <row r="913" spans="1:39" ht="15.75" customHeight="1" x14ac:dyDescent="0.2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</row>
    <row r="914" spans="1:39" ht="15.75" customHeight="1" x14ac:dyDescent="0.2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</row>
    <row r="915" spans="1:39" ht="15.75" customHeight="1" x14ac:dyDescent="0.2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</row>
    <row r="916" spans="1:39" ht="15.75" customHeight="1" x14ac:dyDescent="0.2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</row>
    <row r="917" spans="1:39" ht="15.75" customHeight="1" x14ac:dyDescent="0.2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</row>
    <row r="918" spans="1:39" ht="15.75" customHeight="1" x14ac:dyDescent="0.2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</row>
    <row r="919" spans="1:39" ht="15.75" customHeight="1" x14ac:dyDescent="0.2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</row>
    <row r="920" spans="1:39" ht="15.75" customHeight="1" x14ac:dyDescent="0.2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</row>
    <row r="921" spans="1:39" ht="15.75" customHeight="1" x14ac:dyDescent="0.2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</row>
    <row r="922" spans="1:39" ht="15.75" customHeight="1" x14ac:dyDescent="0.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</row>
    <row r="923" spans="1:39" ht="15.75" customHeight="1" x14ac:dyDescent="0.2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</row>
    <row r="924" spans="1:39" ht="15.75" customHeight="1" x14ac:dyDescent="0.2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</row>
    <row r="925" spans="1:39" ht="15.75" customHeight="1" x14ac:dyDescent="0.2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</row>
    <row r="926" spans="1:39" ht="15.75" customHeight="1" x14ac:dyDescent="0.2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</row>
    <row r="927" spans="1:39" ht="15.75" customHeight="1" x14ac:dyDescent="0.2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</row>
    <row r="928" spans="1:39" ht="15.75" customHeight="1" x14ac:dyDescent="0.2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</row>
    <row r="929" spans="1:39" ht="15.75" customHeight="1" x14ac:dyDescent="0.2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</row>
    <row r="930" spans="1:39" ht="15.75" customHeight="1" x14ac:dyDescent="0.2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</row>
    <row r="931" spans="1:39" ht="15.75" customHeight="1" x14ac:dyDescent="0.2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</row>
    <row r="932" spans="1:39" ht="15.75" customHeight="1" x14ac:dyDescent="0.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</row>
    <row r="933" spans="1:39" ht="15.75" customHeight="1" x14ac:dyDescent="0.2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</row>
    <row r="934" spans="1:39" ht="15.75" customHeight="1" x14ac:dyDescent="0.2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</row>
    <row r="935" spans="1:39" ht="15.75" customHeight="1" x14ac:dyDescent="0.2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</row>
    <row r="936" spans="1:39" ht="15.75" customHeight="1" x14ac:dyDescent="0.2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</row>
    <row r="937" spans="1:39" ht="15.75" customHeight="1" x14ac:dyDescent="0.2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</row>
    <row r="938" spans="1:39" ht="15.75" customHeight="1" x14ac:dyDescent="0.2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</row>
    <row r="939" spans="1:39" ht="15.75" customHeight="1" x14ac:dyDescent="0.2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</row>
    <row r="940" spans="1:39" ht="15.75" customHeight="1" x14ac:dyDescent="0.2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</row>
    <row r="941" spans="1:39" ht="15.75" customHeight="1" x14ac:dyDescent="0.2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</row>
    <row r="942" spans="1:39" ht="15.75" customHeight="1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</row>
    <row r="943" spans="1:39" ht="15.75" customHeight="1" x14ac:dyDescent="0.2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</row>
    <row r="944" spans="1:39" ht="15.75" customHeight="1" x14ac:dyDescent="0.2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</row>
    <row r="945" spans="1:39" ht="15.75" customHeight="1" x14ac:dyDescent="0.2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</row>
    <row r="946" spans="1:39" ht="15.75" customHeight="1" x14ac:dyDescent="0.2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</row>
    <row r="947" spans="1:39" ht="15.75" customHeight="1" x14ac:dyDescent="0.2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</row>
    <row r="948" spans="1:39" ht="15.75" customHeight="1" x14ac:dyDescent="0.2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</row>
    <row r="949" spans="1:39" ht="15.75" customHeight="1" x14ac:dyDescent="0.2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</row>
    <row r="950" spans="1:39" ht="15.75" customHeight="1" x14ac:dyDescent="0.2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</row>
    <row r="951" spans="1:39" ht="15.75" customHeight="1" x14ac:dyDescent="0.2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</row>
    <row r="952" spans="1:39" ht="15.75" customHeight="1" x14ac:dyDescent="0.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</row>
    <row r="953" spans="1:39" ht="15.75" customHeight="1" x14ac:dyDescent="0.2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</row>
    <row r="954" spans="1:39" ht="15.75" customHeight="1" x14ac:dyDescent="0.2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</row>
    <row r="955" spans="1:39" ht="15.75" customHeight="1" x14ac:dyDescent="0.2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</row>
    <row r="956" spans="1:39" ht="15.75" customHeight="1" x14ac:dyDescent="0.2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</row>
    <row r="957" spans="1:39" ht="15.75" customHeight="1" x14ac:dyDescent="0.2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</row>
    <row r="958" spans="1:39" ht="15.75" customHeight="1" x14ac:dyDescent="0.2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</row>
    <row r="959" spans="1:39" ht="15.75" customHeight="1" x14ac:dyDescent="0.2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</row>
    <row r="960" spans="1:39" ht="15.75" customHeight="1" x14ac:dyDescent="0.2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</row>
    <row r="961" spans="1:39" ht="15.75" customHeight="1" x14ac:dyDescent="0.2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</row>
    <row r="962" spans="1:39" ht="15.75" customHeight="1" x14ac:dyDescent="0.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</row>
    <row r="963" spans="1:39" ht="15.75" customHeight="1" x14ac:dyDescent="0.2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</row>
    <row r="964" spans="1:39" ht="15.75" customHeight="1" x14ac:dyDescent="0.2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</row>
    <row r="965" spans="1:39" ht="15.75" customHeight="1" x14ac:dyDescent="0.2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</row>
    <row r="966" spans="1:39" ht="15.75" customHeight="1" x14ac:dyDescent="0.2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</row>
    <row r="967" spans="1:39" ht="15.75" customHeight="1" x14ac:dyDescent="0.2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</row>
    <row r="968" spans="1:39" ht="15.75" customHeight="1" x14ac:dyDescent="0.2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</row>
    <row r="969" spans="1:39" ht="15.75" customHeight="1" x14ac:dyDescent="0.2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</row>
    <row r="970" spans="1:39" ht="15.75" customHeight="1" x14ac:dyDescent="0.2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</row>
    <row r="971" spans="1:39" ht="15.75" customHeight="1" x14ac:dyDescent="0.2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</row>
    <row r="972" spans="1:39" ht="15.75" customHeight="1" x14ac:dyDescent="0.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</row>
    <row r="973" spans="1:39" ht="15.75" customHeight="1" x14ac:dyDescent="0.2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</row>
    <row r="974" spans="1:39" ht="15.75" customHeight="1" x14ac:dyDescent="0.2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</row>
    <row r="975" spans="1:39" ht="15.75" customHeight="1" x14ac:dyDescent="0.2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</row>
    <row r="976" spans="1:39" ht="15.75" customHeight="1" x14ac:dyDescent="0.2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</row>
    <row r="977" spans="1:39" ht="15.75" customHeight="1" x14ac:dyDescent="0.2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</row>
    <row r="978" spans="1:39" ht="15.75" customHeight="1" x14ac:dyDescent="0.2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</row>
    <row r="979" spans="1:39" ht="15.75" customHeight="1" x14ac:dyDescent="0.2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</row>
    <row r="980" spans="1:39" ht="15.75" customHeight="1" x14ac:dyDescent="0.2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</row>
    <row r="981" spans="1:39" ht="15.75" customHeight="1" x14ac:dyDescent="0.2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</row>
    <row r="982" spans="1:39" ht="15.75" customHeight="1" x14ac:dyDescent="0.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</row>
    <row r="983" spans="1:39" ht="15.75" customHeight="1" x14ac:dyDescent="0.2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</row>
    <row r="984" spans="1:39" ht="15.75" customHeight="1" x14ac:dyDescent="0.2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</row>
    <row r="985" spans="1:39" ht="15.75" customHeight="1" x14ac:dyDescent="0.2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</row>
    <row r="986" spans="1:39" ht="15.75" customHeight="1" x14ac:dyDescent="0.2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</row>
    <row r="987" spans="1:39" ht="15.75" customHeight="1" x14ac:dyDescent="0.2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</row>
    <row r="988" spans="1:39" ht="15.75" customHeight="1" x14ac:dyDescent="0.2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</row>
    <row r="989" spans="1:39" ht="15.75" customHeight="1" x14ac:dyDescent="0.2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</row>
    <row r="990" spans="1:39" ht="15.75" customHeight="1" x14ac:dyDescent="0.2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</row>
    <row r="991" spans="1:39" ht="15" customHeight="1" x14ac:dyDescent="0.2"/>
    <row r="992" spans="1:39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</sheetData>
  <sortState xmlns:xlrd2="http://schemas.microsoft.com/office/spreadsheetml/2017/richdata2" ref="A1:AJ209">
    <sortCondition ref="B3:B18"/>
  </sortState>
  <mergeCells count="10">
    <mergeCell ref="AG1:AI1"/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conditionalFormatting sqref="F3:F12">
    <cfRule type="cellIs" dxfId="203" priority="47" operator="lessThan">
      <formula>7.9</formula>
    </cfRule>
  </conditionalFormatting>
  <conditionalFormatting sqref="F3:F19">
    <cfRule type="cellIs" dxfId="202" priority="48" operator="lessThan">
      <formula>7.4</formula>
    </cfRule>
  </conditionalFormatting>
  <conditionalFormatting sqref="F9">
    <cfRule type="cellIs" dxfId="201" priority="45" operator="lessThan">
      <formula>7.9</formula>
    </cfRule>
    <cfRule type="cellIs" dxfId="200" priority="46" operator="lessThan">
      <formula>6.9</formula>
    </cfRule>
  </conditionalFormatting>
  <conditionalFormatting sqref="F13">
    <cfRule type="cellIs" dxfId="199" priority="42" operator="lessThan">
      <formula>7.9</formula>
    </cfRule>
    <cfRule type="cellIs" dxfId="198" priority="43" operator="lessThan">
      <formula>6.9</formula>
    </cfRule>
  </conditionalFormatting>
  <conditionalFormatting sqref="F13:F14">
    <cfRule type="cellIs" dxfId="197" priority="44" operator="lessThan">
      <formula>7.9</formula>
    </cfRule>
  </conditionalFormatting>
  <conditionalFormatting sqref="F15:F17">
    <cfRule type="cellIs" dxfId="196" priority="40" operator="lessThan">
      <formula>6.9</formula>
    </cfRule>
    <cfRule type="cellIs" dxfId="195" priority="41" operator="lessThan">
      <formula>7.9</formula>
    </cfRule>
  </conditionalFormatting>
  <conditionalFormatting sqref="F15:F19">
    <cfRule type="cellIs" dxfId="194" priority="39" operator="lessThan">
      <formula>7.9</formula>
    </cfRule>
  </conditionalFormatting>
  <conditionalFormatting sqref="F18">
    <cfRule type="cellIs" dxfId="193" priority="37" operator="lessThan">
      <formula>7.9</formula>
    </cfRule>
    <cfRule type="cellIs" dxfId="192" priority="38" operator="lessThan">
      <formula>6.9</formula>
    </cfRule>
  </conditionalFormatting>
  <conditionalFormatting sqref="F3:AI19">
    <cfRule type="cellIs" dxfId="191" priority="1" operator="lessThan">
      <formula>7.9</formula>
    </cfRule>
  </conditionalFormatting>
  <conditionalFormatting sqref="H3:H19">
    <cfRule type="cellIs" dxfId="190" priority="32" operator="lessThan">
      <formula>7.9</formula>
    </cfRule>
    <cfRule type="cellIs" dxfId="189" priority="33" operator="lessThan">
      <formula>6.9</formula>
    </cfRule>
  </conditionalFormatting>
  <conditionalFormatting sqref="H3:J19">
    <cfRule type="cellIs" dxfId="188" priority="34" operator="lessThan">
      <formula>7.9</formula>
    </cfRule>
  </conditionalFormatting>
  <conditionalFormatting sqref="H3:T19">
    <cfRule type="cellIs" dxfId="187" priority="19" operator="lessThan">
      <formula>7.4</formula>
    </cfRule>
  </conditionalFormatting>
  <conditionalFormatting sqref="K3:K19">
    <cfRule type="cellIs" dxfId="186" priority="29" operator="lessThan">
      <formula>7.9</formula>
    </cfRule>
    <cfRule type="cellIs" dxfId="185" priority="30" operator="lessThan">
      <formula>6.9</formula>
    </cfRule>
  </conditionalFormatting>
  <conditionalFormatting sqref="K3:M19">
    <cfRule type="cellIs" dxfId="184" priority="31" operator="lessThan">
      <formula>7.9</formula>
    </cfRule>
  </conditionalFormatting>
  <conditionalFormatting sqref="N3:N19">
    <cfRule type="cellIs" dxfId="183" priority="26" operator="lessThan">
      <formula>7.9</formula>
    </cfRule>
    <cfRule type="cellIs" dxfId="182" priority="27" operator="lessThan">
      <formula>6.9</formula>
    </cfRule>
  </conditionalFormatting>
  <conditionalFormatting sqref="N3:P19">
    <cfRule type="cellIs" dxfId="181" priority="28" operator="lessThan">
      <formula>7.9</formula>
    </cfRule>
  </conditionalFormatting>
  <conditionalFormatting sqref="P3:P18 O19:P19">
    <cfRule type="cellIs" dxfId="180" priority="49" operator="lessThan">
      <formula>7.9</formula>
    </cfRule>
  </conditionalFormatting>
  <conditionalFormatting sqref="Q3:Q19">
    <cfRule type="cellIs" dxfId="179" priority="23" operator="lessThan">
      <formula>7.9</formula>
    </cfRule>
    <cfRule type="cellIs" dxfId="178" priority="24" operator="lessThan">
      <formula>6.9</formula>
    </cfRule>
  </conditionalFormatting>
  <conditionalFormatting sqref="Q3:S19">
    <cfRule type="cellIs" dxfId="177" priority="25" operator="lessThan">
      <formula>7.9</formula>
    </cfRule>
  </conditionalFormatting>
  <conditionalFormatting sqref="T3:T19">
    <cfRule type="cellIs" dxfId="176" priority="20" operator="lessThan">
      <formula>7.9</formula>
    </cfRule>
  </conditionalFormatting>
  <conditionalFormatting sqref="T3:U19">
    <cfRule type="cellIs" dxfId="175" priority="21" operator="lessThan">
      <formula>6.9</formula>
    </cfRule>
    <cfRule type="cellIs" dxfId="174" priority="22" operator="lessThan">
      <formula>7.9</formula>
    </cfRule>
  </conditionalFormatting>
  <conditionalFormatting sqref="U3:U19">
    <cfRule type="cellIs" dxfId="173" priority="36" operator="lessThan">
      <formula>7.4</formula>
    </cfRule>
  </conditionalFormatting>
  <conditionalFormatting sqref="V3:W19">
    <cfRule type="cellIs" dxfId="172" priority="15" operator="lessThan">
      <formula>7.4</formula>
    </cfRule>
  </conditionalFormatting>
  <conditionalFormatting sqref="V3:X19">
    <cfRule type="cellIs" dxfId="171" priority="18" operator="lessThan">
      <formula>7.9</formula>
    </cfRule>
  </conditionalFormatting>
  <conditionalFormatting sqref="W3:W19">
    <cfRule type="cellIs" dxfId="170" priority="16" operator="lessThan">
      <formula>7.9</formula>
    </cfRule>
  </conditionalFormatting>
  <conditionalFormatting sqref="W3:X19">
    <cfRule type="cellIs" dxfId="169" priority="17" operator="lessThan">
      <formula>6.9</formula>
    </cfRule>
  </conditionalFormatting>
  <conditionalFormatting sqref="X3:X19">
    <cfRule type="cellIs" dxfId="168" priority="35" operator="lessThan">
      <formula>7.4</formula>
    </cfRule>
  </conditionalFormatting>
  <conditionalFormatting sqref="Y3:AB19">
    <cfRule type="cellIs" dxfId="167" priority="14" operator="lessThan">
      <formula>7.9</formula>
    </cfRule>
  </conditionalFormatting>
  <conditionalFormatting sqref="Y3:AI19">
    <cfRule type="cellIs" dxfId="166" priority="2" operator="lessThan">
      <formula>7.4</formula>
    </cfRule>
  </conditionalFormatting>
  <conditionalFormatting sqref="Z3:Z19">
    <cfRule type="cellIs" dxfId="165" priority="12" operator="lessThan">
      <formula>7.9</formula>
    </cfRule>
    <cfRule type="cellIs" dxfId="164" priority="13" operator="lessThan">
      <formula>6.9</formula>
    </cfRule>
  </conditionalFormatting>
  <conditionalFormatting sqref="AC3:AC19">
    <cfRule type="cellIs" dxfId="163" priority="9" operator="lessThan">
      <formula>7.9</formula>
    </cfRule>
    <cfRule type="cellIs" dxfId="162" priority="10" operator="lessThan">
      <formula>6.9</formula>
    </cfRule>
  </conditionalFormatting>
  <conditionalFormatting sqref="AC3:AE19">
    <cfRule type="cellIs" dxfId="161" priority="11" operator="lessThan">
      <formula>7.9</formula>
    </cfRule>
  </conditionalFormatting>
  <conditionalFormatting sqref="AF3:AF19">
    <cfRule type="cellIs" dxfId="160" priority="6" operator="lessThan">
      <formula>7.9</formula>
    </cfRule>
    <cfRule type="cellIs" dxfId="159" priority="7" operator="lessThan">
      <formula>6.9</formula>
    </cfRule>
  </conditionalFormatting>
  <conditionalFormatting sqref="AF3:AH19">
    <cfRule type="cellIs" dxfId="158" priority="8" operator="lessThan">
      <formula>7.9</formula>
    </cfRule>
  </conditionalFormatting>
  <conditionalFormatting sqref="AI3:AI19">
    <cfRule type="cellIs" dxfId="157" priority="3" operator="lessThan">
      <formula>7.9</formula>
    </cfRule>
    <cfRule type="cellIs" dxfId="156" priority="4" operator="lessThan">
      <formula>6.9</formula>
    </cfRule>
    <cfRule type="cellIs" dxfId="155" priority="5" operator="lessThan">
      <formula>7.9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J18"/>
  <sheetViews>
    <sheetView zoomScale="76" workbookViewId="0">
      <selection activeCell="A3" sqref="A3"/>
    </sheetView>
  </sheetViews>
  <sheetFormatPr baseColWidth="10" defaultColWidth="12.5703125" defaultRowHeight="15.75" customHeight="1" x14ac:dyDescent="0.2"/>
  <cols>
    <col min="1" max="1" width="13.7109375" bestFit="1" customWidth="1"/>
    <col min="2" max="2" width="48.7109375" bestFit="1" customWidth="1"/>
    <col min="3" max="3" width="9.7109375" bestFit="1" customWidth="1"/>
    <col min="4" max="4" width="9.140625" bestFit="1" customWidth="1"/>
    <col min="5" max="5" width="9.28515625" bestFit="1" customWidth="1"/>
    <col min="6" max="6" width="4.140625" bestFit="1" customWidth="1"/>
    <col min="7" max="7" width="5.28515625" bestFit="1" customWidth="1"/>
    <col min="8" max="8" width="3.7109375" bestFit="1" customWidth="1"/>
    <col min="9" max="9" width="5.28515625" bestFit="1" customWidth="1"/>
    <col min="10" max="10" width="4.140625" bestFit="1" customWidth="1"/>
    <col min="11" max="11" width="9" customWidth="1"/>
    <col min="12" max="12" width="3.7109375" bestFit="1" customWidth="1"/>
    <col min="13" max="13" width="5.28515625" bestFit="1" customWidth="1"/>
    <col min="14" max="14" width="10.28515625" customWidth="1"/>
    <col min="15" max="15" width="3.7109375" bestFit="1" customWidth="1"/>
    <col min="16" max="16" width="5.28515625" bestFit="1" customWidth="1"/>
    <col min="17" max="17" width="3.7109375" bestFit="1" customWidth="1"/>
    <col min="18" max="18" width="4.140625" bestFit="1" customWidth="1"/>
    <col min="19" max="19" width="5.28515625" bestFit="1" customWidth="1"/>
    <col min="20" max="20" width="10.28515625" customWidth="1"/>
    <col min="21" max="21" width="4.140625" bestFit="1" customWidth="1"/>
    <col min="22" max="22" width="5.28515625" bestFit="1" customWidth="1"/>
    <col min="23" max="24" width="3.7109375" bestFit="1" customWidth="1"/>
    <col min="25" max="25" width="5.28515625" bestFit="1" customWidth="1"/>
    <col min="26" max="27" width="3.7109375" bestFit="1" customWidth="1"/>
    <col min="28" max="28" width="5.28515625" bestFit="1" customWidth="1"/>
    <col min="29" max="29" width="7" customWidth="1"/>
    <col min="30" max="30" width="3.7109375" bestFit="1" customWidth="1"/>
    <col min="31" max="31" width="5.28515625" bestFit="1" customWidth="1"/>
    <col min="32" max="32" width="3.7109375" bestFit="1" customWidth="1"/>
    <col min="33" max="33" width="3.7109375" customWidth="1"/>
    <col min="34" max="35" width="5.28515625" bestFit="1" customWidth="1"/>
    <col min="36" max="36" width="17.28515625" bestFit="1" customWidth="1"/>
  </cols>
  <sheetData>
    <row r="1" spans="1:36" s="79" customFormat="1" ht="60" customHeight="1" x14ac:dyDescent="0.2">
      <c r="A1" s="77"/>
      <c r="B1" s="52"/>
      <c r="C1" s="47"/>
      <c r="D1" s="47"/>
      <c r="E1" s="47"/>
      <c r="F1" s="200" t="s">
        <v>881</v>
      </c>
      <c r="G1" s="201"/>
      <c r="H1" s="202"/>
      <c r="I1" s="200" t="s">
        <v>885</v>
      </c>
      <c r="J1" s="201"/>
      <c r="K1" s="202"/>
      <c r="L1" s="200" t="s">
        <v>870</v>
      </c>
      <c r="M1" s="201"/>
      <c r="N1" s="202"/>
      <c r="O1" s="200" t="s">
        <v>542</v>
      </c>
      <c r="P1" s="201"/>
      <c r="Q1" s="202"/>
      <c r="R1" s="200" t="s">
        <v>543</v>
      </c>
      <c r="S1" s="201"/>
      <c r="T1" s="202"/>
      <c r="U1" s="200" t="s">
        <v>871</v>
      </c>
      <c r="V1" s="201"/>
      <c r="W1" s="202"/>
      <c r="X1" s="200" t="s">
        <v>544</v>
      </c>
      <c r="Y1" s="201"/>
      <c r="Z1" s="202"/>
      <c r="AA1" s="200" t="s">
        <v>0</v>
      </c>
      <c r="AB1" s="201"/>
      <c r="AC1" s="202"/>
      <c r="AD1" s="200" t="s">
        <v>873</v>
      </c>
      <c r="AE1" s="201"/>
      <c r="AF1" s="202"/>
      <c r="AG1" s="200" t="s">
        <v>874</v>
      </c>
      <c r="AH1" s="201"/>
      <c r="AI1" s="202"/>
      <c r="AJ1" s="78" t="s">
        <v>2</v>
      </c>
    </row>
    <row r="2" spans="1:36" x14ac:dyDescent="0.2">
      <c r="A2" s="73" t="s">
        <v>875</v>
      </c>
      <c r="B2" s="74" t="s">
        <v>876</v>
      </c>
      <c r="C2" s="75" t="s">
        <v>877</v>
      </c>
      <c r="D2" s="75" t="s">
        <v>878</v>
      </c>
      <c r="E2" s="75" t="s">
        <v>879</v>
      </c>
      <c r="F2" s="75" t="s">
        <v>774</v>
      </c>
      <c r="G2" s="75" t="s">
        <v>775</v>
      </c>
      <c r="H2" s="68" t="s">
        <v>11</v>
      </c>
      <c r="I2" s="75" t="s">
        <v>774</v>
      </c>
      <c r="J2" s="75" t="s">
        <v>775</v>
      </c>
      <c r="K2" s="68" t="s">
        <v>11</v>
      </c>
      <c r="L2" s="75" t="s">
        <v>774</v>
      </c>
      <c r="M2" s="75" t="s">
        <v>775</v>
      </c>
      <c r="N2" s="68" t="s">
        <v>11</v>
      </c>
      <c r="O2" s="75" t="s">
        <v>774</v>
      </c>
      <c r="P2" s="75" t="s">
        <v>775</v>
      </c>
      <c r="Q2" s="68" t="s">
        <v>11</v>
      </c>
      <c r="R2" s="75" t="s">
        <v>774</v>
      </c>
      <c r="S2" s="75" t="s">
        <v>775</v>
      </c>
      <c r="T2" s="68" t="s">
        <v>11</v>
      </c>
      <c r="U2" s="75" t="s">
        <v>774</v>
      </c>
      <c r="V2" s="75" t="s">
        <v>775</v>
      </c>
      <c r="W2" s="68" t="s">
        <v>11</v>
      </c>
      <c r="X2" s="75" t="s">
        <v>774</v>
      </c>
      <c r="Y2" s="75" t="s">
        <v>775</v>
      </c>
      <c r="Z2" s="68" t="s">
        <v>11</v>
      </c>
      <c r="AA2" s="75" t="s">
        <v>774</v>
      </c>
      <c r="AB2" s="75" t="s">
        <v>775</v>
      </c>
      <c r="AC2" s="68" t="s">
        <v>11</v>
      </c>
      <c r="AD2" s="75" t="s">
        <v>774</v>
      </c>
      <c r="AE2" s="75" t="s">
        <v>775</v>
      </c>
      <c r="AF2" s="68" t="s">
        <v>11</v>
      </c>
      <c r="AG2" s="75" t="s">
        <v>774</v>
      </c>
      <c r="AH2" s="75" t="s">
        <v>775</v>
      </c>
      <c r="AI2" s="68" t="s">
        <v>11</v>
      </c>
      <c r="AJ2" s="72" t="s">
        <v>12</v>
      </c>
    </row>
    <row r="3" spans="1:36" ht="15.75" customHeight="1" x14ac:dyDescent="0.25">
      <c r="A3" s="89" t="s">
        <v>864</v>
      </c>
      <c r="B3" s="50" t="s">
        <v>882</v>
      </c>
      <c r="C3" s="24" t="s">
        <v>15</v>
      </c>
      <c r="D3" s="50">
        <v>601</v>
      </c>
      <c r="E3" s="50"/>
      <c r="F3" s="14">
        <v>8</v>
      </c>
      <c r="G3" s="28">
        <v>8</v>
      </c>
      <c r="H3" s="69">
        <f>AVERAGE(F3:G3)</f>
        <v>8</v>
      </c>
      <c r="I3" s="53">
        <v>9.8000000000000007</v>
      </c>
      <c r="J3" s="54">
        <v>8.5</v>
      </c>
      <c r="K3" s="69">
        <f>AVERAGE(I3:J3)</f>
        <v>9.15</v>
      </c>
      <c r="L3" s="14">
        <v>10</v>
      </c>
      <c r="M3" s="28">
        <v>10</v>
      </c>
      <c r="N3" s="69">
        <f>AVERAGE(L3:M3)</f>
        <v>10</v>
      </c>
      <c r="O3" s="14">
        <v>10</v>
      </c>
      <c r="P3" s="28">
        <v>10</v>
      </c>
      <c r="Q3" s="69">
        <f>AVERAGE(O3:P3)</f>
        <v>10</v>
      </c>
      <c r="R3" s="19">
        <v>9</v>
      </c>
      <c r="S3" s="28">
        <v>10</v>
      </c>
      <c r="T3" s="69">
        <f>AVERAGE(R3:S3)</f>
        <v>9.5</v>
      </c>
      <c r="U3" s="14">
        <v>9</v>
      </c>
      <c r="V3" s="28">
        <v>9</v>
      </c>
      <c r="W3" s="69">
        <f>AVERAGE(U3:V3)</f>
        <v>9</v>
      </c>
      <c r="X3" s="14">
        <v>10</v>
      </c>
      <c r="Y3" s="28">
        <v>10</v>
      </c>
      <c r="Z3" s="69">
        <f>AVERAGE(X3:Y3)</f>
        <v>10</v>
      </c>
      <c r="AA3" s="14">
        <v>10</v>
      </c>
      <c r="AB3" s="28">
        <v>10</v>
      </c>
      <c r="AC3" s="69">
        <f>AVERAGE(AA3:AB3)</f>
        <v>10</v>
      </c>
      <c r="AD3" s="14">
        <v>10</v>
      </c>
      <c r="AE3" s="55">
        <v>10</v>
      </c>
      <c r="AF3" s="69">
        <f>AVERAGE(AD3:AE3)</f>
        <v>10</v>
      </c>
      <c r="AG3" s="14">
        <v>10</v>
      </c>
      <c r="AH3" s="28">
        <v>10</v>
      </c>
      <c r="AI3" s="69">
        <f>AVERAGE(AG3:AH3)</f>
        <v>10</v>
      </c>
      <c r="AJ3" s="64">
        <f>AVERAGE(H3,K3,N3,Q3,T3,W3,Z3,AC3,AF3,AI3)</f>
        <v>9.5650000000000013</v>
      </c>
    </row>
    <row r="4" spans="1:36" ht="15.75" customHeight="1" x14ac:dyDescent="0.25">
      <c r="A4" s="89" t="s">
        <v>863</v>
      </c>
      <c r="B4" s="50" t="s">
        <v>883</v>
      </c>
      <c r="C4" s="24" t="s">
        <v>15</v>
      </c>
      <c r="D4" s="50">
        <v>601</v>
      </c>
      <c r="E4" s="51"/>
      <c r="F4" s="14">
        <v>8</v>
      </c>
      <c r="G4" s="28">
        <v>8</v>
      </c>
      <c r="H4" s="69">
        <f t="shared" ref="H4:H18" si="0">AVERAGE(F4:G4)</f>
        <v>8</v>
      </c>
      <c r="I4" s="53">
        <v>8.8000000000000007</v>
      </c>
      <c r="J4" s="54">
        <v>9.3000000000000007</v>
      </c>
      <c r="K4" s="69">
        <f t="shared" ref="K4:K18" si="1">AVERAGE(I4:J4)</f>
        <v>9.0500000000000007</v>
      </c>
      <c r="L4" s="14">
        <v>8</v>
      </c>
      <c r="M4" s="28">
        <v>10</v>
      </c>
      <c r="N4" s="69">
        <f t="shared" ref="N4:N18" si="2">AVERAGE(L4:M4)</f>
        <v>9</v>
      </c>
      <c r="O4" s="14">
        <v>8</v>
      </c>
      <c r="P4" s="28">
        <v>8</v>
      </c>
      <c r="Q4" s="69">
        <f t="shared" ref="Q4:Q18" si="3">AVERAGE(O4:P4)</f>
        <v>8</v>
      </c>
      <c r="R4" s="14">
        <v>9</v>
      </c>
      <c r="S4" s="28">
        <v>8</v>
      </c>
      <c r="T4" s="69">
        <f t="shared" ref="T4:T18" si="4">AVERAGE(R4:S4)</f>
        <v>8.5</v>
      </c>
      <c r="U4" s="14">
        <v>9</v>
      </c>
      <c r="V4" s="28">
        <v>9</v>
      </c>
      <c r="W4" s="69">
        <f t="shared" ref="W4:W18" si="5">AVERAGE(U4:V4)</f>
        <v>9</v>
      </c>
      <c r="X4" s="14">
        <v>10</v>
      </c>
      <c r="Y4" s="28">
        <v>10</v>
      </c>
      <c r="Z4" s="69">
        <f t="shared" ref="Z4:Z18" si="6">AVERAGE(X4:Y4)</f>
        <v>10</v>
      </c>
      <c r="AA4" s="14">
        <v>10</v>
      </c>
      <c r="AB4" s="28">
        <v>10</v>
      </c>
      <c r="AC4" s="69">
        <f t="shared" ref="AC4:AC18" si="7">AVERAGE(AA4:AB4)</f>
        <v>10</v>
      </c>
      <c r="AD4" s="14">
        <v>8</v>
      </c>
      <c r="AE4" s="55">
        <v>8</v>
      </c>
      <c r="AF4" s="69">
        <f t="shared" ref="AF4:AF18" si="8">AVERAGE(AD4:AE4)</f>
        <v>8</v>
      </c>
      <c r="AG4" s="14">
        <v>10</v>
      </c>
      <c r="AH4" s="28">
        <v>10</v>
      </c>
      <c r="AI4" s="69">
        <f t="shared" ref="AI4:AI17" si="9">AVERAGE(AG4:AH4)</f>
        <v>10</v>
      </c>
      <c r="AJ4" s="64">
        <f t="shared" ref="AJ4:AJ18" si="10">AVERAGE(H4,K4,N4,Q4,T4,W4,Z4,AC4,AF4,AI4)</f>
        <v>8.9550000000000001</v>
      </c>
    </row>
    <row r="5" spans="1:36" ht="15.75" customHeight="1" x14ac:dyDescent="0.25">
      <c r="A5" s="89" t="s">
        <v>857</v>
      </c>
      <c r="B5" s="50" t="s">
        <v>858</v>
      </c>
      <c r="C5" s="24" t="s">
        <v>15</v>
      </c>
      <c r="D5" s="50">
        <v>601</v>
      </c>
      <c r="E5" s="50"/>
      <c r="F5" s="14">
        <v>5</v>
      </c>
      <c r="G5" s="28">
        <v>8</v>
      </c>
      <c r="H5" s="69">
        <f t="shared" si="0"/>
        <v>6.5</v>
      </c>
      <c r="I5" s="53">
        <v>9.8000000000000007</v>
      </c>
      <c r="J5" s="56">
        <v>9.3000000000000007</v>
      </c>
      <c r="K5" s="69">
        <f t="shared" si="1"/>
        <v>9.5500000000000007</v>
      </c>
      <c r="L5" s="14">
        <v>8</v>
      </c>
      <c r="M5" s="28">
        <v>10</v>
      </c>
      <c r="N5" s="69">
        <f t="shared" si="2"/>
        <v>9</v>
      </c>
      <c r="O5" s="14">
        <v>8</v>
      </c>
      <c r="P5" s="28">
        <v>8</v>
      </c>
      <c r="Q5" s="69">
        <f t="shared" si="3"/>
        <v>8</v>
      </c>
      <c r="R5" s="14">
        <v>9</v>
      </c>
      <c r="S5" s="28">
        <v>10</v>
      </c>
      <c r="T5" s="69">
        <f t="shared" si="4"/>
        <v>9.5</v>
      </c>
      <c r="U5" s="14">
        <v>9</v>
      </c>
      <c r="V5" s="28">
        <v>9</v>
      </c>
      <c r="W5" s="69">
        <f t="shared" si="5"/>
        <v>9</v>
      </c>
      <c r="X5" s="14">
        <v>10</v>
      </c>
      <c r="Y5" s="28">
        <v>10</v>
      </c>
      <c r="Z5" s="69">
        <f t="shared" si="6"/>
        <v>10</v>
      </c>
      <c r="AA5" s="14">
        <v>10</v>
      </c>
      <c r="AB5" s="28">
        <v>10</v>
      </c>
      <c r="AC5" s="69">
        <f t="shared" si="7"/>
        <v>10</v>
      </c>
      <c r="AD5" s="14">
        <v>10</v>
      </c>
      <c r="AE5" s="28">
        <v>10</v>
      </c>
      <c r="AF5" s="69">
        <f t="shared" si="8"/>
        <v>10</v>
      </c>
      <c r="AG5" s="14">
        <v>10</v>
      </c>
      <c r="AH5" s="28">
        <v>10</v>
      </c>
      <c r="AI5" s="69">
        <f t="shared" si="9"/>
        <v>10</v>
      </c>
      <c r="AJ5" s="64">
        <f t="shared" si="10"/>
        <v>9.1549999999999994</v>
      </c>
    </row>
    <row r="6" spans="1:36" ht="15.75" customHeight="1" x14ac:dyDescent="0.25">
      <c r="A6" s="89" t="s">
        <v>839</v>
      </c>
      <c r="B6" s="50" t="s">
        <v>840</v>
      </c>
      <c r="C6" s="24" t="s">
        <v>15</v>
      </c>
      <c r="D6" s="50">
        <v>601</v>
      </c>
      <c r="E6" s="50"/>
      <c r="F6" s="19">
        <v>9</v>
      </c>
      <c r="G6" s="28">
        <v>10</v>
      </c>
      <c r="H6" s="69">
        <f t="shared" si="0"/>
        <v>9.5</v>
      </c>
      <c r="I6" s="53">
        <v>9.8000000000000007</v>
      </c>
      <c r="J6" s="54">
        <v>9.5</v>
      </c>
      <c r="K6" s="69">
        <f t="shared" si="1"/>
        <v>9.65</v>
      </c>
      <c r="L6" s="14">
        <v>10</v>
      </c>
      <c r="M6" s="28">
        <v>10</v>
      </c>
      <c r="N6" s="69">
        <f t="shared" si="2"/>
        <v>10</v>
      </c>
      <c r="O6" s="14">
        <v>10</v>
      </c>
      <c r="P6" s="28">
        <v>10</v>
      </c>
      <c r="Q6" s="69">
        <f t="shared" si="3"/>
        <v>10</v>
      </c>
      <c r="R6" s="14">
        <v>9</v>
      </c>
      <c r="S6" s="28">
        <v>10</v>
      </c>
      <c r="T6" s="69">
        <f t="shared" si="4"/>
        <v>9.5</v>
      </c>
      <c r="U6" s="20">
        <v>9</v>
      </c>
      <c r="V6" s="55">
        <v>9</v>
      </c>
      <c r="W6" s="69">
        <f t="shared" si="5"/>
        <v>9</v>
      </c>
      <c r="X6" s="14">
        <v>10</v>
      </c>
      <c r="Y6" s="28">
        <v>10</v>
      </c>
      <c r="Z6" s="69">
        <f t="shared" si="6"/>
        <v>10</v>
      </c>
      <c r="AA6" s="14">
        <v>10</v>
      </c>
      <c r="AB6" s="28">
        <v>10</v>
      </c>
      <c r="AC6" s="69">
        <f t="shared" si="7"/>
        <v>10</v>
      </c>
      <c r="AD6" s="14">
        <v>10</v>
      </c>
      <c r="AE6" s="55">
        <v>10</v>
      </c>
      <c r="AF6" s="69">
        <f t="shared" si="8"/>
        <v>10</v>
      </c>
      <c r="AG6" s="14">
        <v>10</v>
      </c>
      <c r="AH6" s="28">
        <v>10</v>
      </c>
      <c r="AI6" s="69">
        <f t="shared" si="9"/>
        <v>10</v>
      </c>
      <c r="AJ6" s="64">
        <f t="shared" si="10"/>
        <v>9.7650000000000006</v>
      </c>
    </row>
    <row r="7" spans="1:36" ht="15.75" customHeight="1" x14ac:dyDescent="0.25">
      <c r="A7" s="89" t="s">
        <v>855</v>
      </c>
      <c r="B7" s="50" t="s">
        <v>856</v>
      </c>
      <c r="C7" s="24" t="s">
        <v>15</v>
      </c>
      <c r="D7" s="50">
        <v>601</v>
      </c>
      <c r="E7" s="51"/>
      <c r="F7" s="14">
        <v>8</v>
      </c>
      <c r="G7" s="57">
        <v>10</v>
      </c>
      <c r="H7" s="69">
        <f t="shared" si="0"/>
        <v>9</v>
      </c>
      <c r="I7" s="53">
        <v>8.8000000000000007</v>
      </c>
      <c r="J7" s="54">
        <v>9.8000000000000007</v>
      </c>
      <c r="K7" s="69">
        <f t="shared" si="1"/>
        <v>9.3000000000000007</v>
      </c>
      <c r="L7" s="58">
        <v>10</v>
      </c>
      <c r="M7" s="59">
        <v>10</v>
      </c>
      <c r="N7" s="69">
        <f t="shared" si="2"/>
        <v>10</v>
      </c>
      <c r="O7" s="14">
        <v>9</v>
      </c>
      <c r="P7" s="28">
        <v>9</v>
      </c>
      <c r="Q7" s="69">
        <f t="shared" si="3"/>
        <v>9</v>
      </c>
      <c r="R7" s="14">
        <v>9</v>
      </c>
      <c r="S7" s="28">
        <v>10</v>
      </c>
      <c r="T7" s="69">
        <f t="shared" si="4"/>
        <v>9.5</v>
      </c>
      <c r="U7" s="14">
        <v>9</v>
      </c>
      <c r="V7" s="28">
        <v>10</v>
      </c>
      <c r="W7" s="69">
        <f t="shared" si="5"/>
        <v>9.5</v>
      </c>
      <c r="X7" s="14">
        <v>10</v>
      </c>
      <c r="Y7" s="28">
        <v>10</v>
      </c>
      <c r="Z7" s="69">
        <f t="shared" si="6"/>
        <v>10</v>
      </c>
      <c r="AA7" s="14">
        <v>10</v>
      </c>
      <c r="AB7" s="28">
        <v>10</v>
      </c>
      <c r="AC7" s="69">
        <f t="shared" si="7"/>
        <v>10</v>
      </c>
      <c r="AD7" s="14">
        <v>10</v>
      </c>
      <c r="AE7" s="55">
        <v>10</v>
      </c>
      <c r="AF7" s="69">
        <f t="shared" si="8"/>
        <v>10</v>
      </c>
      <c r="AG7" s="14">
        <v>10</v>
      </c>
      <c r="AH7" s="28">
        <v>10</v>
      </c>
      <c r="AI7" s="69">
        <f t="shared" si="9"/>
        <v>10</v>
      </c>
      <c r="AJ7" s="64">
        <f t="shared" si="10"/>
        <v>9.629999999999999</v>
      </c>
    </row>
    <row r="8" spans="1:36" ht="15.75" customHeight="1" x14ac:dyDescent="0.25">
      <c r="A8" s="89" t="s">
        <v>861</v>
      </c>
      <c r="B8" s="50" t="s">
        <v>862</v>
      </c>
      <c r="C8" s="24" t="s">
        <v>15</v>
      </c>
      <c r="D8" s="50">
        <v>601</v>
      </c>
      <c r="E8" s="51"/>
      <c r="F8" s="19">
        <v>10</v>
      </c>
      <c r="G8" s="28">
        <v>10</v>
      </c>
      <c r="H8" s="69">
        <f t="shared" si="0"/>
        <v>10</v>
      </c>
      <c r="I8" s="53">
        <v>9.8000000000000007</v>
      </c>
      <c r="J8" s="54">
        <v>9.8000000000000007</v>
      </c>
      <c r="K8" s="69">
        <f t="shared" si="1"/>
        <v>9.8000000000000007</v>
      </c>
      <c r="L8" s="14">
        <v>10</v>
      </c>
      <c r="M8" s="28">
        <v>10</v>
      </c>
      <c r="N8" s="69">
        <f t="shared" si="2"/>
        <v>10</v>
      </c>
      <c r="O8" s="14">
        <v>10</v>
      </c>
      <c r="P8" s="28">
        <v>10</v>
      </c>
      <c r="Q8" s="69">
        <f t="shared" si="3"/>
        <v>10</v>
      </c>
      <c r="R8" s="14">
        <v>10</v>
      </c>
      <c r="S8" s="28">
        <v>10</v>
      </c>
      <c r="T8" s="69">
        <f t="shared" si="4"/>
        <v>10</v>
      </c>
      <c r="U8" s="14">
        <v>9</v>
      </c>
      <c r="V8" s="28">
        <v>9</v>
      </c>
      <c r="W8" s="69">
        <f t="shared" si="5"/>
        <v>9</v>
      </c>
      <c r="X8" s="14">
        <v>10</v>
      </c>
      <c r="Y8" s="28">
        <v>10</v>
      </c>
      <c r="Z8" s="69">
        <f t="shared" si="6"/>
        <v>10</v>
      </c>
      <c r="AA8" s="14">
        <v>10</v>
      </c>
      <c r="AB8" s="28">
        <v>10</v>
      </c>
      <c r="AC8" s="69">
        <f t="shared" si="7"/>
        <v>10</v>
      </c>
      <c r="AD8" s="14">
        <v>10</v>
      </c>
      <c r="AE8" s="55">
        <v>10</v>
      </c>
      <c r="AF8" s="69">
        <f t="shared" si="8"/>
        <v>10</v>
      </c>
      <c r="AG8" s="14">
        <v>10</v>
      </c>
      <c r="AH8" s="28">
        <v>10</v>
      </c>
      <c r="AI8" s="69">
        <f t="shared" si="9"/>
        <v>10</v>
      </c>
      <c r="AJ8" s="64">
        <f t="shared" si="10"/>
        <v>9.879999999999999</v>
      </c>
    </row>
    <row r="9" spans="1:36" ht="15.75" customHeight="1" x14ac:dyDescent="0.25">
      <c r="A9" s="89" t="s">
        <v>859</v>
      </c>
      <c r="B9" s="50" t="s">
        <v>860</v>
      </c>
      <c r="C9" s="24" t="s">
        <v>15</v>
      </c>
      <c r="D9" s="50">
        <v>601</v>
      </c>
      <c r="E9" s="51"/>
      <c r="F9" s="14">
        <v>9</v>
      </c>
      <c r="G9" s="28">
        <v>9</v>
      </c>
      <c r="H9" s="69">
        <f t="shared" si="0"/>
        <v>9</v>
      </c>
      <c r="I9" s="53">
        <v>9.8000000000000007</v>
      </c>
      <c r="J9" s="54">
        <v>9</v>
      </c>
      <c r="K9" s="69">
        <f t="shared" si="1"/>
        <v>9.4</v>
      </c>
      <c r="L9" s="14">
        <v>8</v>
      </c>
      <c r="M9" s="28">
        <v>10</v>
      </c>
      <c r="N9" s="69">
        <f t="shared" si="2"/>
        <v>9</v>
      </c>
      <c r="O9" s="14">
        <v>10</v>
      </c>
      <c r="P9" s="28">
        <v>10</v>
      </c>
      <c r="Q9" s="69">
        <f t="shared" si="3"/>
        <v>10</v>
      </c>
      <c r="R9" s="14">
        <v>9</v>
      </c>
      <c r="S9" s="28">
        <v>10</v>
      </c>
      <c r="T9" s="69">
        <f t="shared" si="4"/>
        <v>9.5</v>
      </c>
      <c r="U9" s="14">
        <v>9</v>
      </c>
      <c r="V9" s="28">
        <v>9</v>
      </c>
      <c r="W9" s="69">
        <f t="shared" si="5"/>
        <v>9</v>
      </c>
      <c r="X9" s="14">
        <v>10</v>
      </c>
      <c r="Y9" s="28">
        <v>10</v>
      </c>
      <c r="Z9" s="69">
        <f t="shared" si="6"/>
        <v>10</v>
      </c>
      <c r="AA9" s="14">
        <v>10</v>
      </c>
      <c r="AB9" s="28">
        <v>10</v>
      </c>
      <c r="AC9" s="69">
        <f t="shared" si="7"/>
        <v>10</v>
      </c>
      <c r="AD9" s="14">
        <v>10</v>
      </c>
      <c r="AE9" s="55">
        <v>10</v>
      </c>
      <c r="AF9" s="69">
        <f t="shared" si="8"/>
        <v>10</v>
      </c>
      <c r="AG9" s="14">
        <v>10</v>
      </c>
      <c r="AH9" s="28">
        <v>10</v>
      </c>
      <c r="AI9" s="69">
        <f t="shared" si="9"/>
        <v>10</v>
      </c>
      <c r="AJ9" s="64">
        <f t="shared" si="10"/>
        <v>9.59</v>
      </c>
    </row>
    <row r="10" spans="1:36" ht="15.75" customHeight="1" x14ac:dyDescent="0.25">
      <c r="A10" s="89" t="s">
        <v>841</v>
      </c>
      <c r="B10" s="50" t="s">
        <v>842</v>
      </c>
      <c r="C10" s="24" t="s">
        <v>15</v>
      </c>
      <c r="D10" s="50">
        <v>601</v>
      </c>
      <c r="E10" s="50"/>
      <c r="F10" s="14">
        <v>9</v>
      </c>
      <c r="G10" s="28">
        <v>10</v>
      </c>
      <c r="H10" s="69">
        <f t="shared" si="0"/>
        <v>9.5</v>
      </c>
      <c r="I10" s="53">
        <v>9.8000000000000007</v>
      </c>
      <c r="J10" s="54">
        <v>8.8000000000000007</v>
      </c>
      <c r="K10" s="69">
        <f t="shared" si="1"/>
        <v>9.3000000000000007</v>
      </c>
      <c r="L10" s="14">
        <v>10</v>
      </c>
      <c r="M10" s="28">
        <v>10</v>
      </c>
      <c r="N10" s="69">
        <f t="shared" si="2"/>
        <v>10</v>
      </c>
      <c r="O10" s="14">
        <v>10</v>
      </c>
      <c r="P10" s="28">
        <v>10</v>
      </c>
      <c r="Q10" s="69">
        <f t="shared" si="3"/>
        <v>10</v>
      </c>
      <c r="R10" s="14">
        <v>10</v>
      </c>
      <c r="S10" s="28">
        <v>10</v>
      </c>
      <c r="T10" s="69">
        <f t="shared" si="4"/>
        <v>10</v>
      </c>
      <c r="U10" s="14">
        <v>9</v>
      </c>
      <c r="V10" s="28">
        <v>9</v>
      </c>
      <c r="W10" s="69">
        <f t="shared" si="5"/>
        <v>9</v>
      </c>
      <c r="X10" s="14">
        <v>10</v>
      </c>
      <c r="Y10" s="28">
        <v>10</v>
      </c>
      <c r="Z10" s="69">
        <f t="shared" si="6"/>
        <v>10</v>
      </c>
      <c r="AA10" s="14">
        <v>10</v>
      </c>
      <c r="AB10" s="28">
        <v>10</v>
      </c>
      <c r="AC10" s="69">
        <f t="shared" si="7"/>
        <v>10</v>
      </c>
      <c r="AD10" s="14">
        <v>10</v>
      </c>
      <c r="AE10" s="55">
        <v>10</v>
      </c>
      <c r="AF10" s="69">
        <f t="shared" si="8"/>
        <v>10</v>
      </c>
      <c r="AG10" s="14">
        <v>10</v>
      </c>
      <c r="AH10" s="28">
        <v>10</v>
      </c>
      <c r="AI10" s="69">
        <f t="shared" si="9"/>
        <v>10</v>
      </c>
      <c r="AJ10" s="64">
        <f t="shared" si="10"/>
        <v>9.7799999999999994</v>
      </c>
    </row>
    <row r="11" spans="1:36" ht="15.75" customHeight="1" x14ac:dyDescent="0.25">
      <c r="A11" s="89" t="s">
        <v>851</v>
      </c>
      <c r="B11" s="51" t="s">
        <v>852</v>
      </c>
      <c r="C11" s="24" t="s">
        <v>15</v>
      </c>
      <c r="D11" s="50">
        <v>601</v>
      </c>
      <c r="E11" s="50"/>
      <c r="F11" s="19">
        <v>10</v>
      </c>
      <c r="G11" s="28">
        <v>9</v>
      </c>
      <c r="H11" s="69">
        <f t="shared" si="0"/>
        <v>9.5</v>
      </c>
      <c r="I11" s="53">
        <v>9.8000000000000007</v>
      </c>
      <c r="J11" s="54">
        <v>9.5</v>
      </c>
      <c r="K11" s="69">
        <f t="shared" si="1"/>
        <v>9.65</v>
      </c>
      <c r="L11" s="14">
        <v>10</v>
      </c>
      <c r="M11" s="28">
        <v>10</v>
      </c>
      <c r="N11" s="69">
        <f t="shared" si="2"/>
        <v>10</v>
      </c>
      <c r="O11" s="14">
        <v>9</v>
      </c>
      <c r="P11" s="28">
        <v>9</v>
      </c>
      <c r="Q11" s="69">
        <f t="shared" si="3"/>
        <v>9</v>
      </c>
      <c r="R11" s="20">
        <v>10</v>
      </c>
      <c r="S11" s="55">
        <v>10</v>
      </c>
      <c r="T11" s="69">
        <f t="shared" si="4"/>
        <v>10</v>
      </c>
      <c r="U11" s="20">
        <v>8</v>
      </c>
      <c r="V11" s="55">
        <v>9</v>
      </c>
      <c r="W11" s="69">
        <f t="shared" si="5"/>
        <v>8.5</v>
      </c>
      <c r="X11" s="14">
        <v>10</v>
      </c>
      <c r="Y11" s="28">
        <v>10</v>
      </c>
      <c r="Z11" s="69">
        <f t="shared" si="6"/>
        <v>10</v>
      </c>
      <c r="AA11" s="14">
        <v>10</v>
      </c>
      <c r="AB11" s="28">
        <v>10</v>
      </c>
      <c r="AC11" s="69">
        <f t="shared" si="7"/>
        <v>10</v>
      </c>
      <c r="AD11" s="14">
        <v>10</v>
      </c>
      <c r="AE11" s="55">
        <v>10</v>
      </c>
      <c r="AF11" s="69">
        <f t="shared" si="8"/>
        <v>10</v>
      </c>
      <c r="AG11" s="14">
        <v>10</v>
      </c>
      <c r="AH11" s="28">
        <v>10</v>
      </c>
      <c r="AI11" s="69">
        <f t="shared" si="9"/>
        <v>10</v>
      </c>
      <c r="AJ11" s="64">
        <f t="shared" si="10"/>
        <v>9.6650000000000009</v>
      </c>
    </row>
    <row r="12" spans="1:36" ht="15.75" customHeight="1" x14ac:dyDescent="0.25">
      <c r="A12" s="89" t="s">
        <v>836</v>
      </c>
      <c r="B12" s="50" t="s">
        <v>837</v>
      </c>
      <c r="C12" s="24" t="s">
        <v>15</v>
      </c>
      <c r="D12" s="50">
        <v>601</v>
      </c>
      <c r="E12" s="51"/>
      <c r="F12" s="14">
        <v>10</v>
      </c>
      <c r="G12" s="28">
        <v>10</v>
      </c>
      <c r="H12" s="69">
        <f t="shared" si="0"/>
        <v>10</v>
      </c>
      <c r="I12" s="53">
        <v>9.8000000000000007</v>
      </c>
      <c r="J12" s="54">
        <v>9.8000000000000007</v>
      </c>
      <c r="K12" s="69">
        <f t="shared" si="1"/>
        <v>9.8000000000000007</v>
      </c>
      <c r="L12" s="14">
        <v>10</v>
      </c>
      <c r="M12" s="28">
        <v>10</v>
      </c>
      <c r="N12" s="69">
        <f t="shared" si="2"/>
        <v>10</v>
      </c>
      <c r="O12" s="14">
        <v>10</v>
      </c>
      <c r="P12" s="28">
        <v>10</v>
      </c>
      <c r="Q12" s="69">
        <f t="shared" si="3"/>
        <v>10</v>
      </c>
      <c r="R12" s="20">
        <v>10</v>
      </c>
      <c r="S12" s="55">
        <v>10</v>
      </c>
      <c r="T12" s="69">
        <f t="shared" si="4"/>
        <v>10</v>
      </c>
      <c r="U12" s="20">
        <v>10</v>
      </c>
      <c r="V12" s="55">
        <v>10</v>
      </c>
      <c r="W12" s="69">
        <f t="shared" si="5"/>
        <v>10</v>
      </c>
      <c r="X12" s="14">
        <v>10</v>
      </c>
      <c r="Y12" s="28">
        <v>10</v>
      </c>
      <c r="Z12" s="69">
        <f t="shared" si="6"/>
        <v>10</v>
      </c>
      <c r="AA12" s="14">
        <v>10</v>
      </c>
      <c r="AB12" s="28">
        <v>10</v>
      </c>
      <c r="AC12" s="69">
        <f t="shared" si="7"/>
        <v>10</v>
      </c>
      <c r="AD12" s="14">
        <v>10</v>
      </c>
      <c r="AE12" s="55">
        <v>10</v>
      </c>
      <c r="AF12" s="69">
        <f t="shared" si="8"/>
        <v>10</v>
      </c>
      <c r="AG12" s="14">
        <v>10</v>
      </c>
      <c r="AH12" s="28">
        <v>10</v>
      </c>
      <c r="AI12" s="69">
        <f t="shared" si="9"/>
        <v>10</v>
      </c>
      <c r="AJ12" s="64">
        <f t="shared" si="10"/>
        <v>9.98</v>
      </c>
    </row>
    <row r="13" spans="1:36" ht="15.75" customHeight="1" x14ac:dyDescent="0.25">
      <c r="A13" s="89" t="s">
        <v>843</v>
      </c>
      <c r="B13" s="50" t="s">
        <v>844</v>
      </c>
      <c r="C13" s="24" t="s">
        <v>15</v>
      </c>
      <c r="D13" s="50">
        <v>601</v>
      </c>
      <c r="E13" s="50"/>
      <c r="F13" s="14">
        <v>8</v>
      </c>
      <c r="G13" s="28">
        <v>8</v>
      </c>
      <c r="H13" s="69">
        <f t="shared" si="0"/>
        <v>8</v>
      </c>
      <c r="I13" s="53">
        <v>9.8000000000000007</v>
      </c>
      <c r="J13" s="54">
        <v>8.8000000000000007</v>
      </c>
      <c r="K13" s="69">
        <f t="shared" si="1"/>
        <v>9.3000000000000007</v>
      </c>
      <c r="L13" s="60">
        <v>8</v>
      </c>
      <c r="M13" s="55">
        <v>10</v>
      </c>
      <c r="N13" s="69">
        <f t="shared" si="2"/>
        <v>9</v>
      </c>
      <c r="O13" s="14">
        <v>10</v>
      </c>
      <c r="P13" s="28">
        <v>10</v>
      </c>
      <c r="Q13" s="69">
        <f t="shared" si="3"/>
        <v>10</v>
      </c>
      <c r="R13" s="14">
        <v>9</v>
      </c>
      <c r="S13" s="28">
        <v>10</v>
      </c>
      <c r="T13" s="69">
        <f t="shared" si="4"/>
        <v>9.5</v>
      </c>
      <c r="U13" s="14">
        <v>10</v>
      </c>
      <c r="V13" s="28">
        <v>10</v>
      </c>
      <c r="W13" s="69">
        <f t="shared" si="5"/>
        <v>10</v>
      </c>
      <c r="X13" s="14">
        <v>10</v>
      </c>
      <c r="Y13" s="28">
        <v>10</v>
      </c>
      <c r="Z13" s="69">
        <f t="shared" si="6"/>
        <v>10</v>
      </c>
      <c r="AA13" s="14">
        <v>10</v>
      </c>
      <c r="AB13" s="28">
        <v>10</v>
      </c>
      <c r="AC13" s="69">
        <f t="shared" si="7"/>
        <v>10</v>
      </c>
      <c r="AD13" s="14">
        <v>10</v>
      </c>
      <c r="AE13" s="55">
        <v>10</v>
      </c>
      <c r="AF13" s="69">
        <f t="shared" si="8"/>
        <v>10</v>
      </c>
      <c r="AG13" s="14">
        <v>10</v>
      </c>
      <c r="AH13" s="28">
        <v>10</v>
      </c>
      <c r="AI13" s="69">
        <f t="shared" si="9"/>
        <v>10</v>
      </c>
      <c r="AJ13" s="64">
        <f t="shared" si="10"/>
        <v>9.58</v>
      </c>
    </row>
    <row r="14" spans="1:36" ht="15.75" customHeight="1" x14ac:dyDescent="0.25">
      <c r="A14" s="89" t="s">
        <v>847</v>
      </c>
      <c r="B14" s="51" t="s">
        <v>848</v>
      </c>
      <c r="C14" s="24" t="s">
        <v>15</v>
      </c>
      <c r="D14" s="50">
        <v>601</v>
      </c>
      <c r="E14" s="51"/>
      <c r="F14" s="14">
        <v>9</v>
      </c>
      <c r="G14" s="28">
        <v>9</v>
      </c>
      <c r="H14" s="69">
        <f t="shared" si="0"/>
        <v>9</v>
      </c>
      <c r="I14" s="53">
        <v>9.8000000000000007</v>
      </c>
      <c r="J14" s="54">
        <v>8.8000000000000007</v>
      </c>
      <c r="K14" s="69">
        <f t="shared" si="1"/>
        <v>9.3000000000000007</v>
      </c>
      <c r="L14" s="19">
        <v>9</v>
      </c>
      <c r="M14" s="28">
        <v>10</v>
      </c>
      <c r="N14" s="69">
        <f t="shared" si="2"/>
        <v>9.5</v>
      </c>
      <c r="O14" s="19">
        <v>5</v>
      </c>
      <c r="P14" s="28">
        <v>8</v>
      </c>
      <c r="Q14" s="69">
        <f t="shared" si="3"/>
        <v>6.5</v>
      </c>
      <c r="R14" s="14">
        <v>9</v>
      </c>
      <c r="S14" s="28">
        <v>10</v>
      </c>
      <c r="T14" s="69">
        <f t="shared" si="4"/>
        <v>9.5</v>
      </c>
      <c r="U14" s="20">
        <v>9</v>
      </c>
      <c r="V14" s="55">
        <v>9</v>
      </c>
      <c r="W14" s="69">
        <f t="shared" si="5"/>
        <v>9</v>
      </c>
      <c r="X14" s="14">
        <v>10</v>
      </c>
      <c r="Y14" s="28">
        <v>10</v>
      </c>
      <c r="Z14" s="69">
        <f t="shared" si="6"/>
        <v>10</v>
      </c>
      <c r="AA14" s="14">
        <v>10</v>
      </c>
      <c r="AB14" s="28">
        <v>10</v>
      </c>
      <c r="AC14" s="69">
        <f t="shared" si="7"/>
        <v>10</v>
      </c>
      <c r="AD14" s="14">
        <v>10</v>
      </c>
      <c r="AE14" s="55">
        <v>10</v>
      </c>
      <c r="AF14" s="69">
        <f t="shared" si="8"/>
        <v>10</v>
      </c>
      <c r="AG14" s="14">
        <v>10</v>
      </c>
      <c r="AH14" s="28">
        <v>10</v>
      </c>
      <c r="AI14" s="69">
        <f t="shared" si="9"/>
        <v>10</v>
      </c>
      <c r="AJ14" s="64">
        <f t="shared" si="10"/>
        <v>9.2799999999999994</v>
      </c>
    </row>
    <row r="15" spans="1:36" ht="15.75" customHeight="1" x14ac:dyDescent="0.25">
      <c r="A15" s="89" t="s">
        <v>849</v>
      </c>
      <c r="B15" s="51" t="s">
        <v>850</v>
      </c>
      <c r="C15" s="24" t="s">
        <v>15</v>
      </c>
      <c r="D15" s="50">
        <v>601</v>
      </c>
      <c r="E15" s="50"/>
      <c r="F15" s="14">
        <v>9</v>
      </c>
      <c r="G15" s="28">
        <v>9</v>
      </c>
      <c r="H15" s="69">
        <f t="shared" si="0"/>
        <v>9</v>
      </c>
      <c r="I15" s="53">
        <v>8.8000000000000007</v>
      </c>
      <c r="J15" s="54">
        <v>8.8000000000000007</v>
      </c>
      <c r="K15" s="69">
        <f t="shared" si="1"/>
        <v>8.8000000000000007</v>
      </c>
      <c r="L15" s="14">
        <v>10</v>
      </c>
      <c r="M15" s="28">
        <v>10</v>
      </c>
      <c r="N15" s="69">
        <f t="shared" si="2"/>
        <v>10</v>
      </c>
      <c r="O15" s="14">
        <v>8</v>
      </c>
      <c r="P15" s="28">
        <v>8</v>
      </c>
      <c r="Q15" s="69">
        <f t="shared" si="3"/>
        <v>8</v>
      </c>
      <c r="R15" s="14">
        <v>9</v>
      </c>
      <c r="S15" s="28">
        <v>9</v>
      </c>
      <c r="T15" s="69">
        <f t="shared" si="4"/>
        <v>9</v>
      </c>
      <c r="U15" s="14">
        <v>8</v>
      </c>
      <c r="V15" s="28">
        <v>9</v>
      </c>
      <c r="W15" s="69">
        <f t="shared" si="5"/>
        <v>8.5</v>
      </c>
      <c r="X15" s="14">
        <v>10</v>
      </c>
      <c r="Y15" s="28">
        <v>10</v>
      </c>
      <c r="Z15" s="69">
        <f t="shared" si="6"/>
        <v>10</v>
      </c>
      <c r="AA15" s="14">
        <v>10</v>
      </c>
      <c r="AB15" s="28">
        <v>10</v>
      </c>
      <c r="AC15" s="69">
        <f t="shared" si="7"/>
        <v>10</v>
      </c>
      <c r="AD15" s="14">
        <v>10</v>
      </c>
      <c r="AE15" s="55">
        <v>10</v>
      </c>
      <c r="AF15" s="69">
        <f t="shared" si="8"/>
        <v>10</v>
      </c>
      <c r="AG15" s="14">
        <v>10</v>
      </c>
      <c r="AH15" s="28">
        <v>10</v>
      </c>
      <c r="AI15" s="69">
        <f t="shared" si="9"/>
        <v>10</v>
      </c>
      <c r="AJ15" s="64">
        <f t="shared" si="10"/>
        <v>9.33</v>
      </c>
    </row>
    <row r="16" spans="1:36" ht="15.75" customHeight="1" x14ac:dyDescent="0.25">
      <c r="A16" s="89" t="s">
        <v>853</v>
      </c>
      <c r="B16" s="50" t="s">
        <v>854</v>
      </c>
      <c r="C16" s="24" t="s">
        <v>15</v>
      </c>
      <c r="D16" s="50">
        <v>601</v>
      </c>
      <c r="E16" s="51"/>
      <c r="F16" s="19">
        <v>5</v>
      </c>
      <c r="G16" s="28">
        <v>10</v>
      </c>
      <c r="H16" s="69">
        <f t="shared" si="0"/>
        <v>7.5</v>
      </c>
      <c r="I16" s="53">
        <v>9.8000000000000007</v>
      </c>
      <c r="J16" s="54">
        <v>9.5</v>
      </c>
      <c r="K16" s="69">
        <f t="shared" si="1"/>
        <v>9.65</v>
      </c>
      <c r="L16" s="14">
        <v>10</v>
      </c>
      <c r="M16" s="28">
        <v>10</v>
      </c>
      <c r="N16" s="69">
        <f t="shared" si="2"/>
        <v>10</v>
      </c>
      <c r="O16" s="14">
        <v>8</v>
      </c>
      <c r="P16" s="28">
        <v>8</v>
      </c>
      <c r="Q16" s="69">
        <f t="shared" si="3"/>
        <v>8</v>
      </c>
      <c r="R16" s="14">
        <v>10</v>
      </c>
      <c r="S16" s="28">
        <v>10</v>
      </c>
      <c r="T16" s="69">
        <f t="shared" si="4"/>
        <v>10</v>
      </c>
      <c r="U16" s="14">
        <v>10</v>
      </c>
      <c r="V16" s="28">
        <v>10</v>
      </c>
      <c r="W16" s="69">
        <f t="shared" si="5"/>
        <v>10</v>
      </c>
      <c r="X16" s="14">
        <v>10</v>
      </c>
      <c r="Y16" s="28">
        <v>10</v>
      </c>
      <c r="Z16" s="69">
        <f t="shared" si="6"/>
        <v>10</v>
      </c>
      <c r="AA16" s="14">
        <v>10</v>
      </c>
      <c r="AB16" s="28">
        <v>10</v>
      </c>
      <c r="AC16" s="69">
        <f t="shared" si="7"/>
        <v>10</v>
      </c>
      <c r="AD16" s="14">
        <v>10</v>
      </c>
      <c r="AE16" s="55">
        <v>10</v>
      </c>
      <c r="AF16" s="69">
        <f t="shared" si="8"/>
        <v>10</v>
      </c>
      <c r="AG16" s="14">
        <v>10</v>
      </c>
      <c r="AH16" s="28">
        <v>10</v>
      </c>
      <c r="AI16" s="69">
        <f t="shared" si="9"/>
        <v>10</v>
      </c>
      <c r="AJ16" s="64">
        <f t="shared" si="10"/>
        <v>9.5150000000000006</v>
      </c>
    </row>
    <row r="17" spans="1:36" ht="15.75" customHeight="1" x14ac:dyDescent="0.25">
      <c r="A17" s="89" t="s">
        <v>845</v>
      </c>
      <c r="B17" s="50" t="s">
        <v>846</v>
      </c>
      <c r="C17" s="24" t="s">
        <v>15</v>
      </c>
      <c r="D17" s="50">
        <v>601</v>
      </c>
      <c r="E17" s="50"/>
      <c r="F17" s="14">
        <v>9</v>
      </c>
      <c r="G17" s="28">
        <v>10</v>
      </c>
      <c r="H17" s="69">
        <f t="shared" si="0"/>
        <v>9.5</v>
      </c>
      <c r="I17" s="53">
        <v>8.8000000000000007</v>
      </c>
      <c r="J17" s="54">
        <v>8.3000000000000007</v>
      </c>
      <c r="K17" s="69">
        <f t="shared" si="1"/>
        <v>8.5500000000000007</v>
      </c>
      <c r="L17" s="14">
        <v>10</v>
      </c>
      <c r="M17" s="28">
        <v>10</v>
      </c>
      <c r="N17" s="69">
        <f t="shared" si="2"/>
        <v>10</v>
      </c>
      <c r="O17" s="14">
        <v>9</v>
      </c>
      <c r="P17" s="28">
        <v>8</v>
      </c>
      <c r="Q17" s="69">
        <f t="shared" si="3"/>
        <v>8.5</v>
      </c>
      <c r="R17" s="14">
        <v>10</v>
      </c>
      <c r="S17" s="28">
        <v>10</v>
      </c>
      <c r="T17" s="69">
        <f t="shared" si="4"/>
        <v>10</v>
      </c>
      <c r="U17" s="14">
        <v>8</v>
      </c>
      <c r="V17" s="28">
        <v>9</v>
      </c>
      <c r="W17" s="69">
        <f t="shared" si="5"/>
        <v>8.5</v>
      </c>
      <c r="X17" s="14">
        <v>10</v>
      </c>
      <c r="Y17" s="28">
        <v>10</v>
      </c>
      <c r="Z17" s="69">
        <f t="shared" si="6"/>
        <v>10</v>
      </c>
      <c r="AA17" s="14">
        <v>10</v>
      </c>
      <c r="AB17" s="28">
        <v>10</v>
      </c>
      <c r="AC17" s="69">
        <f t="shared" si="7"/>
        <v>10</v>
      </c>
      <c r="AD17" s="14">
        <v>10</v>
      </c>
      <c r="AE17" s="55">
        <v>10</v>
      </c>
      <c r="AF17" s="69">
        <f t="shared" si="8"/>
        <v>10</v>
      </c>
      <c r="AG17" s="14">
        <v>10</v>
      </c>
      <c r="AH17" s="28">
        <v>10</v>
      </c>
      <c r="AI17" s="69">
        <f t="shared" si="9"/>
        <v>10</v>
      </c>
      <c r="AJ17" s="64">
        <f t="shared" si="10"/>
        <v>9.504999999999999</v>
      </c>
    </row>
    <row r="18" spans="1:36" ht="15.75" customHeight="1" x14ac:dyDescent="0.25">
      <c r="A18" s="89" t="s">
        <v>838</v>
      </c>
      <c r="B18" s="61" t="s">
        <v>884</v>
      </c>
      <c r="C18" s="24" t="s">
        <v>15</v>
      </c>
      <c r="D18" s="50">
        <v>601</v>
      </c>
      <c r="E18" s="51"/>
      <c r="F18" s="62">
        <v>8</v>
      </c>
      <c r="G18" s="28">
        <v>8</v>
      </c>
      <c r="H18" s="69">
        <f t="shared" si="0"/>
        <v>8</v>
      </c>
      <c r="I18" s="53">
        <v>9.3000000000000007</v>
      </c>
      <c r="J18" s="54">
        <v>8.5</v>
      </c>
      <c r="K18" s="69">
        <f t="shared" si="1"/>
        <v>8.9</v>
      </c>
      <c r="L18" s="62">
        <v>10</v>
      </c>
      <c r="M18" s="28">
        <v>10</v>
      </c>
      <c r="N18" s="69">
        <f t="shared" si="2"/>
        <v>10</v>
      </c>
      <c r="O18" s="62">
        <v>10</v>
      </c>
      <c r="P18" s="28">
        <v>10</v>
      </c>
      <c r="Q18" s="69">
        <f t="shared" si="3"/>
        <v>10</v>
      </c>
      <c r="R18" s="62">
        <v>9</v>
      </c>
      <c r="S18" s="28">
        <v>9</v>
      </c>
      <c r="T18" s="69">
        <f t="shared" si="4"/>
        <v>9</v>
      </c>
      <c r="U18" s="62">
        <v>9</v>
      </c>
      <c r="V18" s="28">
        <v>9</v>
      </c>
      <c r="W18" s="69">
        <f t="shared" si="5"/>
        <v>9</v>
      </c>
      <c r="X18" s="14">
        <v>10</v>
      </c>
      <c r="Y18" s="28">
        <v>10</v>
      </c>
      <c r="Z18" s="69">
        <f t="shared" si="6"/>
        <v>10</v>
      </c>
      <c r="AA18" s="14">
        <v>10</v>
      </c>
      <c r="AB18" s="28">
        <v>10</v>
      </c>
      <c r="AC18" s="69">
        <f t="shared" si="7"/>
        <v>10</v>
      </c>
      <c r="AD18" s="63">
        <v>10</v>
      </c>
      <c r="AE18" s="55">
        <v>10</v>
      </c>
      <c r="AF18" s="69">
        <f t="shared" si="8"/>
        <v>10</v>
      </c>
      <c r="AG18" s="14">
        <v>10</v>
      </c>
      <c r="AH18" s="28">
        <v>10</v>
      </c>
      <c r="AI18" s="70">
        <v>10</v>
      </c>
      <c r="AJ18" s="64">
        <f t="shared" si="10"/>
        <v>9.49</v>
      </c>
    </row>
  </sheetData>
  <sortState xmlns:xlrd2="http://schemas.microsoft.com/office/spreadsheetml/2017/richdata2" ref="A1:AJ18">
    <sortCondition ref="B3:B18"/>
  </sortState>
  <mergeCells count="10">
    <mergeCell ref="AG1:AI1"/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conditionalFormatting sqref="F3:F17">
    <cfRule type="cellIs" dxfId="154" priority="124" operator="lessThan">
      <formula>7.9</formula>
    </cfRule>
  </conditionalFormatting>
  <conditionalFormatting sqref="F3:F18">
    <cfRule type="cellIs" dxfId="153" priority="123" operator="lessThan">
      <formula>6.9</formula>
    </cfRule>
  </conditionalFormatting>
  <conditionalFormatting sqref="F3:H18">
    <cfRule type="cellIs" dxfId="152" priority="125" operator="lessThan">
      <formula>7.9</formula>
    </cfRule>
  </conditionalFormatting>
  <conditionalFormatting sqref="F3:I18">
    <cfRule type="cellIs" dxfId="151" priority="126" operator="lessThan">
      <formula>7.4</formula>
    </cfRule>
  </conditionalFormatting>
  <conditionalFormatting sqref="F3:AI18">
    <cfRule type="cellIs" dxfId="150" priority="1" operator="lessThan">
      <formula>7.9</formula>
    </cfRule>
  </conditionalFormatting>
  <conditionalFormatting sqref="G3:H16 H17:H18">
    <cfRule type="cellIs" dxfId="149" priority="140" operator="lessThan">
      <formula>6.9</formula>
    </cfRule>
  </conditionalFormatting>
  <conditionalFormatting sqref="H4:H18">
    <cfRule type="cellIs" dxfId="148" priority="138" operator="lessThan">
      <formula>7.9</formula>
    </cfRule>
    <cfRule type="cellIs" dxfId="147" priority="139" operator="lessThan">
      <formula>7.4</formula>
    </cfRule>
  </conditionalFormatting>
  <conditionalFormatting sqref="I3:I16">
    <cfRule type="cellIs" dxfId="146" priority="121" operator="lessThan">
      <formula>6.9</formula>
    </cfRule>
    <cfRule type="cellIs" dxfId="145" priority="122" operator="lessThan">
      <formula>7.9</formula>
    </cfRule>
  </conditionalFormatting>
  <conditionalFormatting sqref="I3:I17">
    <cfRule type="cellIs" dxfId="144" priority="120" operator="lessThan">
      <formula>7.9</formula>
    </cfRule>
  </conditionalFormatting>
  <conditionalFormatting sqref="I17">
    <cfRule type="cellIs" dxfId="143" priority="119" operator="lessThan">
      <formula>6.9</formula>
    </cfRule>
  </conditionalFormatting>
  <conditionalFormatting sqref="I17:I18">
    <cfRule type="cellIs" dxfId="142" priority="118" operator="lessThan">
      <formula>7.9</formula>
    </cfRule>
  </conditionalFormatting>
  <conditionalFormatting sqref="I18">
    <cfRule type="cellIs" dxfId="141" priority="116" operator="lessThan">
      <formula>7.9</formula>
    </cfRule>
    <cfRule type="cellIs" dxfId="140" priority="117" operator="lessThan">
      <formula>6.9</formula>
    </cfRule>
  </conditionalFormatting>
  <conditionalFormatting sqref="J3:K18 M3:N18 P3:Q18 S3:T18 V3:W18 Y3:Z18 AB3:AC18 AE3:AF18 AH3:AI18">
    <cfRule type="cellIs" dxfId="139" priority="127" operator="lessThan">
      <formula>7.9</formula>
    </cfRule>
  </conditionalFormatting>
  <conditionalFormatting sqref="K3:K18">
    <cfRule type="cellIs" dxfId="138" priority="104" operator="lessThan">
      <formula>7.9</formula>
    </cfRule>
    <cfRule type="cellIs" dxfId="137" priority="106" operator="lessThan">
      <formula>6.9</formula>
    </cfRule>
  </conditionalFormatting>
  <conditionalFormatting sqref="K3:AG18">
    <cfRule type="cellIs" dxfId="136" priority="107" operator="lessThan">
      <formula>7.9</formula>
    </cfRule>
  </conditionalFormatting>
  <conditionalFormatting sqref="K3:AI18">
    <cfRule type="cellIs" dxfId="135" priority="105" operator="lessThan">
      <formula>7.4</formula>
    </cfRule>
  </conditionalFormatting>
  <conditionalFormatting sqref="L3:L17">
    <cfRule type="cellIs" dxfId="134" priority="115" operator="lessThan">
      <formula>7.9</formula>
    </cfRule>
  </conditionalFormatting>
  <conditionalFormatting sqref="L3:L18">
    <cfRule type="cellIs" dxfId="133" priority="114" operator="lessThan">
      <formula>6.9</formula>
    </cfRule>
  </conditionalFormatting>
  <conditionalFormatting sqref="M3:N16 N17:N18">
    <cfRule type="cellIs" dxfId="132" priority="153" operator="lessThan">
      <formula>6.9</formula>
    </cfRule>
  </conditionalFormatting>
  <conditionalFormatting sqref="M3:N17 N18 P3:Q17 Q18 V3:W17 W18 S3:T17 T18 G3:H17 H18">
    <cfRule type="cellIs" dxfId="131" priority="155" operator="lessThan">
      <formula>7.9</formula>
    </cfRule>
  </conditionalFormatting>
  <conditionalFormatting sqref="M17:N18">
    <cfRule type="cellIs" dxfId="130" priority="144" operator="lessThan">
      <formula>6.9</formula>
    </cfRule>
  </conditionalFormatting>
  <conditionalFormatting sqref="N3:N18">
    <cfRule type="cellIs" dxfId="129" priority="100" operator="lessThan">
      <formula>7.9</formula>
    </cfRule>
    <cfRule type="cellIs" dxfId="128" priority="101" operator="lessThan">
      <formula>7.4</formula>
    </cfRule>
    <cfRule type="cellIs" dxfId="127" priority="102" operator="lessThan">
      <formula>6.9</formula>
    </cfRule>
    <cfRule type="cellIs" dxfId="126" priority="103" operator="lessThan">
      <formula>7.9</formula>
    </cfRule>
  </conditionalFormatting>
  <conditionalFormatting sqref="N4:N18">
    <cfRule type="cellIs" dxfId="125" priority="151" operator="lessThan">
      <formula>7.9</formula>
    </cfRule>
    <cfRule type="cellIs" dxfId="124" priority="152" operator="lessThan">
      <formula>7.4</formula>
    </cfRule>
  </conditionalFormatting>
  <conditionalFormatting sqref="O3:O17">
    <cfRule type="cellIs" dxfId="123" priority="113" operator="lessThan">
      <formula>7.9</formula>
    </cfRule>
  </conditionalFormatting>
  <conditionalFormatting sqref="O3:O18">
    <cfRule type="cellIs" dxfId="122" priority="112" operator="lessThan">
      <formula>6.9</formula>
    </cfRule>
  </conditionalFormatting>
  <conditionalFormatting sqref="P3:Q17 Q18">
    <cfRule type="cellIs" dxfId="121" priority="150" operator="lessThan">
      <formula>6.9</formula>
    </cfRule>
  </conditionalFormatting>
  <conditionalFormatting sqref="Q3:Q18">
    <cfRule type="cellIs" dxfId="120" priority="94" operator="lessThan">
      <formula>7.9</formula>
    </cfRule>
    <cfRule type="cellIs" dxfId="119" priority="95" operator="lessThan">
      <formula>7.4</formula>
    </cfRule>
    <cfRule type="cellIs" dxfId="118" priority="96" operator="lessThan">
      <formula>6.9</formula>
    </cfRule>
    <cfRule type="cellIs" dxfId="117" priority="97" operator="lessThan">
      <formula>7.9</formula>
    </cfRule>
    <cfRule type="cellIs" dxfId="116" priority="98" operator="lessThan">
      <formula>7.4</formula>
    </cfRule>
    <cfRule type="cellIs" dxfId="115" priority="99" operator="lessThan">
      <formula>6.9</formula>
    </cfRule>
  </conditionalFormatting>
  <conditionalFormatting sqref="Q4:Q18">
    <cfRule type="cellIs" dxfId="114" priority="148" operator="lessThan">
      <formula>7.9</formula>
    </cfRule>
    <cfRule type="cellIs" dxfId="113" priority="149" operator="lessThan">
      <formula>7.4</formula>
    </cfRule>
  </conditionalFormatting>
  <conditionalFormatting sqref="R3:R17">
    <cfRule type="cellIs" dxfId="112" priority="111" operator="lessThan">
      <formula>7.9</formula>
    </cfRule>
  </conditionalFormatting>
  <conditionalFormatting sqref="R3:R18">
    <cfRule type="cellIs" dxfId="111" priority="110" operator="lessThan">
      <formula>6.9</formula>
    </cfRule>
  </conditionalFormatting>
  <conditionalFormatting sqref="S3:T16 T17:T18">
    <cfRule type="cellIs" dxfId="110" priority="143" operator="lessThan">
      <formula>6.9</formula>
    </cfRule>
  </conditionalFormatting>
  <conditionalFormatting sqref="S17:T18 V17:W18 P18:Q18 G17:H18">
    <cfRule type="cellIs" dxfId="109" priority="137" operator="lessThan">
      <formula>6.9</formula>
    </cfRule>
  </conditionalFormatting>
  <conditionalFormatting sqref="T3:T18">
    <cfRule type="cellIs" dxfId="108" priority="85" operator="lessThan">
      <formula>7.9</formula>
    </cfRule>
    <cfRule type="cellIs" dxfId="107" priority="86" operator="lessThan">
      <formula>7.4</formula>
    </cfRule>
    <cfRule type="cellIs" dxfId="106" priority="87" operator="lessThan">
      <formula>6.9</formula>
    </cfRule>
    <cfRule type="cellIs" dxfId="105" priority="88" operator="lessThan">
      <formula>7.9</formula>
    </cfRule>
    <cfRule type="cellIs" dxfId="104" priority="89" operator="lessThan">
      <formula>7.4</formula>
    </cfRule>
    <cfRule type="cellIs" dxfId="103" priority="90" operator="lessThan">
      <formula>6.9</formula>
    </cfRule>
    <cfRule type="cellIs" dxfId="102" priority="91" operator="lessThan">
      <formula>7.9</formula>
    </cfRule>
    <cfRule type="cellIs" dxfId="101" priority="92" operator="lessThan">
      <formula>7.4</formula>
    </cfRule>
    <cfRule type="cellIs" dxfId="100" priority="93" operator="lessThan">
      <formula>6.9</formula>
    </cfRule>
  </conditionalFormatting>
  <conditionalFormatting sqref="T4:T18">
    <cfRule type="cellIs" dxfId="99" priority="141" operator="lessThan">
      <formula>7.9</formula>
    </cfRule>
    <cfRule type="cellIs" dxfId="98" priority="142" operator="lessThan">
      <formula>7.4</formula>
    </cfRule>
  </conditionalFormatting>
  <conditionalFormatting sqref="U3:U17">
    <cfRule type="cellIs" dxfId="97" priority="109" operator="lessThan">
      <formula>7.9</formula>
    </cfRule>
  </conditionalFormatting>
  <conditionalFormatting sqref="U3:U18">
    <cfRule type="cellIs" dxfId="96" priority="108" operator="lessThan">
      <formula>6.9</formula>
    </cfRule>
  </conditionalFormatting>
  <conditionalFormatting sqref="V3:W16 W17:W18">
    <cfRule type="cellIs" dxfId="95" priority="147" operator="lessThan">
      <formula>6.9</formula>
    </cfRule>
  </conditionalFormatting>
  <conditionalFormatting sqref="W3:W18">
    <cfRule type="cellIs" dxfId="94" priority="73" operator="lessThan">
      <formula>7.9</formula>
    </cfRule>
    <cfRule type="cellIs" dxfId="93" priority="74" operator="lessThan">
      <formula>7.4</formula>
    </cfRule>
    <cfRule type="cellIs" dxfId="92" priority="75" operator="lessThan">
      <formula>6.9</formula>
    </cfRule>
    <cfRule type="cellIs" dxfId="91" priority="76" operator="lessThan">
      <formula>7.9</formula>
    </cfRule>
    <cfRule type="cellIs" dxfId="90" priority="77" operator="lessThan">
      <formula>7.4</formula>
    </cfRule>
    <cfRule type="cellIs" dxfId="89" priority="78" operator="lessThan">
      <formula>6.9</formula>
    </cfRule>
    <cfRule type="cellIs" dxfId="88" priority="79" operator="lessThan">
      <formula>7.9</formula>
    </cfRule>
    <cfRule type="cellIs" dxfId="87" priority="80" operator="lessThan">
      <formula>7.4</formula>
    </cfRule>
    <cfRule type="cellIs" dxfId="86" priority="81" operator="lessThan">
      <formula>6.9</formula>
    </cfRule>
    <cfRule type="cellIs" dxfId="85" priority="82" operator="lessThan">
      <formula>7.9</formula>
    </cfRule>
    <cfRule type="cellIs" dxfId="84" priority="83" operator="lessThan">
      <formula>7.4</formula>
    </cfRule>
    <cfRule type="cellIs" dxfId="83" priority="84" operator="lessThan">
      <formula>6.9</formula>
    </cfRule>
  </conditionalFormatting>
  <conditionalFormatting sqref="W4:W18">
    <cfRule type="cellIs" dxfId="82" priority="145" operator="lessThan">
      <formula>7.9</formula>
    </cfRule>
    <cfRule type="cellIs" dxfId="81" priority="146" operator="lessThan">
      <formula>7.4</formula>
    </cfRule>
  </conditionalFormatting>
  <conditionalFormatting sqref="Y3:Z18 AB3:AC18">
    <cfRule type="cellIs" dxfId="80" priority="135" operator="lessThan">
      <formula>6.9</formula>
    </cfRule>
    <cfRule type="cellIs" dxfId="79" priority="136" operator="lessThan">
      <formula>7.9</formula>
    </cfRule>
  </conditionalFormatting>
  <conditionalFormatting sqref="Z3:Z18">
    <cfRule type="cellIs" dxfId="78" priority="57" operator="lessThan">
      <formula>7.9</formula>
    </cfRule>
    <cfRule type="cellIs" dxfId="77" priority="58" operator="lessThan">
      <formula>7.4</formula>
    </cfRule>
    <cfRule type="cellIs" dxfId="76" priority="59" operator="lessThan">
      <formula>6.9</formula>
    </cfRule>
    <cfRule type="cellIs" dxfId="75" priority="60" operator="lessThan">
      <formula>7.9</formula>
    </cfRule>
    <cfRule type="cellIs" dxfId="74" priority="61" operator="lessThan">
      <formula>7.4</formula>
    </cfRule>
    <cfRule type="cellIs" dxfId="73" priority="62" operator="lessThan">
      <formula>6.9</formula>
    </cfRule>
    <cfRule type="cellIs" dxfId="72" priority="63" operator="lessThan">
      <formula>7.9</formula>
    </cfRule>
    <cfRule type="cellIs" dxfId="71" priority="64" operator="lessThan">
      <formula>7.4</formula>
    </cfRule>
    <cfRule type="cellIs" dxfId="70" priority="65" operator="lessThan">
      <formula>6.9</formula>
    </cfRule>
    <cfRule type="cellIs" dxfId="69" priority="66" operator="lessThan">
      <formula>7.9</formula>
    </cfRule>
    <cfRule type="cellIs" dxfId="68" priority="67" operator="lessThan">
      <formula>7.4</formula>
    </cfRule>
    <cfRule type="cellIs" dxfId="67" priority="68" operator="lessThan">
      <formula>6.9</formula>
    </cfRule>
    <cfRule type="cellIs" dxfId="66" priority="69" operator="lessThan">
      <formula>7.9</formula>
    </cfRule>
    <cfRule type="cellIs" dxfId="65" priority="70" operator="lessThan">
      <formula>7.4</formula>
    </cfRule>
    <cfRule type="cellIs" dxfId="64" priority="71" operator="lessThan">
      <formula>6.9</formula>
    </cfRule>
    <cfRule type="cellIs" dxfId="63" priority="72" operator="lessThan">
      <formula>7.9</formula>
    </cfRule>
  </conditionalFormatting>
  <conditionalFormatting sqref="AC3:AC18">
    <cfRule type="cellIs" dxfId="62" priority="41" operator="lessThan">
      <formula>7.9</formula>
    </cfRule>
    <cfRule type="cellIs" dxfId="61" priority="42" operator="lessThan">
      <formula>7.4</formula>
    </cfRule>
    <cfRule type="cellIs" dxfId="60" priority="43" operator="lessThan">
      <formula>6.9</formula>
    </cfRule>
    <cfRule type="cellIs" dxfId="59" priority="44" operator="lessThan">
      <formula>7.9</formula>
    </cfRule>
    <cfRule type="cellIs" dxfId="58" priority="45" operator="lessThan">
      <formula>7.4</formula>
    </cfRule>
    <cfRule type="cellIs" dxfId="57" priority="46" operator="lessThan">
      <formula>6.9</formula>
    </cfRule>
    <cfRule type="cellIs" dxfId="56" priority="47" operator="lessThan">
      <formula>7.9</formula>
    </cfRule>
    <cfRule type="cellIs" dxfId="55" priority="48" operator="lessThan">
      <formula>7.4</formula>
    </cfRule>
    <cfRule type="cellIs" dxfId="54" priority="49" operator="lessThan">
      <formula>6.9</formula>
    </cfRule>
    <cfRule type="cellIs" dxfId="53" priority="50" operator="lessThan">
      <formula>7.9</formula>
    </cfRule>
    <cfRule type="cellIs" dxfId="52" priority="51" operator="lessThan">
      <formula>7.4</formula>
    </cfRule>
    <cfRule type="cellIs" dxfId="51" priority="52" operator="lessThan">
      <formula>6.9</formula>
    </cfRule>
    <cfRule type="cellIs" dxfId="50" priority="53" operator="lessThan">
      <formula>7.9</formula>
    </cfRule>
    <cfRule type="cellIs" dxfId="49" priority="54" operator="lessThan">
      <formula>7.4</formula>
    </cfRule>
    <cfRule type="cellIs" dxfId="48" priority="55" operator="lessThan">
      <formula>6.9</formula>
    </cfRule>
    <cfRule type="cellIs" dxfId="47" priority="56" operator="lessThan">
      <formula>7.9</formula>
    </cfRule>
  </conditionalFormatting>
  <conditionalFormatting sqref="AF3:AF18">
    <cfRule type="cellIs" dxfId="46" priority="22" operator="lessThan">
      <formula>7.9</formula>
    </cfRule>
    <cfRule type="cellIs" dxfId="45" priority="23" operator="lessThan">
      <formula>7.4</formula>
    </cfRule>
    <cfRule type="cellIs" dxfId="44" priority="24" operator="lessThan">
      <formula>6.9</formula>
    </cfRule>
    <cfRule type="cellIs" dxfId="43" priority="25" operator="lessThan">
      <formula>7.9</formula>
    </cfRule>
    <cfRule type="cellIs" dxfId="42" priority="26" operator="lessThan">
      <formula>7.4</formula>
    </cfRule>
    <cfRule type="cellIs" dxfId="41" priority="27" operator="lessThan">
      <formula>6.9</formula>
    </cfRule>
    <cfRule type="cellIs" dxfId="40" priority="28" operator="lessThan">
      <formula>7.9</formula>
    </cfRule>
    <cfRule type="cellIs" dxfId="39" priority="29" operator="lessThan">
      <formula>7.4</formula>
    </cfRule>
    <cfRule type="cellIs" dxfId="38" priority="30" operator="lessThan">
      <formula>6.9</formula>
    </cfRule>
    <cfRule type="cellIs" dxfId="37" priority="31" operator="lessThan">
      <formula>7.9</formula>
    </cfRule>
    <cfRule type="cellIs" dxfId="36" priority="32" operator="lessThan">
      <formula>7.4</formula>
    </cfRule>
    <cfRule type="cellIs" dxfId="35" priority="33" operator="lessThan">
      <formula>6.9</formula>
    </cfRule>
    <cfRule type="cellIs" dxfId="34" priority="34" operator="lessThan">
      <formula>7.9</formula>
    </cfRule>
    <cfRule type="cellIs" dxfId="33" priority="35" operator="lessThan">
      <formula>7.4</formula>
    </cfRule>
    <cfRule type="cellIs" dxfId="32" priority="36" operator="lessThan">
      <formula>6.9</formula>
    </cfRule>
    <cfRule type="cellIs" dxfId="31" priority="37" operator="lessThan">
      <formula>7.9</formula>
    </cfRule>
    <cfRule type="cellIs" dxfId="30" priority="38" operator="lessThan">
      <formula>7.4</formula>
    </cfRule>
    <cfRule type="cellIs" dxfId="29" priority="39" operator="lessThan">
      <formula>6.9</formula>
    </cfRule>
    <cfRule type="cellIs" dxfId="28" priority="40" operator="lessThan">
      <formula>7.9</formula>
    </cfRule>
  </conditionalFormatting>
  <conditionalFormatting sqref="AF4:AF18">
    <cfRule type="cellIs" dxfId="27" priority="154" operator="lessThan">
      <formula>7.4</formula>
    </cfRule>
  </conditionalFormatting>
  <conditionalFormatting sqref="AH3:AI3 AI4:AI17">
    <cfRule type="cellIs" dxfId="26" priority="134" operator="lessThan">
      <formula>7.9</formula>
    </cfRule>
  </conditionalFormatting>
  <conditionalFormatting sqref="AH3:AI18">
    <cfRule type="cellIs" dxfId="25" priority="130" operator="lessThan">
      <formula>7.9</formula>
    </cfRule>
  </conditionalFormatting>
  <conditionalFormatting sqref="AH4:AI18">
    <cfRule type="cellIs" dxfId="24" priority="128" operator="lessThan">
      <formula>7.9</formula>
    </cfRule>
    <cfRule type="cellIs" dxfId="23" priority="129" operator="lessThan">
      <formula>6.9</formula>
    </cfRule>
  </conditionalFormatting>
  <conditionalFormatting sqref="AI3:AI17">
    <cfRule type="cellIs" dxfId="22" priority="2" operator="lessThan">
      <formula>7.9</formula>
    </cfRule>
    <cfRule type="cellIs" dxfId="21" priority="3" operator="lessThan">
      <formula>7.4</formula>
    </cfRule>
    <cfRule type="cellIs" dxfId="20" priority="4" operator="lessThan">
      <formula>6.9</formula>
    </cfRule>
    <cfRule type="cellIs" dxfId="19" priority="5" operator="lessThan">
      <formula>7.9</formula>
    </cfRule>
    <cfRule type="cellIs" dxfId="18" priority="6" operator="lessThan">
      <formula>7.4</formula>
    </cfRule>
    <cfRule type="cellIs" dxfId="17" priority="7" operator="lessThan">
      <formula>6.9</formula>
    </cfRule>
    <cfRule type="cellIs" dxfId="16" priority="8" operator="lessThan">
      <formula>7.9</formula>
    </cfRule>
    <cfRule type="cellIs" dxfId="15" priority="9" operator="lessThan">
      <formula>7.4</formula>
    </cfRule>
    <cfRule type="cellIs" dxfId="14" priority="10" operator="lessThan">
      <formula>6.9</formula>
    </cfRule>
    <cfRule type="cellIs" dxfId="13" priority="11" operator="lessThan">
      <formula>7.9</formula>
    </cfRule>
    <cfRule type="cellIs" dxfId="12" priority="12" operator="lessThan">
      <formula>7.4</formula>
    </cfRule>
    <cfRule type="cellIs" dxfId="11" priority="13" operator="lessThan">
      <formula>6.9</formula>
    </cfRule>
    <cfRule type="cellIs" dxfId="10" priority="14" operator="lessThan">
      <formula>7.9</formula>
    </cfRule>
    <cfRule type="cellIs" dxfId="9" priority="15" operator="lessThan">
      <formula>7.4</formula>
    </cfRule>
    <cfRule type="cellIs" dxfId="8" priority="16" operator="lessThan">
      <formula>6.9</formula>
    </cfRule>
    <cfRule type="cellIs" dxfId="7" priority="17" operator="lessThan">
      <formula>7.9</formula>
    </cfRule>
    <cfRule type="cellIs" dxfId="6" priority="18" operator="lessThan">
      <formula>7.4</formula>
    </cfRule>
    <cfRule type="cellIs" dxfId="5" priority="19" operator="lessThan">
      <formula>6.9</formula>
    </cfRule>
    <cfRule type="cellIs" dxfId="4" priority="21" operator="lessThan">
      <formula>7.4</formula>
    </cfRule>
  </conditionalFormatting>
  <conditionalFormatting sqref="AI3:AI18">
    <cfRule type="cellIs" dxfId="3" priority="20" operator="lessThan">
      <formula>7.9</formula>
    </cfRule>
  </conditionalFormatting>
  <conditionalFormatting sqref="AI4:AI17 AH3:AI3">
    <cfRule type="cellIs" dxfId="2" priority="133" operator="lessThan">
      <formula>6.9</formula>
    </cfRule>
  </conditionalFormatting>
  <conditionalFormatting sqref="AI4:AI17">
    <cfRule type="cellIs" dxfId="1" priority="131" operator="lessThan">
      <formula>7.9</formula>
    </cfRule>
    <cfRule type="cellIs" dxfId="0" priority="132" operator="lessThan">
      <formula>7.4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Maternal</vt:lpstr>
      <vt:lpstr>Kinder 1</vt:lpstr>
      <vt:lpstr>Kinder 2</vt:lpstr>
      <vt:lpstr>Kinder 3</vt:lpstr>
      <vt:lpstr>Primaria 1</vt:lpstr>
      <vt:lpstr>Primaria 2</vt:lpstr>
      <vt:lpstr>Primaria 3</vt:lpstr>
      <vt:lpstr>Primaria 4</vt:lpstr>
      <vt:lpstr>Primaria 5</vt:lpstr>
      <vt:lpstr>Primaria 6</vt:lpstr>
      <vt:lpstr>Secundaria 1</vt:lpstr>
      <vt:lpstr>Secundaria 2</vt:lpstr>
      <vt:lpstr>Secundaria 3</vt:lpstr>
      <vt:lpstr>Preparatoria 1</vt:lpstr>
      <vt:lpstr>Preparatoria 2</vt:lpstr>
      <vt:lpstr>Preparatoria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Hernández Albarrán</dc:creator>
  <cp:lastModifiedBy>Vianney Hernández Albarrán</cp:lastModifiedBy>
  <dcterms:created xsi:type="dcterms:W3CDTF">2026-07-14T06:43:40Z</dcterms:created>
  <dcterms:modified xsi:type="dcterms:W3CDTF">2026-07-15T07:02:44Z</dcterms:modified>
</cp:coreProperties>
</file>